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defaultThemeVersion="124226"/>
  <mc:AlternateContent xmlns:mc="http://schemas.openxmlformats.org/markup-compatibility/2006">
    <mc:Choice Requires="x15">
      <x15ac:absPath xmlns:x15ac="http://schemas.microsoft.com/office/spreadsheetml/2010/11/ac" url="https://successdrivers365.sharepoint.com/sites/SuccessDrivers/Projects/Edgard &amp; Cooper - Preisanalyse - Copy for Eya/Modeling/"/>
    </mc:Choice>
  </mc:AlternateContent>
  <xr:revisionPtr revIDLastSave="16" documentId="11_505632775444A7E8490ECE37FF58E71A26634F34" xr6:coauthVersionLast="47" xr6:coauthVersionMax="47" xr10:uidLastSave="{CC2BABF8-E77A-426B-B8F6-A9E9DF3B6615}"/>
  <bookViews>
    <workbookView xWindow="-108" yWindow="-108" windowWidth="23256" windowHeight="12456" tabRatio="844" firstSheet="3" activeTab="3" xr2:uid="{00000000-000D-0000-FFFF-FFFF00000000}"/>
  </bookViews>
  <sheets>
    <sheet name="Project" sheetId="1" r:id="rId1"/>
    <sheet name="Options" sheetId="2" r:id="rId2"/>
    <sheet name="Modules" sheetId="10" r:id="rId3"/>
    <sheet name="Data" sheetId="3" r:id="rId4"/>
    <sheet name="Data FULL" sheetId="13" r:id="rId5"/>
    <sheet name="Tabelle1" sheetId="18" r:id="rId6"/>
    <sheet name="SETTINGS" sheetId="11" r:id="rId7"/>
    <sheet name="PROCESS" sheetId="12" r:id="rId8"/>
    <sheet name="1_Overall" sheetId="14" r:id="rId9"/>
    <sheet name="2_Latents" sheetId="15" r:id="rId10"/>
    <sheet name="3_Paths" sheetId="16" r:id="rId11"/>
    <sheet name="7_Predictions" sheetId="17" r:id="rId12"/>
    <sheet name="PDF" sheetId="19" r:id="rId13"/>
    <sheet name="Results" sheetId="20" r:id="rId14"/>
  </sheets>
  <externalReferences>
    <externalReference r:id="rId15"/>
    <externalReference r:id="rId16"/>
    <externalReference r:id="rId17"/>
  </externalReferences>
  <definedNames>
    <definedName name="_xlnm._FilterDatabase" localSheetId="3" hidden="1">Data!$A$2:$S$2</definedName>
    <definedName name="_xlnm._FilterDatabase" localSheetId="4" hidden="1">'Data FULL'!$A$2:$T$2165</definedName>
    <definedName name="Data">#REF!</definedName>
    <definedName name="OTHER">#REF!</definedName>
    <definedName name="OTHERS">#REF!</definedName>
    <definedName name="POIAT">#REF!</definedName>
    <definedName name="Split_51">[1]Tabelle1!$A$1:$E$52</definedName>
    <definedName name="Survey">[2]Survey!$A:$H</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25" i="3" l="1"/>
  <c r="O1025" i="3"/>
  <c r="P1025" i="3"/>
  <c r="Q1025" i="3"/>
  <c r="R1025" i="3"/>
  <c r="S1025" i="3"/>
  <c r="M1025" i="3"/>
  <c r="T717" i="13" l="1"/>
  <c r="T718" i="13"/>
  <c r="T719" i="13"/>
  <c r="T720" i="13"/>
  <c r="T721" i="13"/>
  <c r="T722" i="13"/>
  <c r="T723" i="13"/>
  <c r="T724" i="13"/>
  <c r="T725" i="13"/>
  <c r="T726" i="13"/>
  <c r="T727" i="13"/>
  <c r="T728" i="13"/>
  <c r="T729" i="13"/>
  <c r="T730" i="13"/>
  <c r="T731" i="13"/>
  <c r="T732" i="13"/>
  <c r="T733" i="13"/>
  <c r="T734" i="13"/>
  <c r="T735" i="13"/>
  <c r="T736" i="13"/>
  <c r="T737" i="13"/>
  <c r="T738" i="13"/>
  <c r="T739" i="13"/>
  <c r="T740" i="13"/>
  <c r="T741" i="13"/>
  <c r="T742" i="13"/>
  <c r="T743" i="13"/>
  <c r="T744" i="13"/>
  <c r="T745" i="13"/>
  <c r="T746" i="13"/>
  <c r="T747" i="13"/>
  <c r="T748" i="13"/>
  <c r="T749" i="13"/>
  <c r="T750" i="13"/>
  <c r="T751" i="13"/>
  <c r="T752" i="13"/>
  <c r="T753" i="13"/>
  <c r="T754" i="13"/>
  <c r="T755" i="13"/>
  <c r="T756" i="13"/>
  <c r="T757" i="13"/>
  <c r="T758" i="13"/>
  <c r="T759" i="13"/>
  <c r="T760" i="13"/>
  <c r="T761" i="13"/>
  <c r="T762" i="13"/>
  <c r="T763" i="13"/>
  <c r="T764" i="13"/>
  <c r="T765" i="13"/>
  <c r="T766" i="13"/>
  <c r="T767" i="13"/>
  <c r="T768" i="13"/>
  <c r="T769" i="13"/>
  <c r="T770" i="13"/>
  <c r="T771" i="13"/>
  <c r="T772" i="13"/>
  <c r="T773" i="13"/>
  <c r="T774" i="13"/>
  <c r="T775" i="13"/>
  <c r="T776" i="13"/>
  <c r="T777" i="13"/>
  <c r="T778" i="13"/>
  <c r="T779" i="13"/>
  <c r="T780" i="13"/>
  <c r="T781" i="13"/>
  <c r="T782" i="13"/>
  <c r="T783" i="13"/>
  <c r="T784" i="13"/>
  <c r="T785" i="13"/>
  <c r="T786" i="13"/>
  <c r="T787" i="13"/>
  <c r="T788" i="13"/>
  <c r="T789" i="13"/>
  <c r="T790" i="13"/>
  <c r="T791" i="13"/>
  <c r="T792" i="13"/>
  <c r="T793" i="13"/>
  <c r="T794" i="13"/>
  <c r="T795" i="13"/>
  <c r="T796" i="13"/>
  <c r="T797" i="13"/>
  <c r="T798" i="13"/>
  <c r="T799" i="13"/>
  <c r="T800" i="13"/>
  <c r="T801" i="13"/>
  <c r="T802" i="13"/>
  <c r="T803" i="13"/>
  <c r="T804" i="13"/>
  <c r="T805" i="13"/>
  <c r="T806" i="13"/>
  <c r="T807" i="13"/>
  <c r="T808" i="13"/>
  <c r="T809" i="13"/>
  <c r="T810" i="13"/>
  <c r="T811" i="13"/>
  <c r="T812" i="13"/>
  <c r="T813" i="13"/>
  <c r="T814" i="13"/>
  <c r="T815" i="13"/>
  <c r="T816" i="13"/>
  <c r="T817" i="13"/>
  <c r="T818" i="13"/>
  <c r="T819" i="13"/>
  <c r="T820" i="13"/>
  <c r="T821" i="13"/>
  <c r="T822" i="13"/>
  <c r="T823" i="13"/>
  <c r="T824" i="13"/>
  <c r="T825" i="13"/>
  <c r="T826" i="13"/>
  <c r="T827" i="13"/>
  <c r="T828" i="13"/>
  <c r="T829" i="13"/>
  <c r="T830" i="13"/>
  <c r="T831" i="13"/>
  <c r="T832" i="13"/>
  <c r="T833" i="13"/>
  <c r="T834" i="13"/>
  <c r="T835" i="13"/>
  <c r="T836" i="13"/>
  <c r="T837" i="13"/>
  <c r="T838" i="13"/>
  <c r="T839" i="13"/>
  <c r="T840" i="13"/>
  <c r="T841" i="13"/>
  <c r="T842" i="13"/>
  <c r="T843" i="13"/>
  <c r="T844" i="13"/>
  <c r="T845" i="13"/>
  <c r="T846" i="13"/>
  <c r="T847" i="13"/>
  <c r="T848" i="13"/>
  <c r="T849" i="13"/>
  <c r="T850" i="13"/>
  <c r="T851" i="13"/>
  <c r="T852" i="13"/>
  <c r="T853" i="13"/>
  <c r="T854" i="13"/>
  <c r="T855" i="13"/>
  <c r="T856" i="13"/>
  <c r="T857" i="13"/>
  <c r="T858" i="13"/>
  <c r="T859" i="13"/>
  <c r="T860" i="13"/>
  <c r="T861" i="13"/>
  <c r="T862" i="13"/>
  <c r="T863" i="13"/>
  <c r="T864" i="13"/>
  <c r="T865" i="13"/>
  <c r="T866" i="13"/>
  <c r="T867" i="13"/>
  <c r="T868" i="13"/>
  <c r="T869" i="13"/>
  <c r="T870" i="13"/>
  <c r="T871" i="13"/>
  <c r="T872" i="13"/>
  <c r="T873" i="13"/>
  <c r="T874" i="13"/>
  <c r="T875" i="13"/>
  <c r="T876" i="13"/>
  <c r="T877" i="13"/>
  <c r="T878" i="13"/>
  <c r="T879" i="13"/>
  <c r="T880" i="13"/>
  <c r="T881" i="13"/>
  <c r="T882" i="13"/>
  <c r="T883" i="13"/>
  <c r="T884" i="13"/>
  <c r="T885" i="13"/>
  <c r="T886" i="13"/>
  <c r="T887" i="13"/>
  <c r="T888" i="13"/>
  <c r="T889" i="13"/>
  <c r="T890" i="13"/>
  <c r="T891" i="13"/>
  <c r="T892" i="13"/>
  <c r="T893" i="13"/>
  <c r="T894" i="13"/>
  <c r="T895" i="13"/>
  <c r="T896" i="13"/>
  <c r="T897" i="13"/>
  <c r="T898" i="13"/>
  <c r="T899" i="13"/>
  <c r="T900" i="13"/>
  <c r="T901" i="13"/>
  <c r="T902" i="13"/>
  <c r="T903" i="13"/>
  <c r="T904" i="13"/>
  <c r="T905" i="13"/>
  <c r="T906" i="13"/>
  <c r="T907" i="13"/>
  <c r="T908" i="13"/>
  <c r="T909" i="13"/>
  <c r="T910" i="13"/>
  <c r="T911" i="13"/>
  <c r="T912" i="13"/>
  <c r="T913" i="13"/>
  <c r="T914" i="13"/>
  <c r="T915" i="13"/>
  <c r="T916" i="13"/>
  <c r="T917" i="13"/>
  <c r="T918" i="13"/>
  <c r="T919" i="13"/>
  <c r="T920" i="13"/>
  <c r="T921" i="13"/>
  <c r="T922" i="13"/>
  <c r="T923" i="13"/>
  <c r="T924" i="13"/>
  <c r="T925" i="13"/>
  <c r="T926" i="13"/>
  <c r="T927" i="13"/>
  <c r="T928" i="13"/>
  <c r="T929" i="13"/>
  <c r="T930" i="13"/>
  <c r="T931" i="13"/>
  <c r="T932" i="13"/>
  <c r="T933" i="13"/>
  <c r="T934" i="13"/>
  <c r="T935" i="13"/>
  <c r="T936" i="13"/>
  <c r="T937" i="13"/>
  <c r="T938" i="13"/>
  <c r="T939" i="13"/>
  <c r="T940" i="13"/>
  <c r="T941" i="13"/>
  <c r="T942" i="13"/>
  <c r="T943" i="13"/>
  <c r="T944" i="13"/>
  <c r="T945" i="13"/>
  <c r="T946" i="13"/>
  <c r="T947" i="13"/>
  <c r="T948" i="13"/>
  <c r="T949" i="13"/>
  <c r="T950" i="13"/>
  <c r="T951" i="13"/>
  <c r="T952" i="13"/>
  <c r="T953" i="13"/>
  <c r="T954" i="13"/>
  <c r="T955" i="13"/>
  <c r="T956" i="13"/>
  <c r="T957" i="13"/>
  <c r="T958" i="13"/>
  <c r="T959" i="13"/>
  <c r="T960" i="13"/>
  <c r="T961" i="13"/>
  <c r="T962" i="13"/>
  <c r="T963" i="13"/>
  <c r="T964" i="13"/>
  <c r="T965" i="13"/>
  <c r="T966" i="13"/>
  <c r="T967" i="13"/>
  <c r="T968" i="13"/>
  <c r="T969" i="13"/>
  <c r="T970" i="13"/>
  <c r="T971" i="13"/>
  <c r="T972" i="13"/>
  <c r="T973" i="13"/>
  <c r="T974" i="13"/>
  <c r="T975" i="13"/>
  <c r="T976" i="13"/>
  <c r="T977" i="13"/>
  <c r="T978" i="13"/>
  <c r="T979" i="13"/>
  <c r="T980" i="13"/>
  <c r="T981" i="13"/>
  <c r="T982" i="13"/>
  <c r="T983" i="13"/>
  <c r="T984" i="13"/>
  <c r="T985" i="13"/>
  <c r="T986" i="13"/>
  <c r="T987" i="13"/>
  <c r="T988" i="13"/>
  <c r="T989" i="13"/>
  <c r="T990" i="13"/>
  <c r="T991" i="13"/>
  <c r="T992" i="13"/>
  <c r="T993" i="13"/>
  <c r="T994" i="13"/>
  <c r="T995" i="13"/>
  <c r="T996" i="13"/>
  <c r="T997" i="13"/>
  <c r="T998" i="13"/>
  <c r="T999" i="13"/>
  <c r="T1000" i="13"/>
  <c r="T1001" i="13"/>
  <c r="T1002" i="13"/>
  <c r="T1003" i="13"/>
  <c r="T1004" i="13"/>
  <c r="T1005" i="13"/>
  <c r="T1006" i="13"/>
  <c r="T1007" i="13"/>
  <c r="T1008" i="13"/>
  <c r="T1009" i="13"/>
  <c r="T1010" i="13"/>
  <c r="T1011" i="13"/>
  <c r="T1012" i="13"/>
  <c r="T1013" i="13"/>
  <c r="T1014" i="13"/>
  <c r="T1015" i="13"/>
  <c r="T1016" i="13"/>
  <c r="T1017" i="13"/>
  <c r="T1018" i="13"/>
  <c r="T1019" i="13"/>
  <c r="T1020" i="13"/>
  <c r="T1021" i="13"/>
  <c r="T1022" i="13"/>
  <c r="T1023" i="13"/>
  <c r="T1024" i="13"/>
  <c r="T1025" i="13"/>
  <c r="T1026" i="13"/>
  <c r="T1027" i="13"/>
  <c r="T1028" i="13"/>
  <c r="T1029" i="13"/>
  <c r="T1030" i="13"/>
  <c r="T1031" i="13"/>
  <c r="T1032" i="13"/>
  <c r="T1033" i="13"/>
  <c r="T1034" i="13"/>
  <c r="T1035" i="13"/>
  <c r="T1036" i="13"/>
  <c r="T1037" i="13"/>
  <c r="T1038" i="13"/>
  <c r="T1039" i="13"/>
  <c r="T1040" i="13"/>
  <c r="T1041" i="13"/>
  <c r="T1042" i="13"/>
  <c r="T1043" i="13"/>
  <c r="T1044" i="13"/>
  <c r="T1045" i="13"/>
  <c r="T1046" i="13"/>
  <c r="T1047" i="13"/>
  <c r="T1048" i="13"/>
  <c r="T1049" i="13"/>
  <c r="T1050" i="13"/>
  <c r="T1051" i="13"/>
  <c r="T1052" i="13"/>
  <c r="T1053" i="13"/>
  <c r="T1054" i="13"/>
  <c r="T1055" i="13"/>
  <c r="T1056" i="13"/>
  <c r="T1057" i="13"/>
  <c r="T1058" i="13"/>
  <c r="T1059" i="13"/>
  <c r="T1060" i="13"/>
  <c r="T1061" i="13"/>
  <c r="T1062" i="13"/>
  <c r="T1063" i="13"/>
  <c r="T1064" i="13"/>
  <c r="T1065" i="13"/>
  <c r="T1066" i="13"/>
  <c r="T1067" i="13"/>
  <c r="T1068" i="13"/>
  <c r="T1069" i="13"/>
  <c r="T1070" i="13"/>
  <c r="T1071" i="13"/>
  <c r="T1072" i="13"/>
  <c r="T1073" i="13"/>
  <c r="T1074" i="13"/>
  <c r="T1075" i="13"/>
  <c r="T1076" i="13"/>
  <c r="T1077" i="13"/>
  <c r="T1078" i="13"/>
  <c r="T1079" i="13"/>
  <c r="T1080" i="13"/>
  <c r="T1081" i="13"/>
  <c r="T1082" i="13"/>
  <c r="T1083" i="13"/>
  <c r="T1084" i="13"/>
  <c r="T1085" i="13"/>
  <c r="T1086" i="13"/>
  <c r="T1087" i="13"/>
  <c r="T1088" i="13"/>
  <c r="T1089" i="13"/>
  <c r="T1090" i="13"/>
  <c r="T1091" i="13"/>
  <c r="T1092" i="13"/>
  <c r="T1093" i="13"/>
  <c r="T1094" i="13"/>
  <c r="T1095" i="13"/>
  <c r="T1096" i="13"/>
  <c r="T1097" i="13"/>
  <c r="T1098" i="13"/>
  <c r="T1099" i="13"/>
  <c r="T1100" i="13"/>
  <c r="T1101" i="13"/>
  <c r="T1102" i="13"/>
  <c r="T1103" i="13"/>
  <c r="T1104" i="13"/>
  <c r="T1105" i="13"/>
  <c r="T1106" i="13"/>
  <c r="T1107" i="13"/>
  <c r="T1108" i="13"/>
  <c r="T1109" i="13"/>
  <c r="T1110" i="13"/>
  <c r="T1111" i="13"/>
  <c r="T1112" i="13"/>
  <c r="T1113" i="13"/>
  <c r="T1114" i="13"/>
  <c r="T1115" i="13"/>
  <c r="T1116" i="13"/>
  <c r="T1117" i="13"/>
  <c r="T1118" i="13"/>
  <c r="T1119" i="13"/>
  <c r="T1120" i="13"/>
  <c r="T1121" i="13"/>
  <c r="T1122" i="13"/>
  <c r="T1123" i="13"/>
  <c r="T1124" i="13"/>
  <c r="T1125" i="13"/>
  <c r="T1126" i="13"/>
  <c r="T1127" i="13"/>
  <c r="T1128" i="13"/>
  <c r="T1129" i="13"/>
  <c r="T1130" i="13"/>
  <c r="T1131" i="13"/>
  <c r="T1132" i="13"/>
  <c r="T1133" i="13"/>
  <c r="T1134" i="13"/>
  <c r="T1135" i="13"/>
  <c r="T1136" i="13"/>
  <c r="T1137" i="13"/>
  <c r="T1138" i="13"/>
  <c r="T1139" i="13"/>
  <c r="T1140" i="13"/>
  <c r="T1141" i="13"/>
  <c r="T1142" i="13"/>
  <c r="T1143" i="13"/>
  <c r="T1144" i="13"/>
  <c r="T1145" i="13"/>
  <c r="T1146" i="13"/>
  <c r="T1147" i="13"/>
  <c r="T1148" i="13"/>
  <c r="T1149" i="13"/>
  <c r="T1150" i="13"/>
  <c r="T1151" i="13"/>
  <c r="T1152" i="13"/>
  <c r="T1153" i="13"/>
  <c r="T1154" i="13"/>
  <c r="T1155" i="13"/>
  <c r="T1156" i="13"/>
  <c r="T1157" i="13"/>
  <c r="T1158" i="13"/>
  <c r="T1159" i="13"/>
  <c r="T1160" i="13"/>
  <c r="T1161" i="13"/>
  <c r="T1162" i="13"/>
  <c r="T1163" i="13"/>
  <c r="T1164" i="13"/>
  <c r="T1165" i="13"/>
  <c r="T1166" i="13"/>
  <c r="T1167" i="13"/>
  <c r="T1168" i="13"/>
  <c r="T1169" i="13"/>
  <c r="T1170" i="13"/>
  <c r="T1171" i="13"/>
  <c r="T1172" i="13"/>
  <c r="T1173" i="13"/>
  <c r="T1174" i="13"/>
  <c r="T1175" i="13"/>
  <c r="T1176" i="13"/>
  <c r="T1177" i="13"/>
  <c r="T1178" i="13"/>
  <c r="T1179" i="13"/>
  <c r="T1180" i="13"/>
  <c r="T1181" i="13"/>
  <c r="T1182" i="13"/>
  <c r="T1183" i="13"/>
  <c r="T1184" i="13"/>
  <c r="T1185" i="13"/>
  <c r="T1186" i="13"/>
  <c r="T1187" i="13"/>
  <c r="T1188" i="13"/>
  <c r="T1189" i="13"/>
  <c r="T1190" i="13"/>
  <c r="T1191" i="13"/>
  <c r="T1192" i="13"/>
  <c r="T1193" i="13"/>
  <c r="T1194" i="13"/>
  <c r="T1195" i="13"/>
  <c r="T1196" i="13"/>
  <c r="T1197" i="13"/>
  <c r="T1198" i="13"/>
  <c r="T1199" i="13"/>
  <c r="T1200" i="13"/>
  <c r="T1201" i="13"/>
  <c r="T1202" i="13"/>
  <c r="T1203" i="13"/>
  <c r="T1204" i="13"/>
  <c r="T1205" i="13"/>
  <c r="T1206" i="13"/>
  <c r="T1207" i="13"/>
  <c r="T1208" i="13"/>
  <c r="T1209" i="13"/>
  <c r="T1210" i="13"/>
  <c r="T1211" i="13"/>
  <c r="T1212" i="13"/>
  <c r="T1213" i="13"/>
  <c r="T1214" i="13"/>
  <c r="T1215" i="13"/>
  <c r="T1216" i="13"/>
  <c r="T1217" i="13"/>
  <c r="T1218" i="13"/>
  <c r="T1219" i="13"/>
  <c r="T1220" i="13"/>
  <c r="T1221" i="13"/>
  <c r="T1222" i="13"/>
  <c r="T1223" i="13"/>
  <c r="T1224" i="13"/>
  <c r="T1225" i="13"/>
  <c r="T1226" i="13"/>
  <c r="T1227" i="13"/>
  <c r="T1228" i="13"/>
  <c r="T1229" i="13"/>
  <c r="T1230" i="13"/>
  <c r="T1231" i="13"/>
  <c r="T1232" i="13"/>
  <c r="T1233" i="13"/>
  <c r="T1234" i="13"/>
  <c r="T1235" i="13"/>
  <c r="T1236" i="13"/>
  <c r="T1237" i="13"/>
  <c r="T1238" i="13"/>
  <c r="T1239" i="13"/>
  <c r="T1240" i="13"/>
  <c r="T1241" i="13"/>
  <c r="T1242" i="13"/>
  <c r="T1243" i="13"/>
  <c r="T1244" i="13"/>
  <c r="T1245" i="13"/>
  <c r="T1246" i="13"/>
  <c r="T1247" i="13"/>
  <c r="T1248" i="13"/>
  <c r="T1249" i="13"/>
  <c r="T1250" i="13"/>
  <c r="T1251" i="13"/>
  <c r="T1252" i="13"/>
  <c r="T1253" i="13"/>
  <c r="T1254" i="13"/>
  <c r="T1255" i="13"/>
  <c r="T1256" i="13"/>
  <c r="T1257" i="13"/>
  <c r="T1258" i="13"/>
  <c r="T1259" i="13"/>
  <c r="T1260" i="13"/>
  <c r="T1261" i="13"/>
  <c r="T1262" i="13"/>
  <c r="T1263" i="13"/>
  <c r="T1264" i="13"/>
  <c r="T1265" i="13"/>
  <c r="T1266" i="13"/>
  <c r="T1267" i="13"/>
  <c r="T1268" i="13"/>
  <c r="T1269" i="13"/>
  <c r="T1270" i="13"/>
  <c r="T1271" i="13"/>
  <c r="T1272" i="13"/>
  <c r="T1273" i="13"/>
  <c r="T1274" i="13"/>
  <c r="T1275" i="13"/>
  <c r="T1276" i="13"/>
  <c r="T1277" i="13"/>
  <c r="T1278" i="13"/>
  <c r="T1279" i="13"/>
  <c r="T1280" i="13"/>
  <c r="T1281" i="13"/>
  <c r="T1282" i="13"/>
  <c r="T1283" i="13"/>
  <c r="T1284" i="13"/>
  <c r="T1285" i="13"/>
  <c r="T1286" i="13"/>
  <c r="T1287" i="13"/>
  <c r="T1288" i="13"/>
  <c r="T1289" i="13"/>
  <c r="T1290" i="13"/>
  <c r="T1291" i="13"/>
  <c r="T1292" i="13"/>
  <c r="T1293" i="13"/>
  <c r="T1294" i="13"/>
  <c r="T1295" i="13"/>
  <c r="T1296" i="13"/>
  <c r="T1297" i="13"/>
  <c r="T1298" i="13"/>
  <c r="T1299" i="13"/>
  <c r="T1300" i="13"/>
  <c r="T1301" i="13"/>
  <c r="T1302" i="13"/>
  <c r="T1303" i="13"/>
  <c r="T1304" i="13"/>
  <c r="T1305" i="13"/>
  <c r="T1306" i="13"/>
  <c r="T1307" i="13"/>
  <c r="T1308" i="13"/>
  <c r="T1309" i="13"/>
  <c r="T1310" i="13"/>
  <c r="T1311" i="13"/>
  <c r="T1312" i="13"/>
  <c r="T1313" i="13"/>
  <c r="T1314" i="13"/>
  <c r="T1315" i="13"/>
  <c r="T1316" i="13"/>
  <c r="T1317" i="13"/>
  <c r="T1318" i="13"/>
  <c r="T1319" i="13"/>
  <c r="T1320" i="13"/>
  <c r="T1321" i="13"/>
  <c r="T1322" i="13"/>
  <c r="T1323" i="13"/>
  <c r="T1324" i="13"/>
  <c r="T1325" i="13"/>
  <c r="T1326" i="13"/>
  <c r="T1327" i="13"/>
  <c r="T1328" i="13"/>
  <c r="T1329" i="13"/>
  <c r="T1330" i="13"/>
  <c r="T1331" i="13"/>
  <c r="T1332" i="13"/>
  <c r="T1333" i="13"/>
  <c r="T1334" i="13"/>
  <c r="T1335" i="13"/>
  <c r="T1336" i="13"/>
  <c r="T1337" i="13"/>
  <c r="T1338" i="13"/>
  <c r="T1339" i="13"/>
  <c r="T1340" i="13"/>
  <c r="T1341" i="13"/>
  <c r="T1342" i="13"/>
  <c r="T1343" i="13"/>
  <c r="T1344" i="13"/>
  <c r="T1345" i="13"/>
  <c r="T1346" i="13"/>
  <c r="T1347" i="13"/>
  <c r="T1348" i="13"/>
  <c r="T1349" i="13"/>
  <c r="T1350" i="13"/>
  <c r="T1351" i="13"/>
  <c r="T1352" i="13"/>
  <c r="T1353" i="13"/>
  <c r="T1354" i="13"/>
  <c r="T1355" i="13"/>
  <c r="T1356" i="13"/>
  <c r="T1357" i="13"/>
  <c r="T1358" i="13"/>
  <c r="T1359" i="13"/>
  <c r="T1360" i="13"/>
  <c r="T1361" i="13"/>
  <c r="T1362" i="13"/>
  <c r="T1363" i="13"/>
  <c r="T1364" i="13"/>
  <c r="T1365" i="13"/>
  <c r="T1366" i="13"/>
  <c r="T1367" i="13"/>
  <c r="T1368" i="13"/>
  <c r="T1369" i="13"/>
  <c r="T1370" i="13"/>
  <c r="T1371" i="13"/>
  <c r="T1372" i="13"/>
  <c r="T1373" i="13"/>
  <c r="T1374" i="13"/>
  <c r="T1375" i="13"/>
  <c r="T1376" i="13"/>
  <c r="T1377" i="13"/>
  <c r="T1378" i="13"/>
  <c r="T1379" i="13"/>
  <c r="T1380" i="13"/>
  <c r="T1381" i="13"/>
  <c r="T1382" i="13"/>
  <c r="T1383" i="13"/>
  <c r="T1384" i="13"/>
  <c r="T1385" i="13"/>
  <c r="T1386" i="13"/>
  <c r="T1387" i="13"/>
  <c r="T1388" i="13"/>
  <c r="T1389" i="13"/>
  <c r="T1390" i="13"/>
  <c r="T1391" i="13"/>
  <c r="T1392" i="13"/>
  <c r="T1393" i="13"/>
  <c r="T1394" i="13"/>
  <c r="T1395" i="13"/>
  <c r="N1" i="13"/>
  <c r="M1" i="13"/>
  <c r="V4" i="13"/>
  <c r="W4" i="13"/>
  <c r="X4" i="13"/>
  <c r="V5" i="13"/>
  <c r="W5" i="13"/>
  <c r="X5" i="13"/>
  <c r="V6" i="13"/>
  <c r="W6" i="13"/>
  <c r="X6" i="13"/>
  <c r="V7" i="13"/>
  <c r="W7" i="13"/>
  <c r="X7" i="13"/>
  <c r="V8" i="13"/>
  <c r="W8" i="13"/>
  <c r="X8" i="13"/>
  <c r="V9" i="13"/>
  <c r="W9" i="13"/>
  <c r="X9" i="13"/>
  <c r="V10" i="13"/>
  <c r="W10" i="13"/>
  <c r="X10" i="13"/>
  <c r="V11" i="13"/>
  <c r="W11" i="13"/>
  <c r="X11" i="13"/>
  <c r="V12" i="13"/>
  <c r="W12" i="13"/>
  <c r="X12" i="13"/>
  <c r="V13" i="13"/>
  <c r="W13" i="13"/>
  <c r="X13" i="13"/>
  <c r="V14" i="13"/>
  <c r="W14" i="13"/>
  <c r="X14" i="13"/>
  <c r="V15" i="13"/>
  <c r="W15" i="13"/>
  <c r="X15" i="13"/>
  <c r="V16" i="13"/>
  <c r="W16" i="13"/>
  <c r="X16" i="13"/>
  <c r="V17" i="13"/>
  <c r="W17" i="13"/>
  <c r="X17" i="13"/>
  <c r="V18" i="13"/>
  <c r="W18" i="13"/>
  <c r="X18" i="13"/>
  <c r="V19" i="13"/>
  <c r="W19" i="13"/>
  <c r="X19" i="13"/>
  <c r="V20" i="13"/>
  <c r="W20" i="13"/>
  <c r="X20" i="13"/>
  <c r="V21" i="13"/>
  <c r="W21" i="13"/>
  <c r="X21" i="13"/>
  <c r="V22" i="13"/>
  <c r="W22" i="13"/>
  <c r="X22" i="13"/>
  <c r="V23" i="13"/>
  <c r="W23" i="13"/>
  <c r="X23" i="13"/>
  <c r="V24" i="13"/>
  <c r="W24" i="13"/>
  <c r="X24" i="13"/>
  <c r="V25" i="13"/>
  <c r="W25" i="13"/>
  <c r="X25" i="13"/>
  <c r="V26" i="13"/>
  <c r="W26" i="13"/>
  <c r="X26" i="13"/>
  <c r="V27" i="13"/>
  <c r="W27" i="13"/>
  <c r="X27" i="13"/>
  <c r="V28" i="13"/>
  <c r="W28" i="13"/>
  <c r="X28" i="13"/>
  <c r="V29" i="13"/>
  <c r="W29" i="13"/>
  <c r="X29" i="13"/>
  <c r="V30" i="13"/>
  <c r="W30" i="13"/>
  <c r="X30" i="13"/>
  <c r="V31" i="13"/>
  <c r="W31" i="13"/>
  <c r="X31" i="13"/>
  <c r="V32" i="13"/>
  <c r="W32" i="13"/>
  <c r="X32" i="13"/>
  <c r="V33" i="13"/>
  <c r="W33" i="13"/>
  <c r="X33" i="13"/>
  <c r="V34" i="13"/>
  <c r="W34" i="13"/>
  <c r="X34" i="13"/>
  <c r="V35" i="13"/>
  <c r="W35" i="13"/>
  <c r="X35" i="13"/>
  <c r="V36" i="13"/>
  <c r="W36" i="13"/>
  <c r="X36" i="13"/>
  <c r="V37" i="13"/>
  <c r="W37" i="13"/>
  <c r="X37" i="13"/>
  <c r="V38" i="13"/>
  <c r="W38" i="13"/>
  <c r="X38" i="13"/>
  <c r="V39" i="13"/>
  <c r="W39" i="13"/>
  <c r="X39" i="13"/>
  <c r="V40" i="13"/>
  <c r="W40" i="13"/>
  <c r="X40" i="13"/>
  <c r="V41" i="13"/>
  <c r="W41" i="13"/>
  <c r="X41" i="13"/>
  <c r="V42" i="13"/>
  <c r="W42" i="13"/>
  <c r="X42" i="13"/>
  <c r="V43" i="13"/>
  <c r="W43" i="13"/>
  <c r="X43" i="13"/>
  <c r="V44" i="13"/>
  <c r="W44" i="13"/>
  <c r="X44" i="13"/>
  <c r="V45" i="13"/>
  <c r="W45" i="13"/>
  <c r="X45" i="13"/>
  <c r="V46" i="13"/>
  <c r="W46" i="13"/>
  <c r="X46" i="13"/>
  <c r="V47" i="13"/>
  <c r="W47" i="13"/>
  <c r="X47" i="13"/>
  <c r="V48" i="13"/>
  <c r="W48" i="13"/>
  <c r="X48" i="13"/>
  <c r="V49" i="13"/>
  <c r="W49" i="13"/>
  <c r="X49" i="13"/>
  <c r="V50" i="13"/>
  <c r="W50" i="13"/>
  <c r="X50" i="13"/>
  <c r="V51" i="13"/>
  <c r="W51" i="13"/>
  <c r="X51" i="13"/>
  <c r="V52" i="13"/>
  <c r="W52" i="13"/>
  <c r="X52" i="13"/>
  <c r="V53" i="13"/>
  <c r="W53" i="13"/>
  <c r="X53" i="13"/>
  <c r="V54" i="13"/>
  <c r="W54" i="13"/>
  <c r="X54" i="13"/>
  <c r="V55" i="13"/>
  <c r="W55" i="13"/>
  <c r="X55" i="13"/>
  <c r="V56" i="13"/>
  <c r="W56" i="13"/>
  <c r="X56" i="13"/>
  <c r="V57" i="13"/>
  <c r="W57" i="13"/>
  <c r="X57" i="13"/>
  <c r="V58" i="13"/>
  <c r="W58" i="13"/>
  <c r="X58" i="13"/>
  <c r="V59" i="13"/>
  <c r="W59" i="13"/>
  <c r="X59" i="13"/>
  <c r="V60" i="13"/>
  <c r="W60" i="13"/>
  <c r="X60" i="13"/>
  <c r="V61" i="13"/>
  <c r="W61" i="13"/>
  <c r="X61" i="13"/>
  <c r="V62" i="13"/>
  <c r="W62" i="13"/>
  <c r="X62" i="13"/>
  <c r="V63" i="13"/>
  <c r="W63" i="13"/>
  <c r="X63" i="13"/>
  <c r="V64" i="13"/>
  <c r="W64" i="13"/>
  <c r="X64" i="13"/>
  <c r="V65" i="13"/>
  <c r="W65" i="13"/>
  <c r="X65" i="13"/>
  <c r="V66" i="13"/>
  <c r="W66" i="13"/>
  <c r="X66" i="13"/>
  <c r="V67" i="13"/>
  <c r="W67" i="13"/>
  <c r="X67" i="13"/>
  <c r="V68" i="13"/>
  <c r="W68" i="13"/>
  <c r="X68" i="13"/>
  <c r="V69" i="13"/>
  <c r="W69" i="13"/>
  <c r="X69" i="13"/>
  <c r="V70" i="13"/>
  <c r="W70" i="13"/>
  <c r="X70" i="13"/>
  <c r="V71" i="13"/>
  <c r="W71" i="13"/>
  <c r="X71" i="13"/>
  <c r="V72" i="13"/>
  <c r="W72" i="13"/>
  <c r="X72" i="13"/>
  <c r="V73" i="13"/>
  <c r="W73" i="13"/>
  <c r="X73" i="13"/>
  <c r="V74" i="13"/>
  <c r="W74" i="13"/>
  <c r="X74" i="13"/>
  <c r="V75" i="13"/>
  <c r="W75" i="13"/>
  <c r="X75" i="13"/>
  <c r="V76" i="13"/>
  <c r="W76" i="13"/>
  <c r="X76" i="13"/>
  <c r="V77" i="13"/>
  <c r="W77" i="13"/>
  <c r="X77" i="13"/>
  <c r="V78" i="13"/>
  <c r="W78" i="13"/>
  <c r="X78" i="13"/>
  <c r="V79" i="13"/>
  <c r="W79" i="13"/>
  <c r="X79" i="13"/>
  <c r="V80" i="13"/>
  <c r="W80" i="13"/>
  <c r="X80" i="13"/>
  <c r="V81" i="13"/>
  <c r="W81" i="13"/>
  <c r="X81" i="13"/>
  <c r="V82" i="13"/>
  <c r="W82" i="13"/>
  <c r="X82" i="13"/>
  <c r="V83" i="13"/>
  <c r="W83" i="13"/>
  <c r="X83" i="13"/>
  <c r="V84" i="13"/>
  <c r="W84" i="13"/>
  <c r="X84" i="13"/>
  <c r="V85" i="13"/>
  <c r="W85" i="13"/>
  <c r="X85" i="13"/>
  <c r="V86" i="13"/>
  <c r="W86" i="13"/>
  <c r="X86" i="13"/>
  <c r="V87" i="13"/>
  <c r="W87" i="13"/>
  <c r="X87" i="13"/>
  <c r="V88" i="13"/>
  <c r="W88" i="13"/>
  <c r="X88" i="13"/>
  <c r="V89" i="13"/>
  <c r="W89" i="13"/>
  <c r="X89" i="13"/>
  <c r="V90" i="13"/>
  <c r="W90" i="13"/>
  <c r="X90" i="13"/>
  <c r="V91" i="13"/>
  <c r="W91" i="13"/>
  <c r="X91" i="13"/>
  <c r="V92" i="13"/>
  <c r="W92" i="13"/>
  <c r="X92" i="13"/>
  <c r="V93" i="13"/>
  <c r="W93" i="13"/>
  <c r="X93" i="13"/>
  <c r="V94" i="13"/>
  <c r="W94" i="13"/>
  <c r="X94" i="13"/>
  <c r="V95" i="13"/>
  <c r="W95" i="13"/>
  <c r="X95" i="13"/>
  <c r="V96" i="13"/>
  <c r="W96" i="13"/>
  <c r="X96" i="13"/>
  <c r="V97" i="13"/>
  <c r="W97" i="13"/>
  <c r="X97" i="13"/>
  <c r="V98" i="13"/>
  <c r="W98" i="13"/>
  <c r="X98" i="13"/>
  <c r="V99" i="13"/>
  <c r="W99" i="13"/>
  <c r="X99" i="13"/>
  <c r="V100" i="13"/>
  <c r="W100" i="13"/>
  <c r="X100" i="13"/>
  <c r="V101" i="13"/>
  <c r="W101" i="13"/>
  <c r="X101" i="13"/>
  <c r="V102" i="13"/>
  <c r="W102" i="13"/>
  <c r="X102" i="13"/>
  <c r="V103" i="13"/>
  <c r="W103" i="13"/>
  <c r="X103" i="13"/>
  <c r="V104" i="13"/>
  <c r="W104" i="13"/>
  <c r="X104" i="13"/>
  <c r="V105" i="13"/>
  <c r="W105" i="13"/>
  <c r="X105" i="13"/>
  <c r="V106" i="13"/>
  <c r="W106" i="13"/>
  <c r="X106" i="13"/>
  <c r="V107" i="13"/>
  <c r="W107" i="13"/>
  <c r="X107" i="13"/>
  <c r="V108" i="13"/>
  <c r="W108" i="13"/>
  <c r="X108" i="13"/>
  <c r="V109" i="13"/>
  <c r="W109" i="13"/>
  <c r="X109" i="13"/>
  <c r="V110" i="13"/>
  <c r="W110" i="13"/>
  <c r="X110" i="13"/>
  <c r="V111" i="13"/>
  <c r="W111" i="13"/>
  <c r="X111" i="13"/>
  <c r="V112" i="13"/>
  <c r="W112" i="13"/>
  <c r="X112" i="13"/>
  <c r="V113" i="13"/>
  <c r="W113" i="13"/>
  <c r="X113" i="13"/>
  <c r="V114" i="13"/>
  <c r="W114" i="13"/>
  <c r="X114" i="13"/>
  <c r="V115" i="13"/>
  <c r="W115" i="13"/>
  <c r="X115" i="13"/>
  <c r="V116" i="13"/>
  <c r="W116" i="13"/>
  <c r="X116" i="13"/>
  <c r="V117" i="13"/>
  <c r="W117" i="13"/>
  <c r="X117" i="13"/>
  <c r="V118" i="13"/>
  <c r="W118" i="13"/>
  <c r="X118" i="13"/>
  <c r="V119" i="13"/>
  <c r="W119" i="13"/>
  <c r="X119" i="13"/>
  <c r="V120" i="13"/>
  <c r="W120" i="13"/>
  <c r="X120" i="13"/>
  <c r="V121" i="13"/>
  <c r="W121" i="13"/>
  <c r="X121" i="13"/>
  <c r="V122" i="13"/>
  <c r="W122" i="13"/>
  <c r="X122" i="13"/>
  <c r="V123" i="13"/>
  <c r="W123" i="13"/>
  <c r="X123" i="13"/>
  <c r="V124" i="13"/>
  <c r="W124" i="13"/>
  <c r="X124" i="13"/>
  <c r="V125" i="13"/>
  <c r="W125" i="13"/>
  <c r="X125" i="13"/>
  <c r="V126" i="13"/>
  <c r="W126" i="13"/>
  <c r="X126" i="13"/>
  <c r="V127" i="13"/>
  <c r="W127" i="13"/>
  <c r="X127" i="13"/>
  <c r="V128" i="13"/>
  <c r="W128" i="13"/>
  <c r="X128" i="13"/>
  <c r="V129" i="13"/>
  <c r="W129" i="13"/>
  <c r="X129" i="13"/>
  <c r="V130" i="13"/>
  <c r="W130" i="13"/>
  <c r="X130" i="13"/>
  <c r="V131" i="13"/>
  <c r="W131" i="13"/>
  <c r="X131" i="13"/>
  <c r="V132" i="13"/>
  <c r="W132" i="13"/>
  <c r="X132" i="13"/>
  <c r="V133" i="13"/>
  <c r="W133" i="13"/>
  <c r="X133" i="13"/>
  <c r="V134" i="13"/>
  <c r="W134" i="13"/>
  <c r="X134" i="13"/>
  <c r="V135" i="13"/>
  <c r="W135" i="13"/>
  <c r="X135" i="13"/>
  <c r="V136" i="13"/>
  <c r="W136" i="13"/>
  <c r="X136" i="13"/>
  <c r="V137" i="13"/>
  <c r="W137" i="13"/>
  <c r="X137" i="13"/>
  <c r="V138" i="13"/>
  <c r="W138" i="13"/>
  <c r="X138" i="13"/>
  <c r="V139" i="13"/>
  <c r="W139" i="13"/>
  <c r="X139" i="13"/>
  <c r="V140" i="13"/>
  <c r="W140" i="13"/>
  <c r="X140" i="13"/>
  <c r="V141" i="13"/>
  <c r="W141" i="13"/>
  <c r="X141" i="13"/>
  <c r="V142" i="13"/>
  <c r="W142" i="13"/>
  <c r="X142" i="13"/>
  <c r="V143" i="13"/>
  <c r="W143" i="13"/>
  <c r="X143" i="13"/>
  <c r="V144" i="13"/>
  <c r="W144" i="13"/>
  <c r="X144" i="13"/>
  <c r="V145" i="13"/>
  <c r="W145" i="13"/>
  <c r="X145" i="13"/>
  <c r="V146" i="13"/>
  <c r="W146" i="13"/>
  <c r="X146" i="13"/>
  <c r="V147" i="13"/>
  <c r="W147" i="13"/>
  <c r="X147" i="13"/>
  <c r="V148" i="13"/>
  <c r="W148" i="13"/>
  <c r="X148" i="13"/>
  <c r="V149" i="13"/>
  <c r="W149" i="13"/>
  <c r="X149" i="13"/>
  <c r="V150" i="13"/>
  <c r="W150" i="13"/>
  <c r="X150" i="13"/>
  <c r="V151" i="13"/>
  <c r="W151" i="13"/>
  <c r="X151" i="13"/>
  <c r="V152" i="13"/>
  <c r="W152" i="13"/>
  <c r="X152" i="13"/>
  <c r="V153" i="13"/>
  <c r="W153" i="13"/>
  <c r="X153" i="13"/>
  <c r="V154" i="13"/>
  <c r="W154" i="13"/>
  <c r="X154" i="13"/>
  <c r="V155" i="13"/>
  <c r="W155" i="13"/>
  <c r="X155" i="13"/>
  <c r="V156" i="13"/>
  <c r="W156" i="13"/>
  <c r="X156" i="13"/>
  <c r="V157" i="13"/>
  <c r="W157" i="13"/>
  <c r="X157" i="13"/>
  <c r="V158" i="13"/>
  <c r="W158" i="13"/>
  <c r="X158" i="13"/>
  <c r="V159" i="13"/>
  <c r="W159" i="13"/>
  <c r="X159" i="13"/>
  <c r="V160" i="13"/>
  <c r="W160" i="13"/>
  <c r="X160" i="13"/>
  <c r="V161" i="13"/>
  <c r="W161" i="13"/>
  <c r="X161" i="13"/>
  <c r="V162" i="13"/>
  <c r="W162" i="13"/>
  <c r="X162" i="13"/>
  <c r="V163" i="13"/>
  <c r="W163" i="13"/>
  <c r="X163" i="13"/>
  <c r="V164" i="13"/>
  <c r="W164" i="13"/>
  <c r="X164" i="13"/>
  <c r="V165" i="13"/>
  <c r="W165" i="13"/>
  <c r="X165" i="13"/>
  <c r="V166" i="13"/>
  <c r="W166" i="13"/>
  <c r="X166" i="13"/>
  <c r="V167" i="13"/>
  <c r="W167" i="13"/>
  <c r="X167" i="13"/>
  <c r="V168" i="13"/>
  <c r="W168" i="13"/>
  <c r="X168" i="13"/>
  <c r="V169" i="13"/>
  <c r="W169" i="13"/>
  <c r="X169" i="13"/>
  <c r="V170" i="13"/>
  <c r="W170" i="13"/>
  <c r="X170" i="13"/>
  <c r="V171" i="13"/>
  <c r="W171" i="13"/>
  <c r="X171" i="13"/>
  <c r="V172" i="13"/>
  <c r="W172" i="13"/>
  <c r="X172" i="13"/>
  <c r="V173" i="13"/>
  <c r="W173" i="13"/>
  <c r="X173" i="13"/>
  <c r="V174" i="13"/>
  <c r="W174" i="13"/>
  <c r="X174" i="13"/>
  <c r="V175" i="13"/>
  <c r="W175" i="13"/>
  <c r="X175" i="13"/>
  <c r="V176" i="13"/>
  <c r="W176" i="13"/>
  <c r="X176" i="13"/>
  <c r="V177" i="13"/>
  <c r="W177" i="13"/>
  <c r="X177" i="13"/>
  <c r="V178" i="13"/>
  <c r="W178" i="13"/>
  <c r="X178" i="13"/>
  <c r="V179" i="13"/>
  <c r="W179" i="13"/>
  <c r="X179" i="13"/>
  <c r="V180" i="13"/>
  <c r="W180" i="13"/>
  <c r="X180" i="13"/>
  <c r="V181" i="13"/>
  <c r="W181" i="13"/>
  <c r="X181" i="13"/>
  <c r="V182" i="13"/>
  <c r="W182" i="13"/>
  <c r="X182" i="13"/>
  <c r="V183" i="13"/>
  <c r="W183" i="13"/>
  <c r="X183" i="13"/>
  <c r="V184" i="13"/>
  <c r="W184" i="13"/>
  <c r="X184" i="13"/>
  <c r="V185" i="13"/>
  <c r="W185" i="13"/>
  <c r="X185" i="13"/>
  <c r="V186" i="13"/>
  <c r="W186" i="13"/>
  <c r="X186" i="13"/>
  <c r="V187" i="13"/>
  <c r="W187" i="13"/>
  <c r="X187" i="13"/>
  <c r="V188" i="13"/>
  <c r="W188" i="13"/>
  <c r="X188" i="13"/>
  <c r="V189" i="13"/>
  <c r="W189" i="13"/>
  <c r="X189" i="13"/>
  <c r="V190" i="13"/>
  <c r="W190" i="13"/>
  <c r="X190" i="13"/>
  <c r="V191" i="13"/>
  <c r="W191" i="13"/>
  <c r="X191" i="13"/>
  <c r="V192" i="13"/>
  <c r="W192" i="13"/>
  <c r="X192" i="13"/>
  <c r="V193" i="13"/>
  <c r="W193" i="13"/>
  <c r="X193" i="13"/>
  <c r="V194" i="13"/>
  <c r="W194" i="13"/>
  <c r="X194" i="13"/>
  <c r="V195" i="13"/>
  <c r="W195" i="13"/>
  <c r="X195" i="13"/>
  <c r="V196" i="13"/>
  <c r="W196" i="13"/>
  <c r="X196" i="13"/>
  <c r="V197" i="13"/>
  <c r="W197" i="13"/>
  <c r="X197" i="13"/>
  <c r="V198" i="13"/>
  <c r="W198" i="13"/>
  <c r="X198" i="13"/>
  <c r="V199" i="13"/>
  <c r="W199" i="13"/>
  <c r="X199" i="13"/>
  <c r="V200" i="13"/>
  <c r="W200" i="13"/>
  <c r="X200" i="13"/>
  <c r="V201" i="13"/>
  <c r="W201" i="13"/>
  <c r="X201" i="13"/>
  <c r="V202" i="13"/>
  <c r="W202" i="13"/>
  <c r="X202" i="13"/>
  <c r="V203" i="13"/>
  <c r="W203" i="13"/>
  <c r="X203" i="13"/>
  <c r="V204" i="13"/>
  <c r="W204" i="13"/>
  <c r="X204" i="13"/>
  <c r="V205" i="13"/>
  <c r="W205" i="13"/>
  <c r="X205" i="13"/>
  <c r="V206" i="13"/>
  <c r="W206" i="13"/>
  <c r="X206" i="13"/>
  <c r="V207" i="13"/>
  <c r="W207" i="13"/>
  <c r="X207" i="13"/>
  <c r="V208" i="13"/>
  <c r="W208" i="13"/>
  <c r="X208" i="13"/>
  <c r="V209" i="13"/>
  <c r="W209" i="13"/>
  <c r="X209" i="13"/>
  <c r="V210" i="13"/>
  <c r="W210" i="13"/>
  <c r="X210" i="13"/>
  <c r="V211" i="13"/>
  <c r="W211" i="13"/>
  <c r="X211" i="13"/>
  <c r="V212" i="13"/>
  <c r="W212" i="13"/>
  <c r="X212" i="13"/>
  <c r="V213" i="13"/>
  <c r="W213" i="13"/>
  <c r="X213" i="13"/>
  <c r="V214" i="13"/>
  <c r="W214" i="13"/>
  <c r="X214" i="13"/>
  <c r="V215" i="13"/>
  <c r="W215" i="13"/>
  <c r="X215" i="13"/>
  <c r="V216" i="13"/>
  <c r="W216" i="13"/>
  <c r="X216" i="13"/>
  <c r="V217" i="13"/>
  <c r="W217" i="13"/>
  <c r="X217" i="13"/>
  <c r="V218" i="13"/>
  <c r="W218" i="13"/>
  <c r="X218" i="13"/>
  <c r="V219" i="13"/>
  <c r="W219" i="13"/>
  <c r="X219" i="13"/>
  <c r="V220" i="13"/>
  <c r="W220" i="13"/>
  <c r="X220" i="13"/>
  <c r="V221" i="13"/>
  <c r="W221" i="13"/>
  <c r="X221" i="13"/>
  <c r="V222" i="13"/>
  <c r="W222" i="13"/>
  <c r="X222" i="13"/>
  <c r="V223" i="13"/>
  <c r="W223" i="13"/>
  <c r="X223" i="13"/>
  <c r="V224" i="13"/>
  <c r="W224" i="13"/>
  <c r="X224" i="13"/>
  <c r="V225" i="13"/>
  <c r="W225" i="13"/>
  <c r="X225" i="13"/>
  <c r="V226" i="13"/>
  <c r="W226" i="13"/>
  <c r="X226" i="13"/>
  <c r="V227" i="13"/>
  <c r="W227" i="13"/>
  <c r="X227" i="13"/>
  <c r="V228" i="13"/>
  <c r="W228" i="13"/>
  <c r="X228" i="13"/>
  <c r="V229" i="13"/>
  <c r="W229" i="13"/>
  <c r="X229" i="13"/>
  <c r="V230" i="13"/>
  <c r="W230" i="13"/>
  <c r="X230" i="13"/>
  <c r="V231" i="13"/>
  <c r="W231" i="13"/>
  <c r="X231" i="13"/>
  <c r="V232" i="13"/>
  <c r="W232" i="13"/>
  <c r="X232" i="13"/>
  <c r="V233" i="13"/>
  <c r="W233" i="13"/>
  <c r="X233" i="13"/>
  <c r="V234" i="13"/>
  <c r="W234" i="13"/>
  <c r="X234" i="13"/>
  <c r="V235" i="13"/>
  <c r="W235" i="13"/>
  <c r="X235" i="13"/>
  <c r="V236" i="13"/>
  <c r="W236" i="13"/>
  <c r="X236" i="13"/>
  <c r="V237" i="13"/>
  <c r="W237" i="13"/>
  <c r="X237" i="13"/>
  <c r="V238" i="13"/>
  <c r="W238" i="13"/>
  <c r="X238" i="13"/>
  <c r="V239" i="13"/>
  <c r="W239" i="13"/>
  <c r="X239" i="13"/>
  <c r="V240" i="13"/>
  <c r="W240" i="13"/>
  <c r="X240" i="13"/>
  <c r="V241" i="13"/>
  <c r="W241" i="13"/>
  <c r="X241" i="13"/>
  <c r="V242" i="13"/>
  <c r="W242" i="13"/>
  <c r="X242" i="13"/>
  <c r="V243" i="13"/>
  <c r="W243" i="13"/>
  <c r="X243" i="13"/>
  <c r="V244" i="13"/>
  <c r="W244" i="13"/>
  <c r="X244" i="13"/>
  <c r="V245" i="13"/>
  <c r="W245" i="13"/>
  <c r="X245" i="13"/>
  <c r="V246" i="13"/>
  <c r="W246" i="13"/>
  <c r="X246" i="13"/>
  <c r="V247" i="13"/>
  <c r="W247" i="13"/>
  <c r="X247" i="13"/>
  <c r="V248" i="13"/>
  <c r="W248" i="13"/>
  <c r="X248" i="13"/>
  <c r="V249" i="13"/>
  <c r="W249" i="13"/>
  <c r="X249" i="13"/>
  <c r="V250" i="13"/>
  <c r="W250" i="13"/>
  <c r="X250" i="13"/>
  <c r="V251" i="13"/>
  <c r="W251" i="13"/>
  <c r="X251" i="13"/>
  <c r="V252" i="13"/>
  <c r="W252" i="13"/>
  <c r="X252" i="13"/>
  <c r="V253" i="13"/>
  <c r="W253" i="13"/>
  <c r="X253" i="13"/>
  <c r="V254" i="13"/>
  <c r="W254" i="13"/>
  <c r="X254" i="13"/>
  <c r="V255" i="13"/>
  <c r="W255" i="13"/>
  <c r="X255" i="13"/>
  <c r="V256" i="13"/>
  <c r="W256" i="13"/>
  <c r="X256" i="13"/>
  <c r="V257" i="13"/>
  <c r="W257" i="13"/>
  <c r="X257" i="13"/>
  <c r="V258" i="13"/>
  <c r="W258" i="13"/>
  <c r="X258" i="13"/>
  <c r="V259" i="13"/>
  <c r="W259" i="13"/>
  <c r="X259" i="13"/>
  <c r="V260" i="13"/>
  <c r="W260" i="13"/>
  <c r="X260" i="13"/>
  <c r="V261" i="13"/>
  <c r="W261" i="13"/>
  <c r="X261" i="13"/>
  <c r="V262" i="13"/>
  <c r="W262" i="13"/>
  <c r="X262" i="13"/>
  <c r="V263" i="13"/>
  <c r="W263" i="13"/>
  <c r="X263" i="13"/>
  <c r="V264" i="13"/>
  <c r="W264" i="13"/>
  <c r="X264" i="13"/>
  <c r="V265" i="13"/>
  <c r="W265" i="13"/>
  <c r="X265" i="13"/>
  <c r="V266" i="13"/>
  <c r="W266" i="13"/>
  <c r="X266" i="13"/>
  <c r="V267" i="13"/>
  <c r="W267" i="13"/>
  <c r="X267" i="13"/>
  <c r="V268" i="13"/>
  <c r="W268" i="13"/>
  <c r="X268" i="13"/>
  <c r="V269" i="13"/>
  <c r="W269" i="13"/>
  <c r="X269" i="13"/>
  <c r="V270" i="13"/>
  <c r="W270" i="13"/>
  <c r="X270" i="13"/>
  <c r="V271" i="13"/>
  <c r="W271" i="13"/>
  <c r="X271" i="13"/>
  <c r="V272" i="13"/>
  <c r="W272" i="13"/>
  <c r="X272" i="13"/>
  <c r="V273" i="13"/>
  <c r="W273" i="13"/>
  <c r="X273" i="13"/>
  <c r="V274" i="13"/>
  <c r="W274" i="13"/>
  <c r="X274" i="13"/>
  <c r="V275" i="13"/>
  <c r="W275" i="13"/>
  <c r="X275" i="13"/>
  <c r="V276" i="13"/>
  <c r="W276" i="13"/>
  <c r="X276" i="13"/>
  <c r="V277" i="13"/>
  <c r="W277" i="13"/>
  <c r="X277" i="13"/>
  <c r="V278" i="13"/>
  <c r="W278" i="13"/>
  <c r="X278" i="13"/>
  <c r="V279" i="13"/>
  <c r="W279" i="13"/>
  <c r="X279" i="13"/>
  <c r="V280" i="13"/>
  <c r="W280" i="13"/>
  <c r="X280" i="13"/>
  <c r="V281" i="13"/>
  <c r="W281" i="13"/>
  <c r="X281" i="13"/>
  <c r="V282" i="13"/>
  <c r="W282" i="13"/>
  <c r="X282" i="13"/>
  <c r="V283" i="13"/>
  <c r="W283" i="13"/>
  <c r="X283" i="13"/>
  <c r="V284" i="13"/>
  <c r="W284" i="13"/>
  <c r="X284" i="13"/>
  <c r="V285" i="13"/>
  <c r="W285" i="13"/>
  <c r="X285" i="13"/>
  <c r="V286" i="13"/>
  <c r="W286" i="13"/>
  <c r="X286" i="13"/>
  <c r="V287" i="13"/>
  <c r="W287" i="13"/>
  <c r="X287" i="13"/>
  <c r="V288" i="13"/>
  <c r="W288" i="13"/>
  <c r="X288" i="13"/>
  <c r="V289" i="13"/>
  <c r="W289" i="13"/>
  <c r="X289" i="13"/>
  <c r="V290" i="13"/>
  <c r="W290" i="13"/>
  <c r="X290" i="13"/>
  <c r="V291" i="13"/>
  <c r="W291" i="13"/>
  <c r="X291" i="13"/>
  <c r="V292" i="13"/>
  <c r="W292" i="13"/>
  <c r="X292" i="13"/>
  <c r="V293" i="13"/>
  <c r="W293" i="13"/>
  <c r="X293" i="13"/>
  <c r="V294" i="13"/>
  <c r="W294" i="13"/>
  <c r="X294" i="13"/>
  <c r="V295" i="13"/>
  <c r="W295" i="13"/>
  <c r="X295" i="13"/>
  <c r="V296" i="13"/>
  <c r="W296" i="13"/>
  <c r="X296" i="13"/>
  <c r="V297" i="13"/>
  <c r="W297" i="13"/>
  <c r="X297" i="13"/>
  <c r="V298" i="13"/>
  <c r="W298" i="13"/>
  <c r="X298" i="13"/>
  <c r="V299" i="13"/>
  <c r="W299" i="13"/>
  <c r="X299" i="13"/>
  <c r="V300" i="13"/>
  <c r="W300" i="13"/>
  <c r="X300" i="13"/>
  <c r="V301" i="13"/>
  <c r="W301" i="13"/>
  <c r="X301" i="13"/>
  <c r="V302" i="13"/>
  <c r="W302" i="13"/>
  <c r="X302" i="13"/>
  <c r="V303" i="13"/>
  <c r="W303" i="13"/>
  <c r="X303" i="13"/>
  <c r="V304" i="13"/>
  <c r="W304" i="13"/>
  <c r="X304" i="13"/>
  <c r="V305" i="13"/>
  <c r="W305" i="13"/>
  <c r="X305" i="13"/>
  <c r="V306" i="13"/>
  <c r="W306" i="13"/>
  <c r="X306" i="13"/>
  <c r="V307" i="13"/>
  <c r="W307" i="13"/>
  <c r="X307" i="13"/>
  <c r="V308" i="13"/>
  <c r="W308" i="13"/>
  <c r="X308" i="13"/>
  <c r="V309" i="13"/>
  <c r="W309" i="13"/>
  <c r="X309" i="13"/>
  <c r="V310" i="13"/>
  <c r="W310" i="13"/>
  <c r="X310" i="13"/>
  <c r="V311" i="13"/>
  <c r="W311" i="13"/>
  <c r="X311" i="13"/>
  <c r="V312" i="13"/>
  <c r="W312" i="13"/>
  <c r="X312" i="13"/>
  <c r="V313" i="13"/>
  <c r="W313" i="13"/>
  <c r="X313" i="13"/>
  <c r="V314" i="13"/>
  <c r="W314" i="13"/>
  <c r="X314" i="13"/>
  <c r="V315" i="13"/>
  <c r="W315" i="13"/>
  <c r="X315" i="13"/>
  <c r="V316" i="13"/>
  <c r="W316" i="13"/>
  <c r="X316" i="13"/>
  <c r="V317" i="13"/>
  <c r="W317" i="13"/>
  <c r="X317" i="13"/>
  <c r="V318" i="13"/>
  <c r="W318" i="13"/>
  <c r="X318" i="13"/>
  <c r="V319" i="13"/>
  <c r="W319" i="13"/>
  <c r="X319" i="13"/>
  <c r="V320" i="13"/>
  <c r="W320" i="13"/>
  <c r="X320" i="13"/>
  <c r="V321" i="13"/>
  <c r="W321" i="13"/>
  <c r="X321" i="13"/>
  <c r="V322" i="13"/>
  <c r="W322" i="13"/>
  <c r="X322" i="13"/>
  <c r="V323" i="13"/>
  <c r="W323" i="13"/>
  <c r="X323" i="13"/>
  <c r="V324" i="13"/>
  <c r="W324" i="13"/>
  <c r="X324" i="13"/>
  <c r="V325" i="13"/>
  <c r="W325" i="13"/>
  <c r="X325" i="13"/>
  <c r="V326" i="13"/>
  <c r="W326" i="13"/>
  <c r="X326" i="13"/>
  <c r="V327" i="13"/>
  <c r="W327" i="13"/>
  <c r="X327" i="13"/>
  <c r="V328" i="13"/>
  <c r="W328" i="13"/>
  <c r="X328" i="13"/>
  <c r="V329" i="13"/>
  <c r="W329" i="13"/>
  <c r="X329" i="13"/>
  <c r="V330" i="13"/>
  <c r="W330" i="13"/>
  <c r="X330" i="13"/>
  <c r="V331" i="13"/>
  <c r="W331" i="13"/>
  <c r="X331" i="13"/>
  <c r="V332" i="13"/>
  <c r="W332" i="13"/>
  <c r="X332" i="13"/>
  <c r="V333" i="13"/>
  <c r="W333" i="13"/>
  <c r="X333" i="13"/>
  <c r="V334" i="13"/>
  <c r="W334" i="13"/>
  <c r="X334" i="13"/>
  <c r="V335" i="13"/>
  <c r="W335" i="13"/>
  <c r="X335" i="13"/>
  <c r="V336" i="13"/>
  <c r="W336" i="13"/>
  <c r="X336" i="13"/>
  <c r="V337" i="13"/>
  <c r="W337" i="13"/>
  <c r="X337" i="13"/>
  <c r="V338" i="13"/>
  <c r="W338" i="13"/>
  <c r="X338" i="13"/>
  <c r="V339" i="13"/>
  <c r="W339" i="13"/>
  <c r="X339" i="13"/>
  <c r="V340" i="13"/>
  <c r="W340" i="13"/>
  <c r="X340" i="13"/>
  <c r="V341" i="13"/>
  <c r="W341" i="13"/>
  <c r="X341" i="13"/>
  <c r="V342" i="13"/>
  <c r="W342" i="13"/>
  <c r="X342" i="13"/>
  <c r="V343" i="13"/>
  <c r="W343" i="13"/>
  <c r="X343" i="13"/>
  <c r="V344" i="13"/>
  <c r="W344" i="13"/>
  <c r="X344" i="13"/>
  <c r="V345" i="13"/>
  <c r="W345" i="13"/>
  <c r="X345" i="13"/>
  <c r="V346" i="13"/>
  <c r="W346" i="13"/>
  <c r="X346" i="13"/>
  <c r="V347" i="13"/>
  <c r="W347" i="13"/>
  <c r="X347" i="13"/>
  <c r="V348" i="13"/>
  <c r="W348" i="13"/>
  <c r="X348" i="13"/>
  <c r="V349" i="13"/>
  <c r="W349" i="13"/>
  <c r="X349" i="13"/>
  <c r="V350" i="13"/>
  <c r="W350" i="13"/>
  <c r="X350" i="13"/>
  <c r="V351" i="13"/>
  <c r="W351" i="13"/>
  <c r="X351" i="13"/>
  <c r="V352" i="13"/>
  <c r="W352" i="13"/>
  <c r="X352" i="13"/>
  <c r="V353" i="13"/>
  <c r="W353" i="13"/>
  <c r="X353" i="13"/>
  <c r="V354" i="13"/>
  <c r="W354" i="13"/>
  <c r="X354" i="13"/>
  <c r="V355" i="13"/>
  <c r="W355" i="13"/>
  <c r="X355" i="13"/>
  <c r="V356" i="13"/>
  <c r="W356" i="13"/>
  <c r="X356" i="13"/>
  <c r="V357" i="13"/>
  <c r="W357" i="13"/>
  <c r="X357" i="13"/>
  <c r="V358" i="13"/>
  <c r="W358" i="13"/>
  <c r="X358" i="13"/>
  <c r="V359" i="13"/>
  <c r="W359" i="13"/>
  <c r="X359" i="13"/>
  <c r="V360" i="13"/>
  <c r="W360" i="13"/>
  <c r="X360" i="13"/>
  <c r="V361" i="13"/>
  <c r="W361" i="13"/>
  <c r="X361" i="13"/>
  <c r="V362" i="13"/>
  <c r="W362" i="13"/>
  <c r="X362" i="13"/>
  <c r="V363" i="13"/>
  <c r="W363" i="13"/>
  <c r="X363" i="13"/>
  <c r="V364" i="13"/>
  <c r="W364" i="13"/>
  <c r="X364" i="13"/>
  <c r="V365" i="13"/>
  <c r="W365" i="13"/>
  <c r="X365" i="13"/>
  <c r="V366" i="13"/>
  <c r="W366" i="13"/>
  <c r="X366" i="13"/>
  <c r="V367" i="13"/>
  <c r="W367" i="13"/>
  <c r="X367" i="13"/>
  <c r="V368" i="13"/>
  <c r="W368" i="13"/>
  <c r="X368" i="13"/>
  <c r="V369" i="13"/>
  <c r="W369" i="13"/>
  <c r="X369" i="13"/>
  <c r="V370" i="13"/>
  <c r="W370" i="13"/>
  <c r="X370" i="13"/>
  <c r="V371" i="13"/>
  <c r="W371" i="13"/>
  <c r="X371" i="13"/>
  <c r="V372" i="13"/>
  <c r="W372" i="13"/>
  <c r="X372" i="13"/>
  <c r="V373" i="13"/>
  <c r="W373" i="13"/>
  <c r="X373" i="13"/>
  <c r="V374" i="13"/>
  <c r="W374" i="13"/>
  <c r="X374" i="13"/>
  <c r="V375" i="13"/>
  <c r="W375" i="13"/>
  <c r="X375" i="13"/>
  <c r="V376" i="13"/>
  <c r="W376" i="13"/>
  <c r="X376" i="13"/>
  <c r="V377" i="13"/>
  <c r="W377" i="13"/>
  <c r="X377" i="13"/>
  <c r="V378" i="13"/>
  <c r="W378" i="13"/>
  <c r="X378" i="13"/>
  <c r="V379" i="13"/>
  <c r="W379" i="13"/>
  <c r="X379" i="13"/>
  <c r="V380" i="13"/>
  <c r="W380" i="13"/>
  <c r="X380" i="13"/>
  <c r="V381" i="13"/>
  <c r="W381" i="13"/>
  <c r="X381" i="13"/>
  <c r="V382" i="13"/>
  <c r="W382" i="13"/>
  <c r="X382" i="13"/>
  <c r="V383" i="13"/>
  <c r="W383" i="13"/>
  <c r="X383" i="13"/>
  <c r="V384" i="13"/>
  <c r="W384" i="13"/>
  <c r="X384" i="13"/>
  <c r="V385" i="13"/>
  <c r="W385" i="13"/>
  <c r="X385" i="13"/>
  <c r="V386" i="13"/>
  <c r="W386" i="13"/>
  <c r="X386" i="13"/>
  <c r="V387" i="13"/>
  <c r="W387" i="13"/>
  <c r="X387" i="13"/>
  <c r="V388" i="13"/>
  <c r="W388" i="13"/>
  <c r="X388" i="13"/>
  <c r="V389" i="13"/>
  <c r="W389" i="13"/>
  <c r="X389" i="13"/>
  <c r="V390" i="13"/>
  <c r="W390" i="13"/>
  <c r="X390" i="13"/>
  <c r="V391" i="13"/>
  <c r="W391" i="13"/>
  <c r="X391" i="13"/>
  <c r="V392" i="13"/>
  <c r="W392" i="13"/>
  <c r="X392" i="13"/>
  <c r="V393" i="13"/>
  <c r="W393" i="13"/>
  <c r="X393" i="13"/>
  <c r="V394" i="13"/>
  <c r="W394" i="13"/>
  <c r="X394" i="13"/>
  <c r="V395" i="13"/>
  <c r="W395" i="13"/>
  <c r="X395" i="13"/>
  <c r="V396" i="13"/>
  <c r="W396" i="13"/>
  <c r="X396" i="13"/>
  <c r="V397" i="13"/>
  <c r="W397" i="13"/>
  <c r="X397" i="13"/>
  <c r="V398" i="13"/>
  <c r="W398" i="13"/>
  <c r="X398" i="13"/>
  <c r="V399" i="13"/>
  <c r="W399" i="13"/>
  <c r="X399" i="13"/>
  <c r="V400" i="13"/>
  <c r="W400" i="13"/>
  <c r="X400" i="13"/>
  <c r="V401" i="13"/>
  <c r="W401" i="13"/>
  <c r="X401" i="13"/>
  <c r="V402" i="13"/>
  <c r="W402" i="13"/>
  <c r="X402" i="13"/>
  <c r="V403" i="13"/>
  <c r="W403" i="13"/>
  <c r="X403" i="13"/>
  <c r="V404" i="13"/>
  <c r="W404" i="13"/>
  <c r="X404" i="13"/>
  <c r="V405" i="13"/>
  <c r="W405" i="13"/>
  <c r="X405" i="13"/>
  <c r="V406" i="13"/>
  <c r="W406" i="13"/>
  <c r="X406" i="13"/>
  <c r="V407" i="13"/>
  <c r="W407" i="13"/>
  <c r="X407" i="13"/>
  <c r="V408" i="13"/>
  <c r="W408" i="13"/>
  <c r="X408" i="13"/>
  <c r="V409" i="13"/>
  <c r="W409" i="13"/>
  <c r="X409" i="13"/>
  <c r="V410" i="13"/>
  <c r="W410" i="13"/>
  <c r="X410" i="13"/>
  <c r="V411" i="13"/>
  <c r="W411" i="13"/>
  <c r="X411" i="13"/>
  <c r="V412" i="13"/>
  <c r="W412" i="13"/>
  <c r="X412" i="13"/>
  <c r="V413" i="13"/>
  <c r="W413" i="13"/>
  <c r="X413" i="13"/>
  <c r="V414" i="13"/>
  <c r="W414" i="13"/>
  <c r="X414" i="13"/>
  <c r="V415" i="13"/>
  <c r="W415" i="13"/>
  <c r="X415" i="13"/>
  <c r="V416" i="13"/>
  <c r="W416" i="13"/>
  <c r="X416" i="13"/>
  <c r="V417" i="13"/>
  <c r="W417" i="13"/>
  <c r="X417" i="13"/>
  <c r="V418" i="13"/>
  <c r="W418" i="13"/>
  <c r="X418" i="13"/>
  <c r="V419" i="13"/>
  <c r="W419" i="13"/>
  <c r="X419" i="13"/>
  <c r="V420" i="13"/>
  <c r="W420" i="13"/>
  <c r="X420" i="13"/>
  <c r="V421" i="13"/>
  <c r="W421" i="13"/>
  <c r="X421" i="13"/>
  <c r="V422" i="13"/>
  <c r="W422" i="13"/>
  <c r="X422" i="13"/>
  <c r="V423" i="13"/>
  <c r="W423" i="13"/>
  <c r="X423" i="13"/>
  <c r="V424" i="13"/>
  <c r="W424" i="13"/>
  <c r="X424" i="13"/>
  <c r="V425" i="13"/>
  <c r="W425" i="13"/>
  <c r="X425" i="13"/>
  <c r="V426" i="13"/>
  <c r="W426" i="13"/>
  <c r="X426" i="13"/>
  <c r="V427" i="13"/>
  <c r="W427" i="13"/>
  <c r="X427" i="13"/>
  <c r="V428" i="13"/>
  <c r="W428" i="13"/>
  <c r="X428" i="13"/>
  <c r="V429" i="13"/>
  <c r="W429" i="13"/>
  <c r="X429" i="13"/>
  <c r="V430" i="13"/>
  <c r="W430" i="13"/>
  <c r="X430" i="13"/>
  <c r="V431" i="13"/>
  <c r="W431" i="13"/>
  <c r="X431" i="13"/>
  <c r="V432" i="13"/>
  <c r="W432" i="13"/>
  <c r="X432" i="13"/>
  <c r="V433" i="13"/>
  <c r="W433" i="13"/>
  <c r="X433" i="13"/>
  <c r="V434" i="13"/>
  <c r="W434" i="13"/>
  <c r="X434" i="13"/>
  <c r="V435" i="13"/>
  <c r="W435" i="13"/>
  <c r="X435" i="13"/>
  <c r="V436" i="13"/>
  <c r="W436" i="13"/>
  <c r="X436" i="13"/>
  <c r="V437" i="13"/>
  <c r="W437" i="13"/>
  <c r="X437" i="13"/>
  <c r="V438" i="13"/>
  <c r="W438" i="13"/>
  <c r="X438" i="13"/>
  <c r="V439" i="13"/>
  <c r="W439" i="13"/>
  <c r="X439" i="13"/>
  <c r="V440" i="13"/>
  <c r="W440" i="13"/>
  <c r="X440" i="13"/>
  <c r="V441" i="13"/>
  <c r="W441" i="13"/>
  <c r="X441" i="13"/>
  <c r="V442" i="13"/>
  <c r="W442" i="13"/>
  <c r="X442" i="13"/>
  <c r="V443" i="13"/>
  <c r="W443" i="13"/>
  <c r="X443" i="13"/>
  <c r="V444" i="13"/>
  <c r="W444" i="13"/>
  <c r="X444" i="13"/>
  <c r="V445" i="13"/>
  <c r="W445" i="13"/>
  <c r="X445" i="13"/>
  <c r="V446" i="13"/>
  <c r="W446" i="13"/>
  <c r="X446" i="13"/>
  <c r="V447" i="13"/>
  <c r="W447" i="13"/>
  <c r="X447" i="13"/>
  <c r="V448" i="13"/>
  <c r="W448" i="13"/>
  <c r="X448" i="13"/>
  <c r="V449" i="13"/>
  <c r="W449" i="13"/>
  <c r="X449" i="13"/>
  <c r="V450" i="13"/>
  <c r="W450" i="13"/>
  <c r="X450" i="13"/>
  <c r="V451" i="13"/>
  <c r="W451" i="13"/>
  <c r="X451" i="13"/>
  <c r="V452" i="13"/>
  <c r="W452" i="13"/>
  <c r="X452" i="13"/>
  <c r="V453" i="13"/>
  <c r="W453" i="13"/>
  <c r="X453" i="13"/>
  <c r="V454" i="13"/>
  <c r="W454" i="13"/>
  <c r="X454" i="13"/>
  <c r="V455" i="13"/>
  <c r="W455" i="13"/>
  <c r="X455" i="13"/>
  <c r="V456" i="13"/>
  <c r="W456" i="13"/>
  <c r="X456" i="13"/>
  <c r="V457" i="13"/>
  <c r="W457" i="13"/>
  <c r="X457" i="13"/>
  <c r="V458" i="13"/>
  <c r="W458" i="13"/>
  <c r="X458" i="13"/>
  <c r="V459" i="13"/>
  <c r="W459" i="13"/>
  <c r="X459" i="13"/>
  <c r="V460" i="13"/>
  <c r="W460" i="13"/>
  <c r="X460" i="13"/>
  <c r="V461" i="13"/>
  <c r="W461" i="13"/>
  <c r="X461" i="13"/>
  <c r="V462" i="13"/>
  <c r="W462" i="13"/>
  <c r="X462" i="13"/>
  <c r="V463" i="13"/>
  <c r="W463" i="13"/>
  <c r="X463" i="13"/>
  <c r="V464" i="13"/>
  <c r="W464" i="13"/>
  <c r="X464" i="13"/>
  <c r="V465" i="13"/>
  <c r="W465" i="13"/>
  <c r="X465" i="13"/>
  <c r="V466" i="13"/>
  <c r="W466" i="13"/>
  <c r="X466" i="13"/>
  <c r="V467" i="13"/>
  <c r="W467" i="13"/>
  <c r="X467" i="13"/>
  <c r="V468" i="13"/>
  <c r="W468" i="13"/>
  <c r="X468" i="13"/>
  <c r="V469" i="13"/>
  <c r="W469" i="13"/>
  <c r="X469" i="13"/>
  <c r="V470" i="13"/>
  <c r="W470" i="13"/>
  <c r="X470" i="13"/>
  <c r="V471" i="13"/>
  <c r="W471" i="13"/>
  <c r="X471" i="13"/>
  <c r="V472" i="13"/>
  <c r="W472" i="13"/>
  <c r="X472" i="13"/>
  <c r="V473" i="13"/>
  <c r="W473" i="13"/>
  <c r="X473" i="13"/>
  <c r="V474" i="13"/>
  <c r="W474" i="13"/>
  <c r="X474" i="13"/>
  <c r="V475" i="13"/>
  <c r="W475" i="13"/>
  <c r="X475" i="13"/>
  <c r="V476" i="13"/>
  <c r="W476" i="13"/>
  <c r="X476" i="13"/>
  <c r="V477" i="13"/>
  <c r="W477" i="13"/>
  <c r="X477" i="13"/>
  <c r="V478" i="13"/>
  <c r="W478" i="13"/>
  <c r="X478" i="13"/>
  <c r="V479" i="13"/>
  <c r="W479" i="13"/>
  <c r="X479" i="13"/>
  <c r="V480" i="13"/>
  <c r="W480" i="13"/>
  <c r="X480" i="13"/>
  <c r="V481" i="13"/>
  <c r="W481" i="13"/>
  <c r="X481" i="13"/>
  <c r="V482" i="13"/>
  <c r="W482" i="13"/>
  <c r="X482" i="13"/>
  <c r="V483" i="13"/>
  <c r="W483" i="13"/>
  <c r="X483" i="13"/>
  <c r="V484" i="13"/>
  <c r="W484" i="13"/>
  <c r="X484" i="13"/>
  <c r="V485" i="13"/>
  <c r="W485" i="13"/>
  <c r="X485" i="13"/>
  <c r="V486" i="13"/>
  <c r="W486" i="13"/>
  <c r="X486" i="13"/>
  <c r="V487" i="13"/>
  <c r="W487" i="13"/>
  <c r="X487" i="13"/>
  <c r="V488" i="13"/>
  <c r="W488" i="13"/>
  <c r="X488" i="13"/>
  <c r="V489" i="13"/>
  <c r="W489" i="13"/>
  <c r="X489" i="13"/>
  <c r="V490" i="13"/>
  <c r="W490" i="13"/>
  <c r="X490" i="13"/>
  <c r="V491" i="13"/>
  <c r="W491" i="13"/>
  <c r="X491" i="13"/>
  <c r="V492" i="13"/>
  <c r="W492" i="13"/>
  <c r="X492" i="13"/>
  <c r="V493" i="13"/>
  <c r="W493" i="13"/>
  <c r="X493" i="13"/>
  <c r="V494" i="13"/>
  <c r="W494" i="13"/>
  <c r="X494" i="13"/>
  <c r="V495" i="13"/>
  <c r="W495" i="13"/>
  <c r="X495" i="13"/>
  <c r="V496" i="13"/>
  <c r="W496" i="13"/>
  <c r="X496" i="13"/>
  <c r="V497" i="13"/>
  <c r="W497" i="13"/>
  <c r="X497" i="13"/>
  <c r="V498" i="13"/>
  <c r="W498" i="13"/>
  <c r="X498" i="13"/>
  <c r="V499" i="13"/>
  <c r="W499" i="13"/>
  <c r="X499" i="13"/>
  <c r="V500" i="13"/>
  <c r="W500" i="13"/>
  <c r="X500" i="13"/>
  <c r="V501" i="13"/>
  <c r="W501" i="13"/>
  <c r="X501" i="13"/>
  <c r="V502" i="13"/>
  <c r="W502" i="13"/>
  <c r="X502" i="13"/>
  <c r="V503" i="13"/>
  <c r="W503" i="13"/>
  <c r="X503" i="13"/>
  <c r="V504" i="13"/>
  <c r="W504" i="13"/>
  <c r="X504" i="13"/>
  <c r="V505" i="13"/>
  <c r="W505" i="13"/>
  <c r="X505" i="13"/>
  <c r="V506" i="13"/>
  <c r="W506" i="13"/>
  <c r="X506" i="13"/>
  <c r="V507" i="13"/>
  <c r="W507" i="13"/>
  <c r="X507" i="13"/>
  <c r="V508" i="13"/>
  <c r="W508" i="13"/>
  <c r="X508" i="13"/>
  <c r="V509" i="13"/>
  <c r="W509" i="13"/>
  <c r="X509" i="13"/>
  <c r="V510" i="13"/>
  <c r="W510" i="13"/>
  <c r="X510" i="13"/>
  <c r="V511" i="13"/>
  <c r="W511" i="13"/>
  <c r="X511" i="13"/>
  <c r="V512" i="13"/>
  <c r="W512" i="13"/>
  <c r="X512" i="13"/>
  <c r="V513" i="13"/>
  <c r="W513" i="13"/>
  <c r="X513" i="13"/>
  <c r="V514" i="13"/>
  <c r="W514" i="13"/>
  <c r="X514" i="13"/>
  <c r="V515" i="13"/>
  <c r="W515" i="13"/>
  <c r="X515" i="13"/>
  <c r="V516" i="13"/>
  <c r="W516" i="13"/>
  <c r="X516" i="13"/>
  <c r="V517" i="13"/>
  <c r="W517" i="13"/>
  <c r="X517" i="13"/>
  <c r="V518" i="13"/>
  <c r="W518" i="13"/>
  <c r="X518" i="13"/>
  <c r="V519" i="13"/>
  <c r="W519" i="13"/>
  <c r="X519" i="13"/>
  <c r="V520" i="13"/>
  <c r="W520" i="13"/>
  <c r="X520" i="13"/>
  <c r="V521" i="13"/>
  <c r="W521" i="13"/>
  <c r="X521" i="13"/>
  <c r="V522" i="13"/>
  <c r="W522" i="13"/>
  <c r="X522" i="13"/>
  <c r="V523" i="13"/>
  <c r="W523" i="13"/>
  <c r="X523" i="13"/>
  <c r="V524" i="13"/>
  <c r="W524" i="13"/>
  <c r="X524" i="13"/>
  <c r="V525" i="13"/>
  <c r="W525" i="13"/>
  <c r="X525" i="13"/>
  <c r="V526" i="13"/>
  <c r="W526" i="13"/>
  <c r="X526" i="13"/>
  <c r="V527" i="13"/>
  <c r="W527" i="13"/>
  <c r="X527" i="13"/>
  <c r="V528" i="13"/>
  <c r="W528" i="13"/>
  <c r="X528" i="13"/>
  <c r="V529" i="13"/>
  <c r="W529" i="13"/>
  <c r="X529" i="13"/>
  <c r="V530" i="13"/>
  <c r="W530" i="13"/>
  <c r="X530" i="13"/>
  <c r="V531" i="13"/>
  <c r="W531" i="13"/>
  <c r="X531" i="13"/>
  <c r="V532" i="13"/>
  <c r="W532" i="13"/>
  <c r="X532" i="13"/>
  <c r="V533" i="13"/>
  <c r="W533" i="13"/>
  <c r="X533" i="13"/>
  <c r="V534" i="13"/>
  <c r="W534" i="13"/>
  <c r="X534" i="13"/>
  <c r="V535" i="13"/>
  <c r="W535" i="13"/>
  <c r="X535" i="13"/>
  <c r="V536" i="13"/>
  <c r="W536" i="13"/>
  <c r="X536" i="13"/>
  <c r="V537" i="13"/>
  <c r="W537" i="13"/>
  <c r="X537" i="13"/>
  <c r="V538" i="13"/>
  <c r="W538" i="13"/>
  <c r="X538" i="13"/>
  <c r="V539" i="13"/>
  <c r="W539" i="13"/>
  <c r="X539" i="13"/>
  <c r="V540" i="13"/>
  <c r="W540" i="13"/>
  <c r="X540" i="13"/>
  <c r="V541" i="13"/>
  <c r="W541" i="13"/>
  <c r="X541" i="13"/>
  <c r="V542" i="13"/>
  <c r="W542" i="13"/>
  <c r="X542" i="13"/>
  <c r="V543" i="13"/>
  <c r="W543" i="13"/>
  <c r="X543" i="13"/>
  <c r="V544" i="13"/>
  <c r="W544" i="13"/>
  <c r="X544" i="13"/>
  <c r="V545" i="13"/>
  <c r="W545" i="13"/>
  <c r="X545" i="13"/>
  <c r="V546" i="13"/>
  <c r="W546" i="13"/>
  <c r="X546" i="13"/>
  <c r="V547" i="13"/>
  <c r="W547" i="13"/>
  <c r="X547" i="13"/>
  <c r="V548" i="13"/>
  <c r="W548" i="13"/>
  <c r="X548" i="13"/>
  <c r="V549" i="13"/>
  <c r="W549" i="13"/>
  <c r="X549" i="13"/>
  <c r="V550" i="13"/>
  <c r="W550" i="13"/>
  <c r="X550" i="13"/>
  <c r="V551" i="13"/>
  <c r="W551" i="13"/>
  <c r="X551" i="13"/>
  <c r="V552" i="13"/>
  <c r="W552" i="13"/>
  <c r="X552" i="13"/>
  <c r="V553" i="13"/>
  <c r="W553" i="13"/>
  <c r="X553" i="13"/>
  <c r="V554" i="13"/>
  <c r="W554" i="13"/>
  <c r="X554" i="13"/>
  <c r="V555" i="13"/>
  <c r="W555" i="13"/>
  <c r="X555" i="13"/>
  <c r="V556" i="13"/>
  <c r="W556" i="13"/>
  <c r="X556" i="13"/>
  <c r="V557" i="13"/>
  <c r="W557" i="13"/>
  <c r="X557" i="13"/>
  <c r="V558" i="13"/>
  <c r="W558" i="13"/>
  <c r="X558" i="13"/>
  <c r="V559" i="13"/>
  <c r="W559" i="13"/>
  <c r="X559" i="13"/>
  <c r="V560" i="13"/>
  <c r="W560" i="13"/>
  <c r="X560" i="13"/>
  <c r="V561" i="13"/>
  <c r="W561" i="13"/>
  <c r="X561" i="13"/>
  <c r="V562" i="13"/>
  <c r="W562" i="13"/>
  <c r="X562" i="13"/>
  <c r="V563" i="13"/>
  <c r="W563" i="13"/>
  <c r="X563" i="13"/>
  <c r="V564" i="13"/>
  <c r="W564" i="13"/>
  <c r="X564" i="13"/>
  <c r="V565" i="13"/>
  <c r="W565" i="13"/>
  <c r="X565" i="13"/>
  <c r="V566" i="13"/>
  <c r="W566" i="13"/>
  <c r="X566" i="13"/>
  <c r="V567" i="13"/>
  <c r="W567" i="13"/>
  <c r="X567" i="13"/>
  <c r="V568" i="13"/>
  <c r="W568" i="13"/>
  <c r="X568" i="13"/>
  <c r="V569" i="13"/>
  <c r="W569" i="13"/>
  <c r="X569" i="13"/>
  <c r="V570" i="13"/>
  <c r="W570" i="13"/>
  <c r="X570" i="13"/>
  <c r="V571" i="13"/>
  <c r="W571" i="13"/>
  <c r="X571" i="13"/>
  <c r="V572" i="13"/>
  <c r="W572" i="13"/>
  <c r="X572" i="13"/>
  <c r="V573" i="13"/>
  <c r="W573" i="13"/>
  <c r="X573" i="13"/>
  <c r="V574" i="13"/>
  <c r="W574" i="13"/>
  <c r="X574" i="13"/>
  <c r="V575" i="13"/>
  <c r="W575" i="13"/>
  <c r="X575" i="13"/>
  <c r="V576" i="13"/>
  <c r="W576" i="13"/>
  <c r="X576" i="13"/>
  <c r="V577" i="13"/>
  <c r="W577" i="13"/>
  <c r="X577" i="13"/>
  <c r="V578" i="13"/>
  <c r="W578" i="13"/>
  <c r="X578" i="13"/>
  <c r="V579" i="13"/>
  <c r="W579" i="13"/>
  <c r="X579" i="13"/>
  <c r="V580" i="13"/>
  <c r="W580" i="13"/>
  <c r="X580" i="13"/>
  <c r="V581" i="13"/>
  <c r="W581" i="13"/>
  <c r="X581" i="13"/>
  <c r="V582" i="13"/>
  <c r="W582" i="13"/>
  <c r="X582" i="13"/>
  <c r="V583" i="13"/>
  <c r="W583" i="13"/>
  <c r="X583" i="13"/>
  <c r="V584" i="13"/>
  <c r="W584" i="13"/>
  <c r="X584" i="13"/>
  <c r="V585" i="13"/>
  <c r="W585" i="13"/>
  <c r="X585" i="13"/>
  <c r="V586" i="13"/>
  <c r="W586" i="13"/>
  <c r="X586" i="13"/>
  <c r="V587" i="13"/>
  <c r="W587" i="13"/>
  <c r="X587" i="13"/>
  <c r="V588" i="13"/>
  <c r="W588" i="13"/>
  <c r="X588" i="13"/>
  <c r="V589" i="13"/>
  <c r="W589" i="13"/>
  <c r="X589" i="13"/>
  <c r="V590" i="13"/>
  <c r="W590" i="13"/>
  <c r="X590" i="13"/>
  <c r="V591" i="13"/>
  <c r="W591" i="13"/>
  <c r="X591" i="13"/>
  <c r="V592" i="13"/>
  <c r="W592" i="13"/>
  <c r="X592" i="13"/>
  <c r="V593" i="13"/>
  <c r="W593" i="13"/>
  <c r="X593" i="13"/>
  <c r="V594" i="13"/>
  <c r="W594" i="13"/>
  <c r="X594" i="13"/>
  <c r="V595" i="13"/>
  <c r="W595" i="13"/>
  <c r="X595" i="13"/>
  <c r="V596" i="13"/>
  <c r="W596" i="13"/>
  <c r="X596" i="13"/>
  <c r="V597" i="13"/>
  <c r="W597" i="13"/>
  <c r="X597" i="13"/>
  <c r="V598" i="13"/>
  <c r="W598" i="13"/>
  <c r="X598" i="13"/>
  <c r="V599" i="13"/>
  <c r="W599" i="13"/>
  <c r="X599" i="13"/>
  <c r="V600" i="13"/>
  <c r="W600" i="13"/>
  <c r="X600" i="13"/>
  <c r="V601" i="13"/>
  <c r="W601" i="13"/>
  <c r="X601" i="13"/>
  <c r="V602" i="13"/>
  <c r="W602" i="13"/>
  <c r="X602" i="13"/>
  <c r="V603" i="13"/>
  <c r="W603" i="13"/>
  <c r="X603" i="13"/>
  <c r="V604" i="13"/>
  <c r="W604" i="13"/>
  <c r="X604" i="13"/>
  <c r="V605" i="13"/>
  <c r="W605" i="13"/>
  <c r="X605" i="13"/>
  <c r="V606" i="13"/>
  <c r="W606" i="13"/>
  <c r="X606" i="13"/>
  <c r="V607" i="13"/>
  <c r="W607" i="13"/>
  <c r="X607" i="13"/>
  <c r="V608" i="13"/>
  <c r="W608" i="13"/>
  <c r="X608" i="13"/>
  <c r="V609" i="13"/>
  <c r="W609" i="13"/>
  <c r="X609" i="13"/>
  <c r="V610" i="13"/>
  <c r="W610" i="13"/>
  <c r="X610" i="13"/>
  <c r="V611" i="13"/>
  <c r="W611" i="13"/>
  <c r="X611" i="13"/>
  <c r="V612" i="13"/>
  <c r="W612" i="13"/>
  <c r="X612" i="13"/>
  <c r="V613" i="13"/>
  <c r="W613" i="13"/>
  <c r="X613" i="13"/>
  <c r="V614" i="13"/>
  <c r="W614" i="13"/>
  <c r="X614" i="13"/>
  <c r="V615" i="13"/>
  <c r="W615" i="13"/>
  <c r="X615" i="13"/>
  <c r="V616" i="13"/>
  <c r="W616" i="13"/>
  <c r="X616" i="13"/>
  <c r="V617" i="13"/>
  <c r="W617" i="13"/>
  <c r="X617" i="13"/>
  <c r="V618" i="13"/>
  <c r="W618" i="13"/>
  <c r="X618" i="13"/>
  <c r="V619" i="13"/>
  <c r="W619" i="13"/>
  <c r="X619" i="13"/>
  <c r="V620" i="13"/>
  <c r="W620" i="13"/>
  <c r="X620" i="13"/>
  <c r="V621" i="13"/>
  <c r="W621" i="13"/>
  <c r="X621" i="13"/>
  <c r="V622" i="13"/>
  <c r="W622" i="13"/>
  <c r="X622" i="13"/>
  <c r="V623" i="13"/>
  <c r="W623" i="13"/>
  <c r="X623" i="13"/>
  <c r="V624" i="13"/>
  <c r="W624" i="13"/>
  <c r="X624" i="13"/>
  <c r="V625" i="13"/>
  <c r="W625" i="13"/>
  <c r="X625" i="13"/>
  <c r="V626" i="13"/>
  <c r="W626" i="13"/>
  <c r="X626" i="13"/>
  <c r="V627" i="13"/>
  <c r="W627" i="13"/>
  <c r="X627" i="13"/>
  <c r="V628" i="13"/>
  <c r="W628" i="13"/>
  <c r="X628" i="13"/>
  <c r="V629" i="13"/>
  <c r="W629" i="13"/>
  <c r="X629" i="13"/>
  <c r="V630" i="13"/>
  <c r="W630" i="13"/>
  <c r="X630" i="13"/>
  <c r="V631" i="13"/>
  <c r="W631" i="13"/>
  <c r="X631" i="13"/>
  <c r="V632" i="13"/>
  <c r="W632" i="13"/>
  <c r="X632" i="13"/>
  <c r="V633" i="13"/>
  <c r="W633" i="13"/>
  <c r="X633" i="13"/>
  <c r="V634" i="13"/>
  <c r="W634" i="13"/>
  <c r="X634" i="13"/>
  <c r="V635" i="13"/>
  <c r="W635" i="13"/>
  <c r="X635" i="13"/>
  <c r="V636" i="13"/>
  <c r="W636" i="13"/>
  <c r="X636" i="13"/>
  <c r="V637" i="13"/>
  <c r="W637" i="13"/>
  <c r="X637" i="13"/>
  <c r="V638" i="13"/>
  <c r="W638" i="13"/>
  <c r="X638" i="13"/>
  <c r="V639" i="13"/>
  <c r="W639" i="13"/>
  <c r="X639" i="13"/>
  <c r="V640" i="13"/>
  <c r="W640" i="13"/>
  <c r="X640" i="13"/>
  <c r="V641" i="13"/>
  <c r="W641" i="13"/>
  <c r="X641" i="13"/>
  <c r="V642" i="13"/>
  <c r="W642" i="13"/>
  <c r="X642" i="13"/>
  <c r="V643" i="13"/>
  <c r="W643" i="13"/>
  <c r="X643" i="13"/>
  <c r="V644" i="13"/>
  <c r="W644" i="13"/>
  <c r="X644" i="13"/>
  <c r="V645" i="13"/>
  <c r="W645" i="13"/>
  <c r="X645" i="13"/>
  <c r="V646" i="13"/>
  <c r="W646" i="13"/>
  <c r="X646" i="13"/>
  <c r="V647" i="13"/>
  <c r="W647" i="13"/>
  <c r="X647" i="13"/>
  <c r="V648" i="13"/>
  <c r="W648" i="13"/>
  <c r="X648" i="13"/>
  <c r="V649" i="13"/>
  <c r="W649" i="13"/>
  <c r="X649" i="13"/>
  <c r="V650" i="13"/>
  <c r="W650" i="13"/>
  <c r="X650" i="13"/>
  <c r="V651" i="13"/>
  <c r="W651" i="13"/>
  <c r="X651" i="13"/>
  <c r="V652" i="13"/>
  <c r="W652" i="13"/>
  <c r="X652" i="13"/>
  <c r="V653" i="13"/>
  <c r="W653" i="13"/>
  <c r="X653" i="13"/>
  <c r="V654" i="13"/>
  <c r="W654" i="13"/>
  <c r="X654" i="13"/>
  <c r="V655" i="13"/>
  <c r="W655" i="13"/>
  <c r="X655" i="13"/>
  <c r="V656" i="13"/>
  <c r="W656" i="13"/>
  <c r="X656" i="13"/>
  <c r="V657" i="13"/>
  <c r="W657" i="13"/>
  <c r="X657" i="13"/>
  <c r="V658" i="13"/>
  <c r="W658" i="13"/>
  <c r="X658" i="13"/>
  <c r="V659" i="13"/>
  <c r="W659" i="13"/>
  <c r="X659" i="13"/>
  <c r="V660" i="13"/>
  <c r="W660" i="13"/>
  <c r="X660" i="13"/>
  <c r="V661" i="13"/>
  <c r="W661" i="13"/>
  <c r="X661" i="13"/>
  <c r="V662" i="13"/>
  <c r="W662" i="13"/>
  <c r="X662" i="13"/>
  <c r="V663" i="13"/>
  <c r="W663" i="13"/>
  <c r="X663" i="13"/>
  <c r="V664" i="13"/>
  <c r="W664" i="13"/>
  <c r="X664" i="13"/>
  <c r="V665" i="13"/>
  <c r="W665" i="13"/>
  <c r="X665" i="13"/>
  <c r="V666" i="13"/>
  <c r="W666" i="13"/>
  <c r="X666" i="13"/>
  <c r="V667" i="13"/>
  <c r="W667" i="13"/>
  <c r="X667" i="13"/>
  <c r="V668" i="13"/>
  <c r="W668" i="13"/>
  <c r="X668" i="13"/>
  <c r="V669" i="13"/>
  <c r="W669" i="13"/>
  <c r="X669" i="13"/>
  <c r="V670" i="13"/>
  <c r="W670" i="13"/>
  <c r="X670" i="13"/>
  <c r="V671" i="13"/>
  <c r="W671" i="13"/>
  <c r="X671" i="13"/>
  <c r="V672" i="13"/>
  <c r="W672" i="13"/>
  <c r="X672" i="13"/>
  <c r="V673" i="13"/>
  <c r="W673" i="13"/>
  <c r="X673" i="13"/>
  <c r="V674" i="13"/>
  <c r="W674" i="13"/>
  <c r="X674" i="13"/>
  <c r="V675" i="13"/>
  <c r="W675" i="13"/>
  <c r="X675" i="13"/>
  <c r="V676" i="13"/>
  <c r="W676" i="13"/>
  <c r="X676" i="13"/>
  <c r="V677" i="13"/>
  <c r="W677" i="13"/>
  <c r="X677" i="13"/>
  <c r="V678" i="13"/>
  <c r="W678" i="13"/>
  <c r="X678" i="13"/>
  <c r="V679" i="13"/>
  <c r="W679" i="13"/>
  <c r="X679" i="13"/>
  <c r="V680" i="13"/>
  <c r="W680" i="13"/>
  <c r="X680" i="13"/>
  <c r="V681" i="13"/>
  <c r="W681" i="13"/>
  <c r="X681" i="13"/>
  <c r="V682" i="13"/>
  <c r="W682" i="13"/>
  <c r="X682" i="13"/>
  <c r="V683" i="13"/>
  <c r="W683" i="13"/>
  <c r="X683" i="13"/>
  <c r="V684" i="13"/>
  <c r="W684" i="13"/>
  <c r="X684" i="13"/>
  <c r="V685" i="13"/>
  <c r="W685" i="13"/>
  <c r="X685" i="13"/>
  <c r="V686" i="13"/>
  <c r="W686" i="13"/>
  <c r="X686" i="13"/>
  <c r="V687" i="13"/>
  <c r="W687" i="13"/>
  <c r="X687" i="13"/>
  <c r="V688" i="13"/>
  <c r="W688" i="13"/>
  <c r="X688" i="13"/>
  <c r="V689" i="13"/>
  <c r="W689" i="13"/>
  <c r="X689" i="13"/>
  <c r="V690" i="13"/>
  <c r="W690" i="13"/>
  <c r="X690" i="13"/>
  <c r="V691" i="13"/>
  <c r="W691" i="13"/>
  <c r="X691" i="13"/>
  <c r="V692" i="13"/>
  <c r="W692" i="13"/>
  <c r="X692" i="13"/>
  <c r="V693" i="13"/>
  <c r="W693" i="13"/>
  <c r="X693" i="13"/>
  <c r="V694" i="13"/>
  <c r="W694" i="13"/>
  <c r="X694" i="13"/>
  <c r="V695" i="13"/>
  <c r="W695" i="13"/>
  <c r="X695" i="13"/>
  <c r="V696" i="13"/>
  <c r="W696" i="13"/>
  <c r="X696" i="13"/>
  <c r="V697" i="13"/>
  <c r="W697" i="13"/>
  <c r="X697" i="13"/>
  <c r="V698" i="13"/>
  <c r="W698" i="13"/>
  <c r="X698" i="13"/>
  <c r="V699" i="13"/>
  <c r="W699" i="13"/>
  <c r="X699" i="13"/>
  <c r="V700" i="13"/>
  <c r="W700" i="13"/>
  <c r="X700" i="13"/>
  <c r="V701" i="13"/>
  <c r="W701" i="13"/>
  <c r="X701" i="13"/>
  <c r="V702" i="13"/>
  <c r="W702" i="13"/>
  <c r="X702" i="13"/>
  <c r="V703" i="13"/>
  <c r="W703" i="13"/>
  <c r="X703" i="13"/>
  <c r="V704" i="13"/>
  <c r="W704" i="13"/>
  <c r="X704" i="13"/>
  <c r="V705" i="13"/>
  <c r="W705" i="13"/>
  <c r="X705" i="13"/>
  <c r="V706" i="13"/>
  <c r="W706" i="13"/>
  <c r="X706" i="13"/>
  <c r="V707" i="13"/>
  <c r="W707" i="13"/>
  <c r="X707" i="13"/>
  <c r="V708" i="13"/>
  <c r="W708" i="13"/>
  <c r="X708" i="13"/>
  <c r="V709" i="13"/>
  <c r="W709" i="13"/>
  <c r="X709" i="13"/>
  <c r="V710" i="13"/>
  <c r="W710" i="13"/>
  <c r="X710" i="13"/>
  <c r="V711" i="13"/>
  <c r="W711" i="13"/>
  <c r="X711" i="13"/>
  <c r="V712" i="13"/>
  <c r="W712" i="13"/>
  <c r="X712" i="13"/>
  <c r="V713" i="13"/>
  <c r="W713" i="13"/>
  <c r="X713" i="13"/>
  <c r="V714" i="13"/>
  <c r="W714" i="13"/>
  <c r="X714" i="13"/>
  <c r="V715" i="13"/>
  <c r="W715" i="13"/>
  <c r="X715" i="13"/>
  <c r="V716" i="13"/>
  <c r="W716" i="13"/>
  <c r="X716" i="13"/>
  <c r="V717" i="13"/>
  <c r="W717" i="13"/>
  <c r="X717" i="13"/>
  <c r="V718" i="13"/>
  <c r="W718" i="13"/>
  <c r="X718" i="13"/>
  <c r="V719" i="13"/>
  <c r="W719" i="13"/>
  <c r="X719" i="13"/>
  <c r="V720" i="13"/>
  <c r="W720" i="13"/>
  <c r="X720" i="13"/>
  <c r="V721" i="13"/>
  <c r="W721" i="13"/>
  <c r="X721" i="13"/>
  <c r="V722" i="13"/>
  <c r="W722" i="13"/>
  <c r="X722" i="13"/>
  <c r="V723" i="13"/>
  <c r="W723" i="13"/>
  <c r="X723" i="13"/>
  <c r="V724" i="13"/>
  <c r="W724" i="13"/>
  <c r="X724" i="13"/>
  <c r="V725" i="13"/>
  <c r="W725" i="13"/>
  <c r="X725" i="13"/>
  <c r="V726" i="13"/>
  <c r="W726" i="13"/>
  <c r="X726" i="13"/>
  <c r="V727" i="13"/>
  <c r="W727" i="13"/>
  <c r="X727" i="13"/>
  <c r="V728" i="13"/>
  <c r="W728" i="13"/>
  <c r="X728" i="13"/>
  <c r="V729" i="13"/>
  <c r="W729" i="13"/>
  <c r="X729" i="13"/>
  <c r="V730" i="13"/>
  <c r="W730" i="13"/>
  <c r="X730" i="13"/>
  <c r="V731" i="13"/>
  <c r="W731" i="13"/>
  <c r="X731" i="13"/>
  <c r="V732" i="13"/>
  <c r="W732" i="13"/>
  <c r="X732" i="13"/>
  <c r="V733" i="13"/>
  <c r="W733" i="13"/>
  <c r="X733" i="13"/>
  <c r="V734" i="13"/>
  <c r="W734" i="13"/>
  <c r="X734" i="13"/>
  <c r="V735" i="13"/>
  <c r="W735" i="13"/>
  <c r="X735" i="13"/>
  <c r="V736" i="13"/>
  <c r="W736" i="13"/>
  <c r="X736" i="13"/>
  <c r="V737" i="13"/>
  <c r="W737" i="13"/>
  <c r="X737" i="13"/>
  <c r="V738" i="13"/>
  <c r="W738" i="13"/>
  <c r="X738" i="13"/>
  <c r="V739" i="13"/>
  <c r="W739" i="13"/>
  <c r="X739" i="13"/>
  <c r="V740" i="13"/>
  <c r="W740" i="13"/>
  <c r="X740" i="13"/>
  <c r="V741" i="13"/>
  <c r="W741" i="13"/>
  <c r="X741" i="13"/>
  <c r="V742" i="13"/>
  <c r="W742" i="13"/>
  <c r="X742" i="13"/>
  <c r="V743" i="13"/>
  <c r="W743" i="13"/>
  <c r="X743" i="13"/>
  <c r="V744" i="13"/>
  <c r="W744" i="13"/>
  <c r="X744" i="13"/>
  <c r="V745" i="13"/>
  <c r="W745" i="13"/>
  <c r="X745" i="13"/>
  <c r="V746" i="13"/>
  <c r="W746" i="13"/>
  <c r="X746" i="13"/>
  <c r="V747" i="13"/>
  <c r="W747" i="13"/>
  <c r="X747" i="13"/>
  <c r="V748" i="13"/>
  <c r="W748" i="13"/>
  <c r="X748" i="13"/>
  <c r="V749" i="13"/>
  <c r="W749" i="13"/>
  <c r="X749" i="13"/>
  <c r="V750" i="13"/>
  <c r="W750" i="13"/>
  <c r="X750" i="13"/>
  <c r="V751" i="13"/>
  <c r="W751" i="13"/>
  <c r="X751" i="13"/>
  <c r="V752" i="13"/>
  <c r="W752" i="13"/>
  <c r="X752" i="13"/>
  <c r="V753" i="13"/>
  <c r="W753" i="13"/>
  <c r="X753" i="13"/>
  <c r="V754" i="13"/>
  <c r="W754" i="13"/>
  <c r="X754" i="13"/>
  <c r="V755" i="13"/>
  <c r="W755" i="13"/>
  <c r="X755" i="13"/>
  <c r="V756" i="13"/>
  <c r="W756" i="13"/>
  <c r="X756" i="13"/>
  <c r="V757" i="13"/>
  <c r="W757" i="13"/>
  <c r="X757" i="13"/>
  <c r="V758" i="13"/>
  <c r="W758" i="13"/>
  <c r="X758" i="13"/>
  <c r="V759" i="13"/>
  <c r="W759" i="13"/>
  <c r="X759" i="13"/>
  <c r="V760" i="13"/>
  <c r="W760" i="13"/>
  <c r="X760" i="13"/>
  <c r="V761" i="13"/>
  <c r="W761" i="13"/>
  <c r="X761" i="13"/>
  <c r="V762" i="13"/>
  <c r="W762" i="13"/>
  <c r="X762" i="13"/>
  <c r="V763" i="13"/>
  <c r="W763" i="13"/>
  <c r="X763" i="13"/>
  <c r="V764" i="13"/>
  <c r="W764" i="13"/>
  <c r="X764" i="13"/>
  <c r="V765" i="13"/>
  <c r="W765" i="13"/>
  <c r="X765" i="13"/>
  <c r="V766" i="13"/>
  <c r="W766" i="13"/>
  <c r="X766" i="13"/>
  <c r="V767" i="13"/>
  <c r="W767" i="13"/>
  <c r="X767" i="13"/>
  <c r="V768" i="13"/>
  <c r="W768" i="13"/>
  <c r="X768" i="13"/>
  <c r="V769" i="13"/>
  <c r="W769" i="13"/>
  <c r="X769" i="13"/>
  <c r="V770" i="13"/>
  <c r="W770" i="13"/>
  <c r="X770" i="13"/>
  <c r="V771" i="13"/>
  <c r="W771" i="13"/>
  <c r="X771" i="13"/>
  <c r="V772" i="13"/>
  <c r="W772" i="13"/>
  <c r="X772" i="13"/>
  <c r="V773" i="13"/>
  <c r="W773" i="13"/>
  <c r="X773" i="13"/>
  <c r="V774" i="13"/>
  <c r="W774" i="13"/>
  <c r="X774" i="13"/>
  <c r="V775" i="13"/>
  <c r="W775" i="13"/>
  <c r="X775" i="13"/>
  <c r="V776" i="13"/>
  <c r="W776" i="13"/>
  <c r="X776" i="13"/>
  <c r="V777" i="13"/>
  <c r="W777" i="13"/>
  <c r="X777" i="13"/>
  <c r="V778" i="13"/>
  <c r="W778" i="13"/>
  <c r="X778" i="13"/>
  <c r="V779" i="13"/>
  <c r="W779" i="13"/>
  <c r="X779" i="13"/>
  <c r="V780" i="13"/>
  <c r="W780" i="13"/>
  <c r="X780" i="13"/>
  <c r="V781" i="13"/>
  <c r="W781" i="13"/>
  <c r="X781" i="13"/>
  <c r="V782" i="13"/>
  <c r="W782" i="13"/>
  <c r="X782" i="13"/>
  <c r="V783" i="13"/>
  <c r="W783" i="13"/>
  <c r="X783" i="13"/>
  <c r="V784" i="13"/>
  <c r="W784" i="13"/>
  <c r="X784" i="13"/>
  <c r="V785" i="13"/>
  <c r="W785" i="13"/>
  <c r="X785" i="13"/>
  <c r="V786" i="13"/>
  <c r="W786" i="13"/>
  <c r="X786" i="13"/>
  <c r="V787" i="13"/>
  <c r="W787" i="13"/>
  <c r="X787" i="13"/>
  <c r="V788" i="13"/>
  <c r="W788" i="13"/>
  <c r="X788" i="13"/>
  <c r="V789" i="13"/>
  <c r="W789" i="13"/>
  <c r="X789" i="13"/>
  <c r="V790" i="13"/>
  <c r="W790" i="13"/>
  <c r="X790" i="13"/>
  <c r="V791" i="13"/>
  <c r="W791" i="13"/>
  <c r="X791" i="13"/>
  <c r="V792" i="13"/>
  <c r="W792" i="13"/>
  <c r="X792" i="13"/>
  <c r="V793" i="13"/>
  <c r="W793" i="13"/>
  <c r="X793" i="13"/>
  <c r="V794" i="13"/>
  <c r="W794" i="13"/>
  <c r="X794" i="13"/>
  <c r="V795" i="13"/>
  <c r="W795" i="13"/>
  <c r="X795" i="13"/>
  <c r="V796" i="13"/>
  <c r="W796" i="13"/>
  <c r="X796" i="13"/>
  <c r="V797" i="13"/>
  <c r="W797" i="13"/>
  <c r="X797" i="13"/>
  <c r="V798" i="13"/>
  <c r="W798" i="13"/>
  <c r="X798" i="13"/>
  <c r="V799" i="13"/>
  <c r="W799" i="13"/>
  <c r="X799" i="13"/>
  <c r="V800" i="13"/>
  <c r="W800" i="13"/>
  <c r="X800" i="13"/>
  <c r="V801" i="13"/>
  <c r="W801" i="13"/>
  <c r="X801" i="13"/>
  <c r="V802" i="13"/>
  <c r="W802" i="13"/>
  <c r="X802" i="13"/>
  <c r="V803" i="13"/>
  <c r="W803" i="13"/>
  <c r="X803" i="13"/>
  <c r="V804" i="13"/>
  <c r="W804" i="13"/>
  <c r="X804" i="13"/>
  <c r="V805" i="13"/>
  <c r="W805" i="13"/>
  <c r="X805" i="13"/>
  <c r="V806" i="13"/>
  <c r="W806" i="13"/>
  <c r="X806" i="13"/>
  <c r="V807" i="13"/>
  <c r="W807" i="13"/>
  <c r="X807" i="13"/>
  <c r="V808" i="13"/>
  <c r="W808" i="13"/>
  <c r="X808" i="13"/>
  <c r="V809" i="13"/>
  <c r="W809" i="13"/>
  <c r="X809" i="13"/>
  <c r="V810" i="13"/>
  <c r="W810" i="13"/>
  <c r="X810" i="13"/>
  <c r="V811" i="13"/>
  <c r="W811" i="13"/>
  <c r="X811" i="13"/>
  <c r="V812" i="13"/>
  <c r="W812" i="13"/>
  <c r="X812" i="13"/>
  <c r="V813" i="13"/>
  <c r="W813" i="13"/>
  <c r="X813" i="13"/>
  <c r="V814" i="13"/>
  <c r="W814" i="13"/>
  <c r="X814" i="13"/>
  <c r="V815" i="13"/>
  <c r="W815" i="13"/>
  <c r="X815" i="13"/>
  <c r="V816" i="13"/>
  <c r="W816" i="13"/>
  <c r="X816" i="13"/>
  <c r="V817" i="13"/>
  <c r="W817" i="13"/>
  <c r="X817" i="13"/>
  <c r="V818" i="13"/>
  <c r="W818" i="13"/>
  <c r="X818" i="13"/>
  <c r="V819" i="13"/>
  <c r="W819" i="13"/>
  <c r="X819" i="13"/>
  <c r="V820" i="13"/>
  <c r="W820" i="13"/>
  <c r="X820" i="13"/>
  <c r="V821" i="13"/>
  <c r="W821" i="13"/>
  <c r="X821" i="13"/>
  <c r="V822" i="13"/>
  <c r="W822" i="13"/>
  <c r="X822" i="13"/>
  <c r="V823" i="13"/>
  <c r="W823" i="13"/>
  <c r="X823" i="13"/>
  <c r="V824" i="13"/>
  <c r="W824" i="13"/>
  <c r="X824" i="13"/>
  <c r="V825" i="13"/>
  <c r="W825" i="13"/>
  <c r="X825" i="13"/>
  <c r="V826" i="13"/>
  <c r="W826" i="13"/>
  <c r="X826" i="13"/>
  <c r="V827" i="13"/>
  <c r="W827" i="13"/>
  <c r="X827" i="13"/>
  <c r="V828" i="13"/>
  <c r="W828" i="13"/>
  <c r="X828" i="13"/>
  <c r="V829" i="13"/>
  <c r="W829" i="13"/>
  <c r="X829" i="13"/>
  <c r="V830" i="13"/>
  <c r="W830" i="13"/>
  <c r="X830" i="13"/>
  <c r="V831" i="13"/>
  <c r="W831" i="13"/>
  <c r="X831" i="13"/>
  <c r="V832" i="13"/>
  <c r="W832" i="13"/>
  <c r="X832" i="13"/>
  <c r="V833" i="13"/>
  <c r="W833" i="13"/>
  <c r="X833" i="13"/>
  <c r="V834" i="13"/>
  <c r="W834" i="13"/>
  <c r="X834" i="13"/>
  <c r="V835" i="13"/>
  <c r="W835" i="13"/>
  <c r="X835" i="13"/>
  <c r="V836" i="13"/>
  <c r="W836" i="13"/>
  <c r="X836" i="13"/>
  <c r="V837" i="13"/>
  <c r="W837" i="13"/>
  <c r="X837" i="13"/>
  <c r="V838" i="13"/>
  <c r="W838" i="13"/>
  <c r="X838" i="13"/>
  <c r="V839" i="13"/>
  <c r="W839" i="13"/>
  <c r="X839" i="13"/>
  <c r="V840" i="13"/>
  <c r="W840" i="13"/>
  <c r="X840" i="13"/>
  <c r="V841" i="13"/>
  <c r="W841" i="13"/>
  <c r="X841" i="13"/>
  <c r="V842" i="13"/>
  <c r="W842" i="13"/>
  <c r="X842" i="13"/>
  <c r="V843" i="13"/>
  <c r="W843" i="13"/>
  <c r="X843" i="13"/>
  <c r="V844" i="13"/>
  <c r="W844" i="13"/>
  <c r="X844" i="13"/>
  <c r="V845" i="13"/>
  <c r="W845" i="13"/>
  <c r="X845" i="13"/>
  <c r="V846" i="13"/>
  <c r="W846" i="13"/>
  <c r="X846" i="13"/>
  <c r="V847" i="13"/>
  <c r="W847" i="13"/>
  <c r="X847" i="13"/>
  <c r="V848" i="13"/>
  <c r="W848" i="13"/>
  <c r="X848" i="13"/>
  <c r="V849" i="13"/>
  <c r="W849" i="13"/>
  <c r="X849" i="13"/>
  <c r="V850" i="13"/>
  <c r="W850" i="13"/>
  <c r="X850" i="13"/>
  <c r="V851" i="13"/>
  <c r="W851" i="13"/>
  <c r="X851" i="13"/>
  <c r="V852" i="13"/>
  <c r="W852" i="13"/>
  <c r="X852" i="13"/>
  <c r="V853" i="13"/>
  <c r="W853" i="13"/>
  <c r="X853" i="13"/>
  <c r="V854" i="13"/>
  <c r="W854" i="13"/>
  <c r="X854" i="13"/>
  <c r="V855" i="13"/>
  <c r="W855" i="13"/>
  <c r="X855" i="13"/>
  <c r="V856" i="13"/>
  <c r="W856" i="13"/>
  <c r="X856" i="13"/>
  <c r="V857" i="13"/>
  <c r="W857" i="13"/>
  <c r="X857" i="13"/>
  <c r="V858" i="13"/>
  <c r="W858" i="13"/>
  <c r="X858" i="13"/>
  <c r="V859" i="13"/>
  <c r="W859" i="13"/>
  <c r="X859" i="13"/>
  <c r="V860" i="13"/>
  <c r="W860" i="13"/>
  <c r="X860" i="13"/>
  <c r="V861" i="13"/>
  <c r="W861" i="13"/>
  <c r="X861" i="13"/>
  <c r="V862" i="13"/>
  <c r="W862" i="13"/>
  <c r="X862" i="13"/>
  <c r="V863" i="13"/>
  <c r="W863" i="13"/>
  <c r="X863" i="13"/>
  <c r="V864" i="13"/>
  <c r="W864" i="13"/>
  <c r="X864" i="13"/>
  <c r="V865" i="13"/>
  <c r="W865" i="13"/>
  <c r="X865" i="13"/>
  <c r="V866" i="13"/>
  <c r="W866" i="13"/>
  <c r="X866" i="13"/>
  <c r="V867" i="13"/>
  <c r="W867" i="13"/>
  <c r="X867" i="13"/>
  <c r="V868" i="13"/>
  <c r="W868" i="13"/>
  <c r="X868" i="13"/>
  <c r="V869" i="13"/>
  <c r="W869" i="13"/>
  <c r="X869" i="13"/>
  <c r="V870" i="13"/>
  <c r="W870" i="13"/>
  <c r="X870" i="13"/>
  <c r="V871" i="13"/>
  <c r="W871" i="13"/>
  <c r="X871" i="13"/>
  <c r="V872" i="13"/>
  <c r="W872" i="13"/>
  <c r="X872" i="13"/>
  <c r="V873" i="13"/>
  <c r="W873" i="13"/>
  <c r="X873" i="13"/>
  <c r="V874" i="13"/>
  <c r="W874" i="13"/>
  <c r="X874" i="13"/>
  <c r="V875" i="13"/>
  <c r="W875" i="13"/>
  <c r="X875" i="13"/>
  <c r="V876" i="13"/>
  <c r="W876" i="13"/>
  <c r="X876" i="13"/>
  <c r="V877" i="13"/>
  <c r="W877" i="13"/>
  <c r="X877" i="13"/>
  <c r="V878" i="13"/>
  <c r="W878" i="13"/>
  <c r="X878" i="13"/>
  <c r="V879" i="13"/>
  <c r="W879" i="13"/>
  <c r="X879" i="13"/>
  <c r="V880" i="13"/>
  <c r="W880" i="13"/>
  <c r="X880" i="13"/>
  <c r="V881" i="13"/>
  <c r="W881" i="13"/>
  <c r="X881" i="13"/>
  <c r="V882" i="13"/>
  <c r="W882" i="13"/>
  <c r="X882" i="13"/>
  <c r="V883" i="13"/>
  <c r="W883" i="13"/>
  <c r="X883" i="13"/>
  <c r="V884" i="13"/>
  <c r="W884" i="13"/>
  <c r="X884" i="13"/>
  <c r="V885" i="13"/>
  <c r="W885" i="13"/>
  <c r="X885" i="13"/>
  <c r="V886" i="13"/>
  <c r="W886" i="13"/>
  <c r="X886" i="13"/>
  <c r="V887" i="13"/>
  <c r="W887" i="13"/>
  <c r="X887" i="13"/>
  <c r="V888" i="13"/>
  <c r="W888" i="13"/>
  <c r="X888" i="13"/>
  <c r="V889" i="13"/>
  <c r="W889" i="13"/>
  <c r="X889" i="13"/>
  <c r="V890" i="13"/>
  <c r="W890" i="13"/>
  <c r="X890" i="13"/>
  <c r="V891" i="13"/>
  <c r="W891" i="13"/>
  <c r="X891" i="13"/>
  <c r="V892" i="13"/>
  <c r="W892" i="13"/>
  <c r="X892" i="13"/>
  <c r="V893" i="13"/>
  <c r="W893" i="13"/>
  <c r="X893" i="13"/>
  <c r="V894" i="13"/>
  <c r="W894" i="13"/>
  <c r="X894" i="13"/>
  <c r="V895" i="13"/>
  <c r="W895" i="13"/>
  <c r="X895" i="13"/>
  <c r="V896" i="13"/>
  <c r="W896" i="13"/>
  <c r="X896" i="13"/>
  <c r="V897" i="13"/>
  <c r="W897" i="13"/>
  <c r="X897" i="13"/>
  <c r="V898" i="13"/>
  <c r="W898" i="13"/>
  <c r="X898" i="13"/>
  <c r="V899" i="13"/>
  <c r="W899" i="13"/>
  <c r="X899" i="13"/>
  <c r="V900" i="13"/>
  <c r="W900" i="13"/>
  <c r="X900" i="13"/>
  <c r="V901" i="13"/>
  <c r="W901" i="13"/>
  <c r="X901" i="13"/>
  <c r="V902" i="13"/>
  <c r="W902" i="13"/>
  <c r="X902" i="13"/>
  <c r="V903" i="13"/>
  <c r="W903" i="13"/>
  <c r="X903" i="13"/>
  <c r="V904" i="13"/>
  <c r="W904" i="13"/>
  <c r="X904" i="13"/>
  <c r="V905" i="13"/>
  <c r="W905" i="13"/>
  <c r="X905" i="13"/>
  <c r="V906" i="13"/>
  <c r="W906" i="13"/>
  <c r="X906" i="13"/>
  <c r="V907" i="13"/>
  <c r="W907" i="13"/>
  <c r="X907" i="13"/>
  <c r="V908" i="13"/>
  <c r="W908" i="13"/>
  <c r="X908" i="13"/>
  <c r="V909" i="13"/>
  <c r="W909" i="13"/>
  <c r="X909" i="13"/>
  <c r="V910" i="13"/>
  <c r="W910" i="13"/>
  <c r="X910" i="13"/>
  <c r="V911" i="13"/>
  <c r="W911" i="13"/>
  <c r="X911" i="13"/>
  <c r="V912" i="13"/>
  <c r="W912" i="13"/>
  <c r="X912" i="13"/>
  <c r="V913" i="13"/>
  <c r="W913" i="13"/>
  <c r="X913" i="13"/>
  <c r="V914" i="13"/>
  <c r="W914" i="13"/>
  <c r="X914" i="13"/>
  <c r="V915" i="13"/>
  <c r="W915" i="13"/>
  <c r="X915" i="13"/>
  <c r="V916" i="13"/>
  <c r="W916" i="13"/>
  <c r="X916" i="13"/>
  <c r="V917" i="13"/>
  <c r="W917" i="13"/>
  <c r="X917" i="13"/>
  <c r="V918" i="13"/>
  <c r="W918" i="13"/>
  <c r="X918" i="13"/>
  <c r="V919" i="13"/>
  <c r="W919" i="13"/>
  <c r="X919" i="13"/>
  <c r="V920" i="13"/>
  <c r="W920" i="13"/>
  <c r="X920" i="13"/>
  <c r="V921" i="13"/>
  <c r="W921" i="13"/>
  <c r="X921" i="13"/>
  <c r="V922" i="13"/>
  <c r="W922" i="13"/>
  <c r="X922" i="13"/>
  <c r="V923" i="13"/>
  <c r="W923" i="13"/>
  <c r="X923" i="13"/>
  <c r="V924" i="13"/>
  <c r="W924" i="13"/>
  <c r="X924" i="13"/>
  <c r="V925" i="13"/>
  <c r="W925" i="13"/>
  <c r="X925" i="13"/>
  <c r="V926" i="13"/>
  <c r="W926" i="13"/>
  <c r="X926" i="13"/>
  <c r="V927" i="13"/>
  <c r="W927" i="13"/>
  <c r="X927" i="13"/>
  <c r="V928" i="13"/>
  <c r="W928" i="13"/>
  <c r="X928" i="13"/>
  <c r="V929" i="13"/>
  <c r="W929" i="13"/>
  <c r="X929" i="13"/>
  <c r="V930" i="13"/>
  <c r="W930" i="13"/>
  <c r="X930" i="13"/>
  <c r="V931" i="13"/>
  <c r="W931" i="13"/>
  <c r="X931" i="13"/>
  <c r="V932" i="13"/>
  <c r="W932" i="13"/>
  <c r="X932" i="13"/>
  <c r="V933" i="13"/>
  <c r="W933" i="13"/>
  <c r="X933" i="13"/>
  <c r="V934" i="13"/>
  <c r="W934" i="13"/>
  <c r="X934" i="13"/>
  <c r="V935" i="13"/>
  <c r="W935" i="13"/>
  <c r="X935" i="13"/>
  <c r="V936" i="13"/>
  <c r="W936" i="13"/>
  <c r="X936" i="13"/>
  <c r="V937" i="13"/>
  <c r="W937" i="13"/>
  <c r="X937" i="13"/>
  <c r="V938" i="13"/>
  <c r="W938" i="13"/>
  <c r="X938" i="13"/>
  <c r="V939" i="13"/>
  <c r="W939" i="13"/>
  <c r="X939" i="13"/>
  <c r="V940" i="13"/>
  <c r="W940" i="13"/>
  <c r="X940" i="13"/>
  <c r="V941" i="13"/>
  <c r="W941" i="13"/>
  <c r="X941" i="13"/>
  <c r="V942" i="13"/>
  <c r="W942" i="13"/>
  <c r="X942" i="13"/>
  <c r="V943" i="13"/>
  <c r="W943" i="13"/>
  <c r="X943" i="13"/>
  <c r="V944" i="13"/>
  <c r="W944" i="13"/>
  <c r="X944" i="13"/>
  <c r="V945" i="13"/>
  <c r="W945" i="13"/>
  <c r="X945" i="13"/>
  <c r="V946" i="13"/>
  <c r="W946" i="13"/>
  <c r="X946" i="13"/>
  <c r="V947" i="13"/>
  <c r="W947" i="13"/>
  <c r="X947" i="13"/>
  <c r="V948" i="13"/>
  <c r="W948" i="13"/>
  <c r="X948" i="13"/>
  <c r="V949" i="13"/>
  <c r="W949" i="13"/>
  <c r="X949" i="13"/>
  <c r="V950" i="13"/>
  <c r="W950" i="13"/>
  <c r="X950" i="13"/>
  <c r="V951" i="13"/>
  <c r="W951" i="13"/>
  <c r="X951" i="13"/>
  <c r="V952" i="13"/>
  <c r="W952" i="13"/>
  <c r="X952" i="13"/>
  <c r="V953" i="13"/>
  <c r="W953" i="13"/>
  <c r="X953" i="13"/>
  <c r="V954" i="13"/>
  <c r="W954" i="13"/>
  <c r="X954" i="13"/>
  <c r="V955" i="13"/>
  <c r="W955" i="13"/>
  <c r="X955" i="13"/>
  <c r="V956" i="13"/>
  <c r="W956" i="13"/>
  <c r="X956" i="13"/>
  <c r="V957" i="13"/>
  <c r="W957" i="13"/>
  <c r="X957" i="13"/>
  <c r="V958" i="13"/>
  <c r="W958" i="13"/>
  <c r="X958" i="13"/>
  <c r="V959" i="13"/>
  <c r="W959" i="13"/>
  <c r="X959" i="13"/>
  <c r="V960" i="13"/>
  <c r="W960" i="13"/>
  <c r="X960" i="13"/>
  <c r="V961" i="13"/>
  <c r="W961" i="13"/>
  <c r="X961" i="13"/>
  <c r="V962" i="13"/>
  <c r="W962" i="13"/>
  <c r="X962" i="13"/>
  <c r="V963" i="13"/>
  <c r="W963" i="13"/>
  <c r="X963" i="13"/>
  <c r="V964" i="13"/>
  <c r="W964" i="13"/>
  <c r="X964" i="13"/>
  <c r="V965" i="13"/>
  <c r="W965" i="13"/>
  <c r="X965" i="13"/>
  <c r="V966" i="13"/>
  <c r="W966" i="13"/>
  <c r="X966" i="13"/>
  <c r="V967" i="13"/>
  <c r="W967" i="13"/>
  <c r="X967" i="13"/>
  <c r="V968" i="13"/>
  <c r="W968" i="13"/>
  <c r="X968" i="13"/>
  <c r="V969" i="13"/>
  <c r="W969" i="13"/>
  <c r="X969" i="13"/>
  <c r="V970" i="13"/>
  <c r="W970" i="13"/>
  <c r="X970" i="13"/>
  <c r="V971" i="13"/>
  <c r="W971" i="13"/>
  <c r="X971" i="13"/>
  <c r="V972" i="13"/>
  <c r="W972" i="13"/>
  <c r="X972" i="13"/>
  <c r="V973" i="13"/>
  <c r="W973" i="13"/>
  <c r="X973" i="13"/>
  <c r="V974" i="13"/>
  <c r="W974" i="13"/>
  <c r="X974" i="13"/>
  <c r="V975" i="13"/>
  <c r="W975" i="13"/>
  <c r="X975" i="13"/>
  <c r="V976" i="13"/>
  <c r="W976" i="13"/>
  <c r="X976" i="13"/>
  <c r="V977" i="13"/>
  <c r="W977" i="13"/>
  <c r="X977" i="13"/>
  <c r="V978" i="13"/>
  <c r="W978" i="13"/>
  <c r="X978" i="13"/>
  <c r="V979" i="13"/>
  <c r="W979" i="13"/>
  <c r="X979" i="13"/>
  <c r="V980" i="13"/>
  <c r="W980" i="13"/>
  <c r="X980" i="13"/>
  <c r="V981" i="13"/>
  <c r="W981" i="13"/>
  <c r="X981" i="13"/>
  <c r="V982" i="13"/>
  <c r="W982" i="13"/>
  <c r="X982" i="13"/>
  <c r="V983" i="13"/>
  <c r="W983" i="13"/>
  <c r="X983" i="13"/>
  <c r="V984" i="13"/>
  <c r="W984" i="13"/>
  <c r="X984" i="13"/>
  <c r="V985" i="13"/>
  <c r="W985" i="13"/>
  <c r="X985" i="13"/>
  <c r="V986" i="13"/>
  <c r="W986" i="13"/>
  <c r="X986" i="13"/>
  <c r="V987" i="13"/>
  <c r="W987" i="13"/>
  <c r="X987" i="13"/>
  <c r="V988" i="13"/>
  <c r="W988" i="13"/>
  <c r="X988" i="13"/>
  <c r="V989" i="13"/>
  <c r="W989" i="13"/>
  <c r="X989" i="13"/>
  <c r="V990" i="13"/>
  <c r="W990" i="13"/>
  <c r="X990" i="13"/>
  <c r="V991" i="13"/>
  <c r="W991" i="13"/>
  <c r="X991" i="13"/>
  <c r="V992" i="13"/>
  <c r="W992" i="13"/>
  <c r="X992" i="13"/>
  <c r="V993" i="13"/>
  <c r="W993" i="13"/>
  <c r="X993" i="13"/>
  <c r="V994" i="13"/>
  <c r="W994" i="13"/>
  <c r="X994" i="13"/>
  <c r="V995" i="13"/>
  <c r="W995" i="13"/>
  <c r="X995" i="13"/>
  <c r="V996" i="13"/>
  <c r="W996" i="13"/>
  <c r="X996" i="13"/>
  <c r="V997" i="13"/>
  <c r="W997" i="13"/>
  <c r="X997" i="13"/>
  <c r="V998" i="13"/>
  <c r="W998" i="13"/>
  <c r="X998" i="13"/>
  <c r="V999" i="13"/>
  <c r="W999" i="13"/>
  <c r="X999" i="13"/>
  <c r="V1000" i="13"/>
  <c r="W1000" i="13"/>
  <c r="X1000" i="13"/>
  <c r="V1001" i="13"/>
  <c r="W1001" i="13"/>
  <c r="X1001" i="13"/>
  <c r="V1002" i="13"/>
  <c r="W1002" i="13"/>
  <c r="X1002" i="13"/>
  <c r="V1003" i="13"/>
  <c r="W1003" i="13"/>
  <c r="X1003" i="13"/>
  <c r="V1004" i="13"/>
  <c r="W1004" i="13"/>
  <c r="X1004" i="13"/>
  <c r="V1005" i="13"/>
  <c r="W1005" i="13"/>
  <c r="X1005" i="13"/>
  <c r="V1006" i="13"/>
  <c r="W1006" i="13"/>
  <c r="X1006" i="13"/>
  <c r="V1007" i="13"/>
  <c r="W1007" i="13"/>
  <c r="X1007" i="13"/>
  <c r="V1008" i="13"/>
  <c r="W1008" i="13"/>
  <c r="X1008" i="13"/>
  <c r="V1009" i="13"/>
  <c r="W1009" i="13"/>
  <c r="X1009" i="13"/>
  <c r="V1010" i="13"/>
  <c r="W1010" i="13"/>
  <c r="X1010" i="13"/>
  <c r="V1011" i="13"/>
  <c r="W1011" i="13"/>
  <c r="X1011" i="13"/>
  <c r="V1012" i="13"/>
  <c r="W1012" i="13"/>
  <c r="X1012" i="13"/>
  <c r="V1013" i="13"/>
  <c r="W1013" i="13"/>
  <c r="X1013" i="13"/>
  <c r="V1014" i="13"/>
  <c r="W1014" i="13"/>
  <c r="X1014" i="13"/>
  <c r="V1015" i="13"/>
  <c r="W1015" i="13"/>
  <c r="X1015" i="13"/>
  <c r="V1016" i="13"/>
  <c r="W1016" i="13"/>
  <c r="X1016" i="13"/>
  <c r="V1017" i="13"/>
  <c r="W1017" i="13"/>
  <c r="X1017" i="13"/>
  <c r="V1018" i="13"/>
  <c r="W1018" i="13"/>
  <c r="X1018" i="13"/>
  <c r="V1019" i="13"/>
  <c r="W1019" i="13"/>
  <c r="X1019" i="13"/>
  <c r="V1020" i="13"/>
  <c r="W1020" i="13"/>
  <c r="X1020" i="13"/>
  <c r="V1021" i="13"/>
  <c r="W1021" i="13"/>
  <c r="X1021" i="13"/>
  <c r="V1022" i="13"/>
  <c r="W1022" i="13"/>
  <c r="X1022" i="13"/>
  <c r="V1023" i="13"/>
  <c r="W1023" i="13"/>
  <c r="X1023" i="13"/>
  <c r="V1024" i="13"/>
  <c r="W1024" i="13"/>
  <c r="X1024" i="13"/>
  <c r="V1025" i="13"/>
  <c r="W1025" i="13"/>
  <c r="X1025" i="13"/>
  <c r="V1026" i="13"/>
  <c r="W1026" i="13"/>
  <c r="X1026" i="13"/>
  <c r="V1027" i="13"/>
  <c r="W1027" i="13"/>
  <c r="X1027" i="13"/>
  <c r="V1028" i="13"/>
  <c r="W1028" i="13"/>
  <c r="X1028" i="13"/>
  <c r="V1029" i="13"/>
  <c r="W1029" i="13"/>
  <c r="X1029" i="13"/>
  <c r="V1030" i="13"/>
  <c r="W1030" i="13"/>
  <c r="X1030" i="13"/>
  <c r="V1031" i="13"/>
  <c r="W1031" i="13"/>
  <c r="X1031" i="13"/>
  <c r="V1032" i="13"/>
  <c r="W1032" i="13"/>
  <c r="X1032" i="13"/>
  <c r="V1033" i="13"/>
  <c r="W1033" i="13"/>
  <c r="X1033" i="13"/>
  <c r="V1034" i="13"/>
  <c r="W1034" i="13"/>
  <c r="X1034" i="13"/>
  <c r="V1035" i="13"/>
  <c r="W1035" i="13"/>
  <c r="X1035" i="13"/>
  <c r="V1036" i="13"/>
  <c r="W1036" i="13"/>
  <c r="X1036" i="13"/>
  <c r="V1037" i="13"/>
  <c r="W1037" i="13"/>
  <c r="X1037" i="13"/>
  <c r="V1038" i="13"/>
  <c r="W1038" i="13"/>
  <c r="X1038" i="13"/>
  <c r="V1039" i="13"/>
  <c r="W1039" i="13"/>
  <c r="X1039" i="13"/>
  <c r="V1040" i="13"/>
  <c r="W1040" i="13"/>
  <c r="X1040" i="13"/>
  <c r="V1041" i="13"/>
  <c r="W1041" i="13"/>
  <c r="X1041" i="13"/>
  <c r="V1042" i="13"/>
  <c r="W1042" i="13"/>
  <c r="X1042" i="13"/>
  <c r="V1043" i="13"/>
  <c r="W1043" i="13"/>
  <c r="X1043" i="13"/>
  <c r="V1044" i="13"/>
  <c r="W1044" i="13"/>
  <c r="X1044" i="13"/>
  <c r="V1045" i="13"/>
  <c r="W1045" i="13"/>
  <c r="X1045" i="13"/>
  <c r="V1046" i="13"/>
  <c r="W1046" i="13"/>
  <c r="X1046" i="13"/>
  <c r="V1047" i="13"/>
  <c r="W1047" i="13"/>
  <c r="X1047" i="13"/>
  <c r="V1048" i="13"/>
  <c r="W1048" i="13"/>
  <c r="X1048" i="13"/>
  <c r="V1049" i="13"/>
  <c r="W1049" i="13"/>
  <c r="X1049" i="13"/>
  <c r="V1050" i="13"/>
  <c r="W1050" i="13"/>
  <c r="X1050" i="13"/>
  <c r="V1051" i="13"/>
  <c r="W1051" i="13"/>
  <c r="X1051" i="13"/>
  <c r="V1052" i="13"/>
  <c r="W1052" i="13"/>
  <c r="X1052" i="13"/>
  <c r="V1053" i="13"/>
  <c r="W1053" i="13"/>
  <c r="X1053" i="13"/>
  <c r="V1054" i="13"/>
  <c r="W1054" i="13"/>
  <c r="X1054" i="13"/>
  <c r="V1055" i="13"/>
  <c r="W1055" i="13"/>
  <c r="X1055" i="13"/>
  <c r="V1056" i="13"/>
  <c r="W1056" i="13"/>
  <c r="X1056" i="13"/>
  <c r="V1057" i="13"/>
  <c r="W1057" i="13"/>
  <c r="X1057" i="13"/>
  <c r="V1058" i="13"/>
  <c r="W1058" i="13"/>
  <c r="X1058" i="13"/>
  <c r="V1059" i="13"/>
  <c r="W1059" i="13"/>
  <c r="X1059" i="13"/>
  <c r="V1060" i="13"/>
  <c r="W1060" i="13"/>
  <c r="X1060" i="13"/>
  <c r="V1061" i="13"/>
  <c r="W1061" i="13"/>
  <c r="X1061" i="13"/>
  <c r="V1062" i="13"/>
  <c r="W1062" i="13"/>
  <c r="X1062" i="13"/>
  <c r="V1063" i="13"/>
  <c r="W1063" i="13"/>
  <c r="X1063" i="13"/>
  <c r="V1064" i="13"/>
  <c r="W1064" i="13"/>
  <c r="X1064" i="13"/>
  <c r="V1065" i="13"/>
  <c r="W1065" i="13"/>
  <c r="X1065" i="13"/>
  <c r="V1066" i="13"/>
  <c r="W1066" i="13"/>
  <c r="X1066" i="13"/>
  <c r="V1067" i="13"/>
  <c r="W1067" i="13"/>
  <c r="X1067" i="13"/>
  <c r="V1068" i="13"/>
  <c r="W1068" i="13"/>
  <c r="X1068" i="13"/>
  <c r="V1069" i="13"/>
  <c r="W1069" i="13"/>
  <c r="X1069" i="13"/>
  <c r="V1070" i="13"/>
  <c r="W1070" i="13"/>
  <c r="X1070" i="13"/>
  <c r="V1071" i="13"/>
  <c r="W1071" i="13"/>
  <c r="X1071" i="13"/>
  <c r="V1072" i="13"/>
  <c r="W1072" i="13"/>
  <c r="X1072" i="13"/>
  <c r="V1073" i="13"/>
  <c r="W1073" i="13"/>
  <c r="X1073" i="13"/>
  <c r="V1074" i="13"/>
  <c r="W1074" i="13"/>
  <c r="X1074" i="13"/>
  <c r="V1075" i="13"/>
  <c r="W1075" i="13"/>
  <c r="X1075" i="13"/>
  <c r="V1076" i="13"/>
  <c r="W1076" i="13"/>
  <c r="X1076" i="13"/>
  <c r="V1077" i="13"/>
  <c r="W1077" i="13"/>
  <c r="X1077" i="13"/>
  <c r="V1078" i="13"/>
  <c r="W1078" i="13"/>
  <c r="X1078" i="13"/>
  <c r="V1079" i="13"/>
  <c r="W1079" i="13"/>
  <c r="X1079" i="13"/>
  <c r="V1080" i="13"/>
  <c r="W1080" i="13"/>
  <c r="X1080" i="13"/>
  <c r="V1081" i="13"/>
  <c r="W1081" i="13"/>
  <c r="X1081" i="13"/>
  <c r="V1082" i="13"/>
  <c r="W1082" i="13"/>
  <c r="X1082" i="13"/>
  <c r="V1083" i="13"/>
  <c r="W1083" i="13"/>
  <c r="X1083" i="13"/>
  <c r="V1084" i="13"/>
  <c r="W1084" i="13"/>
  <c r="X1084" i="13"/>
  <c r="V1085" i="13"/>
  <c r="W1085" i="13"/>
  <c r="X1085" i="13"/>
  <c r="V1086" i="13"/>
  <c r="W1086" i="13"/>
  <c r="X1086" i="13"/>
  <c r="V1087" i="13"/>
  <c r="W1087" i="13"/>
  <c r="X1087" i="13"/>
  <c r="V1088" i="13"/>
  <c r="W1088" i="13"/>
  <c r="X1088" i="13"/>
  <c r="V1089" i="13"/>
  <c r="W1089" i="13"/>
  <c r="X1089" i="13"/>
  <c r="V1090" i="13"/>
  <c r="W1090" i="13"/>
  <c r="X1090" i="13"/>
  <c r="V1091" i="13"/>
  <c r="W1091" i="13"/>
  <c r="X1091" i="13"/>
  <c r="V1092" i="13"/>
  <c r="W1092" i="13"/>
  <c r="X1092" i="13"/>
  <c r="V1093" i="13"/>
  <c r="W1093" i="13"/>
  <c r="X1093" i="13"/>
  <c r="V1094" i="13"/>
  <c r="W1094" i="13"/>
  <c r="X1094" i="13"/>
  <c r="V1095" i="13"/>
  <c r="W1095" i="13"/>
  <c r="X1095" i="13"/>
  <c r="V1096" i="13"/>
  <c r="W1096" i="13"/>
  <c r="X1096" i="13"/>
  <c r="V1097" i="13"/>
  <c r="W1097" i="13"/>
  <c r="X1097" i="13"/>
  <c r="V1098" i="13"/>
  <c r="W1098" i="13"/>
  <c r="X1098" i="13"/>
  <c r="V1099" i="13"/>
  <c r="W1099" i="13"/>
  <c r="X1099" i="13"/>
  <c r="V1100" i="13"/>
  <c r="W1100" i="13"/>
  <c r="X1100" i="13"/>
  <c r="V1101" i="13"/>
  <c r="W1101" i="13"/>
  <c r="X1101" i="13"/>
  <c r="V1102" i="13"/>
  <c r="W1102" i="13"/>
  <c r="X1102" i="13"/>
  <c r="V1103" i="13"/>
  <c r="W1103" i="13"/>
  <c r="X1103" i="13"/>
  <c r="V1104" i="13"/>
  <c r="W1104" i="13"/>
  <c r="X1104" i="13"/>
  <c r="V1105" i="13"/>
  <c r="W1105" i="13"/>
  <c r="X1105" i="13"/>
  <c r="V1106" i="13"/>
  <c r="W1106" i="13"/>
  <c r="X1106" i="13"/>
  <c r="V1107" i="13"/>
  <c r="W1107" i="13"/>
  <c r="X1107" i="13"/>
  <c r="V1108" i="13"/>
  <c r="W1108" i="13"/>
  <c r="X1108" i="13"/>
  <c r="V1109" i="13"/>
  <c r="W1109" i="13"/>
  <c r="X1109" i="13"/>
  <c r="V1110" i="13"/>
  <c r="W1110" i="13"/>
  <c r="X1110" i="13"/>
  <c r="V1111" i="13"/>
  <c r="W1111" i="13"/>
  <c r="X1111" i="13"/>
  <c r="V1112" i="13"/>
  <c r="W1112" i="13"/>
  <c r="X1112" i="13"/>
  <c r="V1113" i="13"/>
  <c r="W1113" i="13"/>
  <c r="X1113" i="13"/>
  <c r="V1114" i="13"/>
  <c r="W1114" i="13"/>
  <c r="X1114" i="13"/>
  <c r="V1115" i="13"/>
  <c r="W1115" i="13"/>
  <c r="X1115" i="13"/>
  <c r="V1116" i="13"/>
  <c r="W1116" i="13"/>
  <c r="X1116" i="13"/>
  <c r="V1117" i="13"/>
  <c r="W1117" i="13"/>
  <c r="X1117" i="13"/>
  <c r="V1118" i="13"/>
  <c r="W1118" i="13"/>
  <c r="X1118" i="13"/>
  <c r="V1119" i="13"/>
  <c r="W1119" i="13"/>
  <c r="X1119" i="13"/>
  <c r="V1120" i="13"/>
  <c r="W1120" i="13"/>
  <c r="X1120" i="13"/>
  <c r="V1121" i="13"/>
  <c r="W1121" i="13"/>
  <c r="X1121" i="13"/>
  <c r="V1122" i="13"/>
  <c r="W1122" i="13"/>
  <c r="X1122" i="13"/>
  <c r="V1123" i="13"/>
  <c r="W1123" i="13"/>
  <c r="X1123" i="13"/>
  <c r="V1124" i="13"/>
  <c r="W1124" i="13"/>
  <c r="X1124" i="13"/>
  <c r="V1125" i="13"/>
  <c r="W1125" i="13"/>
  <c r="X1125" i="13"/>
  <c r="V1126" i="13"/>
  <c r="W1126" i="13"/>
  <c r="X1126" i="13"/>
  <c r="V1127" i="13"/>
  <c r="W1127" i="13"/>
  <c r="X1127" i="13"/>
  <c r="V1128" i="13"/>
  <c r="W1128" i="13"/>
  <c r="X1128" i="13"/>
  <c r="V1129" i="13"/>
  <c r="W1129" i="13"/>
  <c r="X1129" i="13"/>
  <c r="V1130" i="13"/>
  <c r="W1130" i="13"/>
  <c r="X1130" i="13"/>
  <c r="V1131" i="13"/>
  <c r="W1131" i="13"/>
  <c r="X1131" i="13"/>
  <c r="V1132" i="13"/>
  <c r="W1132" i="13"/>
  <c r="X1132" i="13"/>
  <c r="V1133" i="13"/>
  <c r="W1133" i="13"/>
  <c r="X1133" i="13"/>
  <c r="V1134" i="13"/>
  <c r="W1134" i="13"/>
  <c r="X1134" i="13"/>
  <c r="V1135" i="13"/>
  <c r="W1135" i="13"/>
  <c r="X1135" i="13"/>
  <c r="V1136" i="13"/>
  <c r="W1136" i="13"/>
  <c r="X1136" i="13"/>
  <c r="V1137" i="13"/>
  <c r="W1137" i="13"/>
  <c r="X1137" i="13"/>
  <c r="V1138" i="13"/>
  <c r="W1138" i="13"/>
  <c r="X1138" i="13"/>
  <c r="V1139" i="13"/>
  <c r="W1139" i="13"/>
  <c r="X1139" i="13"/>
  <c r="V1140" i="13"/>
  <c r="W1140" i="13"/>
  <c r="X1140" i="13"/>
  <c r="V1141" i="13"/>
  <c r="W1141" i="13"/>
  <c r="X1141" i="13"/>
  <c r="V1142" i="13"/>
  <c r="W1142" i="13"/>
  <c r="X1142" i="13"/>
  <c r="V1143" i="13"/>
  <c r="W1143" i="13"/>
  <c r="X1143" i="13"/>
  <c r="V1144" i="13"/>
  <c r="W1144" i="13"/>
  <c r="X1144" i="13"/>
  <c r="V1145" i="13"/>
  <c r="W1145" i="13"/>
  <c r="X1145" i="13"/>
  <c r="V1146" i="13"/>
  <c r="W1146" i="13"/>
  <c r="X1146" i="13"/>
  <c r="V1147" i="13"/>
  <c r="W1147" i="13"/>
  <c r="X1147" i="13"/>
  <c r="V1148" i="13"/>
  <c r="W1148" i="13"/>
  <c r="X1148" i="13"/>
  <c r="V1149" i="13"/>
  <c r="W1149" i="13"/>
  <c r="X1149" i="13"/>
  <c r="V1150" i="13"/>
  <c r="W1150" i="13"/>
  <c r="X1150" i="13"/>
  <c r="V1151" i="13"/>
  <c r="W1151" i="13"/>
  <c r="X1151" i="13"/>
  <c r="V1152" i="13"/>
  <c r="W1152" i="13"/>
  <c r="X1152" i="13"/>
  <c r="V1153" i="13"/>
  <c r="W1153" i="13"/>
  <c r="X1153" i="13"/>
  <c r="V1154" i="13"/>
  <c r="W1154" i="13"/>
  <c r="X1154" i="13"/>
  <c r="V1155" i="13"/>
  <c r="W1155" i="13"/>
  <c r="X1155" i="13"/>
  <c r="V1156" i="13"/>
  <c r="W1156" i="13"/>
  <c r="X1156" i="13"/>
  <c r="V1157" i="13"/>
  <c r="W1157" i="13"/>
  <c r="X1157" i="13"/>
  <c r="V1158" i="13"/>
  <c r="W1158" i="13"/>
  <c r="X1158" i="13"/>
  <c r="V1159" i="13"/>
  <c r="W1159" i="13"/>
  <c r="X1159" i="13"/>
  <c r="V1160" i="13"/>
  <c r="W1160" i="13"/>
  <c r="X1160" i="13"/>
  <c r="V1161" i="13"/>
  <c r="W1161" i="13"/>
  <c r="X1161" i="13"/>
  <c r="V1162" i="13"/>
  <c r="W1162" i="13"/>
  <c r="X1162" i="13"/>
  <c r="V1163" i="13"/>
  <c r="W1163" i="13"/>
  <c r="X1163" i="13"/>
  <c r="V1164" i="13"/>
  <c r="W1164" i="13"/>
  <c r="X1164" i="13"/>
  <c r="V1165" i="13"/>
  <c r="W1165" i="13"/>
  <c r="X1165" i="13"/>
  <c r="V1166" i="13"/>
  <c r="W1166" i="13"/>
  <c r="X1166" i="13"/>
  <c r="V1167" i="13"/>
  <c r="W1167" i="13"/>
  <c r="X1167" i="13"/>
  <c r="V1168" i="13"/>
  <c r="W1168" i="13"/>
  <c r="X1168" i="13"/>
  <c r="V1169" i="13"/>
  <c r="W1169" i="13"/>
  <c r="X1169" i="13"/>
  <c r="V1170" i="13"/>
  <c r="W1170" i="13"/>
  <c r="X1170" i="13"/>
  <c r="V1171" i="13"/>
  <c r="W1171" i="13"/>
  <c r="X1171" i="13"/>
  <c r="V1172" i="13"/>
  <c r="W1172" i="13"/>
  <c r="X1172" i="13"/>
  <c r="V1173" i="13"/>
  <c r="W1173" i="13"/>
  <c r="X1173" i="13"/>
  <c r="V1174" i="13"/>
  <c r="W1174" i="13"/>
  <c r="X1174" i="13"/>
  <c r="V1175" i="13"/>
  <c r="W1175" i="13"/>
  <c r="X1175" i="13"/>
  <c r="V1176" i="13"/>
  <c r="W1176" i="13"/>
  <c r="X1176" i="13"/>
  <c r="V1177" i="13"/>
  <c r="W1177" i="13"/>
  <c r="X1177" i="13"/>
  <c r="V1178" i="13"/>
  <c r="W1178" i="13"/>
  <c r="X1178" i="13"/>
  <c r="V1179" i="13"/>
  <c r="W1179" i="13"/>
  <c r="X1179" i="13"/>
  <c r="V1180" i="13"/>
  <c r="W1180" i="13"/>
  <c r="X1180" i="13"/>
  <c r="V1181" i="13"/>
  <c r="W1181" i="13"/>
  <c r="X1181" i="13"/>
  <c r="V1182" i="13"/>
  <c r="W1182" i="13"/>
  <c r="X1182" i="13"/>
  <c r="V1183" i="13"/>
  <c r="W1183" i="13"/>
  <c r="X1183" i="13"/>
  <c r="V1184" i="13"/>
  <c r="W1184" i="13"/>
  <c r="X1184" i="13"/>
  <c r="V1185" i="13"/>
  <c r="W1185" i="13"/>
  <c r="X1185" i="13"/>
  <c r="V1186" i="13"/>
  <c r="W1186" i="13"/>
  <c r="X1186" i="13"/>
  <c r="V1187" i="13"/>
  <c r="W1187" i="13"/>
  <c r="X1187" i="13"/>
  <c r="V1188" i="13"/>
  <c r="W1188" i="13"/>
  <c r="X1188" i="13"/>
  <c r="V1189" i="13"/>
  <c r="W1189" i="13"/>
  <c r="X1189" i="13"/>
  <c r="V1190" i="13"/>
  <c r="W1190" i="13"/>
  <c r="X1190" i="13"/>
  <c r="V1191" i="13"/>
  <c r="W1191" i="13"/>
  <c r="X1191" i="13"/>
  <c r="V1192" i="13"/>
  <c r="W1192" i="13"/>
  <c r="X1192" i="13"/>
  <c r="V1193" i="13"/>
  <c r="W1193" i="13"/>
  <c r="X1193" i="13"/>
  <c r="V1194" i="13"/>
  <c r="W1194" i="13"/>
  <c r="X1194" i="13"/>
  <c r="V1195" i="13"/>
  <c r="W1195" i="13"/>
  <c r="X1195" i="13"/>
  <c r="V1196" i="13"/>
  <c r="W1196" i="13"/>
  <c r="X1196" i="13"/>
  <c r="V1197" i="13"/>
  <c r="W1197" i="13"/>
  <c r="X1197" i="13"/>
  <c r="V1198" i="13"/>
  <c r="W1198" i="13"/>
  <c r="X1198" i="13"/>
  <c r="V1199" i="13"/>
  <c r="W1199" i="13"/>
  <c r="X1199" i="13"/>
  <c r="V1200" i="13"/>
  <c r="W1200" i="13"/>
  <c r="X1200" i="13"/>
  <c r="V1201" i="13"/>
  <c r="W1201" i="13"/>
  <c r="X1201" i="13"/>
  <c r="V1202" i="13"/>
  <c r="W1202" i="13"/>
  <c r="X1202" i="13"/>
  <c r="V1203" i="13"/>
  <c r="W1203" i="13"/>
  <c r="X1203" i="13"/>
  <c r="V1204" i="13"/>
  <c r="W1204" i="13"/>
  <c r="X1204" i="13"/>
  <c r="V1205" i="13"/>
  <c r="W1205" i="13"/>
  <c r="X1205" i="13"/>
  <c r="V1206" i="13"/>
  <c r="W1206" i="13"/>
  <c r="X1206" i="13"/>
  <c r="V1207" i="13"/>
  <c r="W1207" i="13"/>
  <c r="X1207" i="13"/>
  <c r="V1208" i="13"/>
  <c r="W1208" i="13"/>
  <c r="X1208" i="13"/>
  <c r="V1209" i="13"/>
  <c r="W1209" i="13"/>
  <c r="X1209" i="13"/>
  <c r="V1210" i="13"/>
  <c r="W1210" i="13"/>
  <c r="X1210" i="13"/>
  <c r="V1211" i="13"/>
  <c r="W1211" i="13"/>
  <c r="X1211" i="13"/>
  <c r="V1212" i="13"/>
  <c r="W1212" i="13"/>
  <c r="X1212" i="13"/>
  <c r="V1213" i="13"/>
  <c r="W1213" i="13"/>
  <c r="X1213" i="13"/>
  <c r="V1214" i="13"/>
  <c r="W1214" i="13"/>
  <c r="X1214" i="13"/>
  <c r="V1215" i="13"/>
  <c r="W1215" i="13"/>
  <c r="X1215" i="13"/>
  <c r="V1216" i="13"/>
  <c r="W1216" i="13"/>
  <c r="X1216" i="13"/>
  <c r="V1217" i="13"/>
  <c r="W1217" i="13"/>
  <c r="X1217" i="13"/>
  <c r="V1218" i="13"/>
  <c r="W1218" i="13"/>
  <c r="X1218" i="13"/>
  <c r="V1219" i="13"/>
  <c r="W1219" i="13"/>
  <c r="X1219" i="13"/>
  <c r="V1220" i="13"/>
  <c r="W1220" i="13"/>
  <c r="X1220" i="13"/>
  <c r="V1221" i="13"/>
  <c r="W1221" i="13"/>
  <c r="X1221" i="13"/>
  <c r="V1222" i="13"/>
  <c r="W1222" i="13"/>
  <c r="X1222" i="13"/>
  <c r="V1223" i="13"/>
  <c r="W1223" i="13"/>
  <c r="X1223" i="13"/>
  <c r="V1224" i="13"/>
  <c r="W1224" i="13"/>
  <c r="X1224" i="13"/>
  <c r="V1225" i="13"/>
  <c r="W1225" i="13"/>
  <c r="X1225" i="13"/>
  <c r="V1226" i="13"/>
  <c r="W1226" i="13"/>
  <c r="X1226" i="13"/>
  <c r="V1227" i="13"/>
  <c r="W1227" i="13"/>
  <c r="X1227" i="13"/>
  <c r="V1228" i="13"/>
  <c r="W1228" i="13"/>
  <c r="X1228" i="13"/>
  <c r="V1229" i="13"/>
  <c r="W1229" i="13"/>
  <c r="X1229" i="13"/>
  <c r="V1230" i="13"/>
  <c r="W1230" i="13"/>
  <c r="X1230" i="13"/>
  <c r="V1231" i="13"/>
  <c r="W1231" i="13"/>
  <c r="X1231" i="13"/>
  <c r="V1232" i="13"/>
  <c r="W1232" i="13"/>
  <c r="X1232" i="13"/>
  <c r="V1233" i="13"/>
  <c r="W1233" i="13"/>
  <c r="X1233" i="13"/>
  <c r="V1234" i="13"/>
  <c r="W1234" i="13"/>
  <c r="X1234" i="13"/>
  <c r="V1235" i="13"/>
  <c r="W1235" i="13"/>
  <c r="X1235" i="13"/>
  <c r="V1236" i="13"/>
  <c r="W1236" i="13"/>
  <c r="X1236" i="13"/>
  <c r="V1237" i="13"/>
  <c r="W1237" i="13"/>
  <c r="X1237" i="13"/>
  <c r="V1238" i="13"/>
  <c r="W1238" i="13"/>
  <c r="X1238" i="13"/>
  <c r="V1239" i="13"/>
  <c r="W1239" i="13"/>
  <c r="X1239" i="13"/>
  <c r="V1240" i="13"/>
  <c r="W1240" i="13"/>
  <c r="X1240" i="13"/>
  <c r="V1241" i="13"/>
  <c r="W1241" i="13"/>
  <c r="X1241" i="13"/>
  <c r="V1242" i="13"/>
  <c r="W1242" i="13"/>
  <c r="X1242" i="13"/>
  <c r="V1243" i="13"/>
  <c r="W1243" i="13"/>
  <c r="X1243" i="13"/>
  <c r="V1244" i="13"/>
  <c r="W1244" i="13"/>
  <c r="X1244" i="13"/>
  <c r="V1245" i="13"/>
  <c r="W1245" i="13"/>
  <c r="X1245" i="13"/>
  <c r="V1246" i="13"/>
  <c r="W1246" i="13"/>
  <c r="X1246" i="13"/>
  <c r="V1247" i="13"/>
  <c r="W1247" i="13"/>
  <c r="X1247" i="13"/>
  <c r="V1248" i="13"/>
  <c r="W1248" i="13"/>
  <c r="X1248" i="13"/>
  <c r="V1249" i="13"/>
  <c r="W1249" i="13"/>
  <c r="X1249" i="13"/>
  <c r="V1250" i="13"/>
  <c r="W1250" i="13"/>
  <c r="X1250" i="13"/>
  <c r="V1251" i="13"/>
  <c r="W1251" i="13"/>
  <c r="X1251" i="13"/>
  <c r="V1252" i="13"/>
  <c r="W1252" i="13"/>
  <c r="X1252" i="13"/>
  <c r="V1253" i="13"/>
  <c r="W1253" i="13"/>
  <c r="X1253" i="13"/>
  <c r="V1254" i="13"/>
  <c r="W1254" i="13"/>
  <c r="X1254" i="13"/>
  <c r="V1255" i="13"/>
  <c r="W1255" i="13"/>
  <c r="X1255" i="13"/>
  <c r="V1256" i="13"/>
  <c r="W1256" i="13"/>
  <c r="X1256" i="13"/>
  <c r="V1257" i="13"/>
  <c r="W1257" i="13"/>
  <c r="X1257" i="13"/>
  <c r="V1258" i="13"/>
  <c r="W1258" i="13"/>
  <c r="X1258" i="13"/>
  <c r="V1259" i="13"/>
  <c r="W1259" i="13"/>
  <c r="X1259" i="13"/>
  <c r="V1260" i="13"/>
  <c r="W1260" i="13"/>
  <c r="X1260" i="13"/>
  <c r="V1261" i="13"/>
  <c r="W1261" i="13"/>
  <c r="X1261" i="13"/>
  <c r="V1262" i="13"/>
  <c r="W1262" i="13"/>
  <c r="X1262" i="13"/>
  <c r="V1263" i="13"/>
  <c r="W1263" i="13"/>
  <c r="X1263" i="13"/>
  <c r="V1264" i="13"/>
  <c r="W1264" i="13"/>
  <c r="X1264" i="13"/>
  <c r="V1265" i="13"/>
  <c r="W1265" i="13"/>
  <c r="X1265" i="13"/>
  <c r="V1266" i="13"/>
  <c r="W1266" i="13"/>
  <c r="X1266" i="13"/>
  <c r="V1267" i="13"/>
  <c r="W1267" i="13"/>
  <c r="X1267" i="13"/>
  <c r="V1268" i="13"/>
  <c r="W1268" i="13"/>
  <c r="X1268" i="13"/>
  <c r="V1269" i="13"/>
  <c r="W1269" i="13"/>
  <c r="X1269" i="13"/>
  <c r="V1270" i="13"/>
  <c r="W1270" i="13"/>
  <c r="X1270" i="13"/>
  <c r="V1271" i="13"/>
  <c r="W1271" i="13"/>
  <c r="X1271" i="13"/>
  <c r="V1272" i="13"/>
  <c r="W1272" i="13"/>
  <c r="X1272" i="13"/>
  <c r="V1273" i="13"/>
  <c r="W1273" i="13"/>
  <c r="X1273" i="13"/>
  <c r="V1274" i="13"/>
  <c r="W1274" i="13"/>
  <c r="X1274" i="13"/>
  <c r="V1275" i="13"/>
  <c r="W1275" i="13"/>
  <c r="X1275" i="13"/>
  <c r="V1276" i="13"/>
  <c r="W1276" i="13"/>
  <c r="X1276" i="13"/>
  <c r="V1277" i="13"/>
  <c r="W1277" i="13"/>
  <c r="X1277" i="13"/>
  <c r="V1278" i="13"/>
  <c r="W1278" i="13"/>
  <c r="X1278" i="13"/>
  <c r="V1279" i="13"/>
  <c r="W1279" i="13"/>
  <c r="X1279" i="13"/>
  <c r="V1280" i="13"/>
  <c r="W1280" i="13"/>
  <c r="X1280" i="13"/>
  <c r="V1281" i="13"/>
  <c r="W1281" i="13"/>
  <c r="X1281" i="13"/>
  <c r="V1282" i="13"/>
  <c r="W1282" i="13"/>
  <c r="X1282" i="13"/>
  <c r="V1283" i="13"/>
  <c r="W1283" i="13"/>
  <c r="X1283" i="13"/>
  <c r="V1284" i="13"/>
  <c r="W1284" i="13"/>
  <c r="X1284" i="13"/>
  <c r="V1285" i="13"/>
  <c r="W1285" i="13"/>
  <c r="X1285" i="13"/>
  <c r="V1286" i="13"/>
  <c r="W1286" i="13"/>
  <c r="X1286" i="13"/>
  <c r="V1287" i="13"/>
  <c r="W1287" i="13"/>
  <c r="X1287" i="13"/>
  <c r="V1288" i="13"/>
  <c r="W1288" i="13"/>
  <c r="X1288" i="13"/>
  <c r="V1289" i="13"/>
  <c r="W1289" i="13"/>
  <c r="X1289" i="13"/>
  <c r="V1290" i="13"/>
  <c r="W1290" i="13"/>
  <c r="X1290" i="13"/>
  <c r="V1291" i="13"/>
  <c r="W1291" i="13"/>
  <c r="X1291" i="13"/>
  <c r="V1292" i="13"/>
  <c r="W1292" i="13"/>
  <c r="X1292" i="13"/>
  <c r="V1293" i="13"/>
  <c r="W1293" i="13"/>
  <c r="X1293" i="13"/>
  <c r="V1294" i="13"/>
  <c r="W1294" i="13"/>
  <c r="X1294" i="13"/>
  <c r="V1295" i="13"/>
  <c r="W1295" i="13"/>
  <c r="X1295" i="13"/>
  <c r="V1296" i="13"/>
  <c r="W1296" i="13"/>
  <c r="X1296" i="13"/>
  <c r="V1297" i="13"/>
  <c r="W1297" i="13"/>
  <c r="X1297" i="13"/>
  <c r="V1298" i="13"/>
  <c r="W1298" i="13"/>
  <c r="X1298" i="13"/>
  <c r="V1299" i="13"/>
  <c r="W1299" i="13"/>
  <c r="X1299" i="13"/>
  <c r="V1300" i="13"/>
  <c r="W1300" i="13"/>
  <c r="X1300" i="13"/>
  <c r="V1301" i="13"/>
  <c r="W1301" i="13"/>
  <c r="X1301" i="13"/>
  <c r="V1302" i="13"/>
  <c r="W1302" i="13"/>
  <c r="X1302" i="13"/>
  <c r="V1303" i="13"/>
  <c r="W1303" i="13"/>
  <c r="X1303" i="13"/>
  <c r="V1304" i="13"/>
  <c r="W1304" i="13"/>
  <c r="X1304" i="13"/>
  <c r="V1305" i="13"/>
  <c r="W1305" i="13"/>
  <c r="X1305" i="13"/>
  <c r="V1306" i="13"/>
  <c r="W1306" i="13"/>
  <c r="X1306" i="13"/>
  <c r="V1307" i="13"/>
  <c r="W1307" i="13"/>
  <c r="X1307" i="13"/>
  <c r="V1308" i="13"/>
  <c r="W1308" i="13"/>
  <c r="X1308" i="13"/>
  <c r="V1309" i="13"/>
  <c r="W1309" i="13"/>
  <c r="X1309" i="13"/>
  <c r="V1310" i="13"/>
  <c r="W1310" i="13"/>
  <c r="X1310" i="13"/>
  <c r="V1311" i="13"/>
  <c r="W1311" i="13"/>
  <c r="X1311" i="13"/>
  <c r="V1312" i="13"/>
  <c r="W1312" i="13"/>
  <c r="X1312" i="13"/>
  <c r="V1313" i="13"/>
  <c r="W1313" i="13"/>
  <c r="X1313" i="13"/>
  <c r="V1314" i="13"/>
  <c r="W1314" i="13"/>
  <c r="X1314" i="13"/>
  <c r="V1315" i="13"/>
  <c r="W1315" i="13"/>
  <c r="X1315" i="13"/>
  <c r="V1316" i="13"/>
  <c r="W1316" i="13"/>
  <c r="X1316" i="13"/>
  <c r="V1317" i="13"/>
  <c r="W1317" i="13"/>
  <c r="X1317" i="13"/>
  <c r="V1318" i="13"/>
  <c r="W1318" i="13"/>
  <c r="X1318" i="13"/>
  <c r="V1319" i="13"/>
  <c r="W1319" i="13"/>
  <c r="X1319" i="13"/>
  <c r="V1320" i="13"/>
  <c r="W1320" i="13"/>
  <c r="X1320" i="13"/>
  <c r="V1321" i="13"/>
  <c r="W1321" i="13"/>
  <c r="X1321" i="13"/>
  <c r="V1322" i="13"/>
  <c r="W1322" i="13"/>
  <c r="X1322" i="13"/>
  <c r="V1323" i="13"/>
  <c r="W1323" i="13"/>
  <c r="X1323" i="13"/>
  <c r="V1324" i="13"/>
  <c r="W1324" i="13"/>
  <c r="X1324" i="13"/>
  <c r="V1325" i="13"/>
  <c r="W1325" i="13"/>
  <c r="X1325" i="13"/>
  <c r="V1326" i="13"/>
  <c r="W1326" i="13"/>
  <c r="X1326" i="13"/>
  <c r="V1327" i="13"/>
  <c r="W1327" i="13"/>
  <c r="X1327" i="13"/>
  <c r="V1328" i="13"/>
  <c r="W1328" i="13"/>
  <c r="X1328" i="13"/>
  <c r="V1329" i="13"/>
  <c r="W1329" i="13"/>
  <c r="X1329" i="13"/>
  <c r="V1330" i="13"/>
  <c r="W1330" i="13"/>
  <c r="X1330" i="13"/>
  <c r="V1331" i="13"/>
  <c r="W1331" i="13"/>
  <c r="X1331" i="13"/>
  <c r="V1332" i="13"/>
  <c r="W1332" i="13"/>
  <c r="X1332" i="13"/>
  <c r="V1333" i="13"/>
  <c r="W1333" i="13"/>
  <c r="X1333" i="13"/>
  <c r="V1334" i="13"/>
  <c r="W1334" i="13"/>
  <c r="X1334" i="13"/>
  <c r="V1335" i="13"/>
  <c r="W1335" i="13"/>
  <c r="X1335" i="13"/>
  <c r="V1336" i="13"/>
  <c r="W1336" i="13"/>
  <c r="X1336" i="13"/>
  <c r="V1337" i="13"/>
  <c r="W1337" i="13"/>
  <c r="X1337" i="13"/>
  <c r="V1338" i="13"/>
  <c r="W1338" i="13"/>
  <c r="X1338" i="13"/>
  <c r="V1339" i="13"/>
  <c r="W1339" i="13"/>
  <c r="X1339" i="13"/>
  <c r="V1340" i="13"/>
  <c r="W1340" i="13"/>
  <c r="X1340" i="13"/>
  <c r="V1341" i="13"/>
  <c r="W1341" i="13"/>
  <c r="X1341" i="13"/>
  <c r="V1342" i="13"/>
  <c r="W1342" i="13"/>
  <c r="X1342" i="13"/>
  <c r="V1343" i="13"/>
  <c r="W1343" i="13"/>
  <c r="X1343" i="13"/>
  <c r="V1344" i="13"/>
  <c r="W1344" i="13"/>
  <c r="X1344" i="13"/>
  <c r="V1345" i="13"/>
  <c r="W1345" i="13"/>
  <c r="X1345" i="13"/>
  <c r="V1346" i="13"/>
  <c r="W1346" i="13"/>
  <c r="X1346" i="13"/>
  <c r="V1347" i="13"/>
  <c r="W1347" i="13"/>
  <c r="X1347" i="13"/>
  <c r="V1348" i="13"/>
  <c r="W1348" i="13"/>
  <c r="X1348" i="13"/>
  <c r="V1349" i="13"/>
  <c r="W1349" i="13"/>
  <c r="X1349" i="13"/>
  <c r="V1350" i="13"/>
  <c r="W1350" i="13"/>
  <c r="X1350" i="13"/>
  <c r="V1351" i="13"/>
  <c r="W1351" i="13"/>
  <c r="X1351" i="13"/>
  <c r="V1352" i="13"/>
  <c r="W1352" i="13"/>
  <c r="X1352" i="13"/>
  <c r="V1353" i="13"/>
  <c r="W1353" i="13"/>
  <c r="X1353" i="13"/>
  <c r="V1354" i="13"/>
  <c r="W1354" i="13"/>
  <c r="X1354" i="13"/>
  <c r="V1355" i="13"/>
  <c r="W1355" i="13"/>
  <c r="X1355" i="13"/>
  <c r="V1356" i="13"/>
  <c r="W1356" i="13"/>
  <c r="X1356" i="13"/>
  <c r="V1357" i="13"/>
  <c r="W1357" i="13"/>
  <c r="X1357" i="13"/>
  <c r="V1358" i="13"/>
  <c r="W1358" i="13"/>
  <c r="X1358" i="13"/>
  <c r="V1359" i="13"/>
  <c r="W1359" i="13"/>
  <c r="X1359" i="13"/>
  <c r="V1360" i="13"/>
  <c r="W1360" i="13"/>
  <c r="X1360" i="13"/>
  <c r="V1361" i="13"/>
  <c r="W1361" i="13"/>
  <c r="X1361" i="13"/>
  <c r="V1362" i="13"/>
  <c r="W1362" i="13"/>
  <c r="X1362" i="13"/>
  <c r="V1363" i="13"/>
  <c r="W1363" i="13"/>
  <c r="X1363" i="13"/>
  <c r="V1364" i="13"/>
  <c r="W1364" i="13"/>
  <c r="X1364" i="13"/>
  <c r="V1365" i="13"/>
  <c r="W1365" i="13"/>
  <c r="X1365" i="13"/>
  <c r="V1366" i="13"/>
  <c r="W1366" i="13"/>
  <c r="X1366" i="13"/>
  <c r="V1367" i="13"/>
  <c r="W1367" i="13"/>
  <c r="X1367" i="13"/>
  <c r="V1368" i="13"/>
  <c r="W1368" i="13"/>
  <c r="X1368" i="13"/>
  <c r="V1369" i="13"/>
  <c r="W1369" i="13"/>
  <c r="X1369" i="13"/>
  <c r="V1370" i="13"/>
  <c r="W1370" i="13"/>
  <c r="X1370" i="13"/>
  <c r="V1371" i="13"/>
  <c r="W1371" i="13"/>
  <c r="X1371" i="13"/>
  <c r="V1372" i="13"/>
  <c r="W1372" i="13"/>
  <c r="X1372" i="13"/>
  <c r="V1373" i="13"/>
  <c r="W1373" i="13"/>
  <c r="X1373" i="13"/>
  <c r="V1374" i="13"/>
  <c r="W1374" i="13"/>
  <c r="X1374" i="13"/>
  <c r="V1375" i="13"/>
  <c r="W1375" i="13"/>
  <c r="X1375" i="13"/>
  <c r="V1376" i="13"/>
  <c r="W1376" i="13"/>
  <c r="X1376" i="13"/>
  <c r="V1377" i="13"/>
  <c r="W1377" i="13"/>
  <c r="X1377" i="13"/>
  <c r="V1378" i="13"/>
  <c r="W1378" i="13"/>
  <c r="X1378" i="13"/>
  <c r="V1379" i="13"/>
  <c r="W1379" i="13"/>
  <c r="X1379" i="13"/>
  <c r="V1380" i="13"/>
  <c r="W1380" i="13"/>
  <c r="X1380" i="13"/>
  <c r="V1381" i="13"/>
  <c r="W1381" i="13"/>
  <c r="X1381" i="13"/>
  <c r="V1382" i="13"/>
  <c r="W1382" i="13"/>
  <c r="X1382" i="13"/>
  <c r="V1383" i="13"/>
  <c r="W1383" i="13"/>
  <c r="X1383" i="13"/>
  <c r="V1384" i="13"/>
  <c r="W1384" i="13"/>
  <c r="X1384" i="13"/>
  <c r="V1385" i="13"/>
  <c r="W1385" i="13"/>
  <c r="X1385" i="13"/>
  <c r="V1386" i="13"/>
  <c r="W1386" i="13"/>
  <c r="X1386" i="13"/>
  <c r="V1387" i="13"/>
  <c r="W1387" i="13"/>
  <c r="X1387" i="13"/>
  <c r="V1388" i="13"/>
  <c r="W1388" i="13"/>
  <c r="X1388" i="13"/>
  <c r="V1389" i="13"/>
  <c r="W1389" i="13"/>
  <c r="X1389" i="13"/>
  <c r="V1390" i="13"/>
  <c r="W1390" i="13"/>
  <c r="X1390" i="13"/>
  <c r="V1391" i="13"/>
  <c r="W1391" i="13"/>
  <c r="X1391" i="13"/>
  <c r="V1392" i="13"/>
  <c r="W1392" i="13"/>
  <c r="X1392" i="13"/>
  <c r="V1393" i="13"/>
  <c r="W1393" i="13"/>
  <c r="X1393" i="13"/>
  <c r="V1394" i="13"/>
  <c r="W1394" i="13"/>
  <c r="X1394" i="13"/>
  <c r="V1395" i="13"/>
  <c r="W1395" i="13"/>
  <c r="X1395" i="13"/>
  <c r="V3" i="13"/>
  <c r="W3" i="13"/>
  <c r="X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U159" i="13"/>
  <c r="U160" i="13"/>
  <c r="U161" i="13"/>
  <c r="U162" i="13"/>
  <c r="U163" i="13"/>
  <c r="U164" i="13"/>
  <c r="U165" i="13"/>
  <c r="U166" i="13"/>
  <c r="U167" i="13"/>
  <c r="U168" i="13"/>
  <c r="U169" i="13"/>
  <c r="U170" i="13"/>
  <c r="U171" i="13"/>
  <c r="U172" i="13"/>
  <c r="U173" i="13"/>
  <c r="U174" i="13"/>
  <c r="U175" i="13"/>
  <c r="U176" i="13"/>
  <c r="U177" i="13"/>
  <c r="U178" i="13"/>
  <c r="U179" i="13"/>
  <c r="U180" i="13"/>
  <c r="U181" i="13"/>
  <c r="U182" i="13"/>
  <c r="U183" i="13"/>
  <c r="U184" i="13"/>
  <c r="U185" i="13"/>
  <c r="U186" i="13"/>
  <c r="U187" i="13"/>
  <c r="U188" i="13"/>
  <c r="U189" i="13"/>
  <c r="U190" i="13"/>
  <c r="U191" i="13"/>
  <c r="U192" i="13"/>
  <c r="U193" i="13"/>
  <c r="U194" i="13"/>
  <c r="U195" i="13"/>
  <c r="U196" i="13"/>
  <c r="U197" i="13"/>
  <c r="U198" i="13"/>
  <c r="U199" i="13"/>
  <c r="U200" i="13"/>
  <c r="U201" i="13"/>
  <c r="U202" i="13"/>
  <c r="U203" i="13"/>
  <c r="U204" i="13"/>
  <c r="U205" i="13"/>
  <c r="U206" i="13"/>
  <c r="U207" i="13"/>
  <c r="U208" i="13"/>
  <c r="U209" i="13"/>
  <c r="U210" i="13"/>
  <c r="U211" i="13"/>
  <c r="U212" i="13"/>
  <c r="U213" i="13"/>
  <c r="U214" i="13"/>
  <c r="U215" i="13"/>
  <c r="U216" i="13"/>
  <c r="U217" i="13"/>
  <c r="U218" i="13"/>
  <c r="U219" i="13"/>
  <c r="U220" i="13"/>
  <c r="U221" i="13"/>
  <c r="U222" i="13"/>
  <c r="U223" i="13"/>
  <c r="U224" i="13"/>
  <c r="U225" i="13"/>
  <c r="U226" i="13"/>
  <c r="U227" i="13"/>
  <c r="U228" i="13"/>
  <c r="U229" i="13"/>
  <c r="U230" i="13"/>
  <c r="U231" i="13"/>
  <c r="U232" i="13"/>
  <c r="U233" i="13"/>
  <c r="U234" i="13"/>
  <c r="U235" i="13"/>
  <c r="U236" i="13"/>
  <c r="U237" i="13"/>
  <c r="U238" i="13"/>
  <c r="U239" i="13"/>
  <c r="U240" i="13"/>
  <c r="U241" i="13"/>
  <c r="U242" i="13"/>
  <c r="U243" i="13"/>
  <c r="U244" i="13"/>
  <c r="U245" i="13"/>
  <c r="U246" i="13"/>
  <c r="U247" i="13"/>
  <c r="U248" i="13"/>
  <c r="U249" i="13"/>
  <c r="U250" i="13"/>
  <c r="U251" i="13"/>
  <c r="U252" i="13"/>
  <c r="U253" i="13"/>
  <c r="U254" i="13"/>
  <c r="U255" i="13"/>
  <c r="U256" i="13"/>
  <c r="U257" i="13"/>
  <c r="U258" i="13"/>
  <c r="U259" i="13"/>
  <c r="U260" i="13"/>
  <c r="U261" i="13"/>
  <c r="U262" i="13"/>
  <c r="U263" i="13"/>
  <c r="U264" i="13"/>
  <c r="U265" i="13"/>
  <c r="U266" i="13"/>
  <c r="U267" i="13"/>
  <c r="U268" i="13"/>
  <c r="U269" i="13"/>
  <c r="U270" i="13"/>
  <c r="U271" i="13"/>
  <c r="U272" i="13"/>
  <c r="U273" i="13"/>
  <c r="U274" i="13"/>
  <c r="U275" i="13"/>
  <c r="U276" i="13"/>
  <c r="U277" i="13"/>
  <c r="U278" i="13"/>
  <c r="U279" i="13"/>
  <c r="U280" i="13"/>
  <c r="U281" i="13"/>
  <c r="U282" i="13"/>
  <c r="U283" i="13"/>
  <c r="U284" i="13"/>
  <c r="U285" i="13"/>
  <c r="U286" i="13"/>
  <c r="U287" i="13"/>
  <c r="U288" i="13"/>
  <c r="U289" i="13"/>
  <c r="U290" i="13"/>
  <c r="U291" i="13"/>
  <c r="U292" i="13"/>
  <c r="U293" i="13"/>
  <c r="U294" i="13"/>
  <c r="U295" i="13"/>
  <c r="U296" i="13"/>
  <c r="U297" i="13"/>
  <c r="U298" i="13"/>
  <c r="U299" i="13"/>
  <c r="U300" i="13"/>
  <c r="U301" i="13"/>
  <c r="U302" i="13"/>
  <c r="U303" i="13"/>
  <c r="U304" i="13"/>
  <c r="U305" i="13"/>
  <c r="U306" i="13"/>
  <c r="U307" i="13"/>
  <c r="U308" i="13"/>
  <c r="U309" i="13"/>
  <c r="U310" i="13"/>
  <c r="U311" i="13"/>
  <c r="U312" i="13"/>
  <c r="U313" i="13"/>
  <c r="U314" i="13"/>
  <c r="U315" i="13"/>
  <c r="U316" i="13"/>
  <c r="U317" i="13"/>
  <c r="U318" i="13"/>
  <c r="U319" i="13"/>
  <c r="U320" i="13"/>
  <c r="U321" i="13"/>
  <c r="U322" i="13"/>
  <c r="U323" i="13"/>
  <c r="U324" i="13"/>
  <c r="U325" i="13"/>
  <c r="U326" i="13"/>
  <c r="U327" i="13"/>
  <c r="U328" i="13"/>
  <c r="U329" i="13"/>
  <c r="U330" i="13"/>
  <c r="U331" i="13"/>
  <c r="U332" i="13"/>
  <c r="U333" i="13"/>
  <c r="U334" i="13"/>
  <c r="U335" i="13"/>
  <c r="U336" i="13"/>
  <c r="U337" i="13"/>
  <c r="U338" i="13"/>
  <c r="U339" i="13"/>
  <c r="U340" i="13"/>
  <c r="U341" i="13"/>
  <c r="U342" i="13"/>
  <c r="U343" i="13"/>
  <c r="U344" i="13"/>
  <c r="U345" i="13"/>
  <c r="U346" i="13"/>
  <c r="U347" i="13"/>
  <c r="U348" i="13"/>
  <c r="U349" i="13"/>
  <c r="U350" i="13"/>
  <c r="U351" i="13"/>
  <c r="U352" i="13"/>
  <c r="U353" i="13"/>
  <c r="U354" i="13"/>
  <c r="U355" i="13"/>
  <c r="U356" i="13"/>
  <c r="U357" i="13"/>
  <c r="U358" i="13"/>
  <c r="U359" i="13"/>
  <c r="U360" i="13"/>
  <c r="U361" i="13"/>
  <c r="U362" i="13"/>
  <c r="U363" i="13"/>
  <c r="U364" i="13"/>
  <c r="U365" i="13"/>
  <c r="U366" i="13"/>
  <c r="U367" i="13"/>
  <c r="U368" i="13"/>
  <c r="U369" i="13"/>
  <c r="U370" i="13"/>
  <c r="U371" i="13"/>
  <c r="U372" i="13"/>
  <c r="U373" i="13"/>
  <c r="U374" i="13"/>
  <c r="U375" i="13"/>
  <c r="U376" i="13"/>
  <c r="U377" i="13"/>
  <c r="U378" i="13"/>
  <c r="U379" i="13"/>
  <c r="U380" i="13"/>
  <c r="U381" i="13"/>
  <c r="U382" i="13"/>
  <c r="U383" i="13"/>
  <c r="U384" i="13"/>
  <c r="U385" i="13"/>
  <c r="U386" i="13"/>
  <c r="U387" i="13"/>
  <c r="U388" i="13"/>
  <c r="U389" i="13"/>
  <c r="U390" i="13"/>
  <c r="U391" i="13"/>
  <c r="U392" i="13"/>
  <c r="U393" i="13"/>
  <c r="U394" i="13"/>
  <c r="U395" i="13"/>
  <c r="U396" i="13"/>
  <c r="U397" i="13"/>
  <c r="U398" i="13"/>
  <c r="U399" i="13"/>
  <c r="U400" i="13"/>
  <c r="U401" i="13"/>
  <c r="U402" i="13"/>
  <c r="U403" i="13"/>
  <c r="U404" i="13"/>
  <c r="U405" i="13"/>
  <c r="U406" i="13"/>
  <c r="U407" i="13"/>
  <c r="U408" i="13"/>
  <c r="U409" i="13"/>
  <c r="U410" i="13"/>
  <c r="U411" i="13"/>
  <c r="U412" i="13"/>
  <c r="U413" i="13"/>
  <c r="U414" i="13"/>
  <c r="U415" i="13"/>
  <c r="U416" i="13"/>
  <c r="U417" i="13"/>
  <c r="U418" i="13"/>
  <c r="U419" i="13"/>
  <c r="U420" i="13"/>
  <c r="U421" i="13"/>
  <c r="U422" i="13"/>
  <c r="U423" i="13"/>
  <c r="U424" i="13"/>
  <c r="U425" i="13"/>
  <c r="U426" i="13"/>
  <c r="U427" i="13"/>
  <c r="U428" i="13"/>
  <c r="U429" i="13"/>
  <c r="U430" i="13"/>
  <c r="U431" i="13"/>
  <c r="U432" i="13"/>
  <c r="U433" i="13"/>
  <c r="U434" i="13"/>
  <c r="U435" i="13"/>
  <c r="U436" i="13"/>
  <c r="U437" i="13"/>
  <c r="U438" i="13"/>
  <c r="U439" i="13"/>
  <c r="U440" i="13"/>
  <c r="U441" i="13"/>
  <c r="U442" i="13"/>
  <c r="U443" i="13"/>
  <c r="U444" i="13"/>
  <c r="U445" i="13"/>
  <c r="U446" i="13"/>
  <c r="U447" i="13"/>
  <c r="U448" i="13"/>
  <c r="U449" i="13"/>
  <c r="U450" i="13"/>
  <c r="U451" i="13"/>
  <c r="U452" i="13"/>
  <c r="U453" i="13"/>
  <c r="U454" i="13"/>
  <c r="U455" i="13"/>
  <c r="U456" i="13"/>
  <c r="U457" i="13"/>
  <c r="U458" i="13"/>
  <c r="U459" i="13"/>
  <c r="U460" i="13"/>
  <c r="U461" i="13"/>
  <c r="U462" i="13"/>
  <c r="U463" i="13"/>
  <c r="U464" i="13"/>
  <c r="U465" i="13"/>
  <c r="U466" i="13"/>
  <c r="U467" i="13"/>
  <c r="U468" i="13"/>
  <c r="U469" i="13"/>
  <c r="U470" i="13"/>
  <c r="U471" i="13"/>
  <c r="U472" i="13"/>
  <c r="U473" i="13"/>
  <c r="U474" i="13"/>
  <c r="U475" i="13"/>
  <c r="U476" i="13"/>
  <c r="U477" i="13"/>
  <c r="U478" i="13"/>
  <c r="U479" i="13"/>
  <c r="U480" i="13"/>
  <c r="U481" i="13"/>
  <c r="U482" i="13"/>
  <c r="U483" i="13"/>
  <c r="U484" i="13"/>
  <c r="U485" i="13"/>
  <c r="U486" i="13"/>
  <c r="U487" i="13"/>
  <c r="U488" i="13"/>
  <c r="U489" i="13"/>
  <c r="U490" i="13"/>
  <c r="U491" i="13"/>
  <c r="U492" i="13"/>
  <c r="U493" i="13"/>
  <c r="U494" i="13"/>
  <c r="U495" i="13"/>
  <c r="U496" i="13"/>
  <c r="U497" i="13"/>
  <c r="U498" i="13"/>
  <c r="U499" i="13"/>
  <c r="U500" i="13"/>
  <c r="U501" i="13"/>
  <c r="U502" i="13"/>
  <c r="U503" i="13"/>
  <c r="U504" i="13"/>
  <c r="U505" i="13"/>
  <c r="U506" i="13"/>
  <c r="U507" i="13"/>
  <c r="U508" i="13"/>
  <c r="U509" i="13"/>
  <c r="U510" i="13"/>
  <c r="U511" i="13"/>
  <c r="U512" i="13"/>
  <c r="U513" i="13"/>
  <c r="U514" i="13"/>
  <c r="U515" i="13"/>
  <c r="U516" i="13"/>
  <c r="U517" i="13"/>
  <c r="U518" i="13"/>
  <c r="U519" i="13"/>
  <c r="U520" i="13"/>
  <c r="U521" i="13"/>
  <c r="U522" i="13"/>
  <c r="U523" i="13"/>
  <c r="U524" i="13"/>
  <c r="U525" i="13"/>
  <c r="U526" i="13"/>
  <c r="U527" i="13"/>
  <c r="U528" i="13"/>
  <c r="U529" i="13"/>
  <c r="U530" i="13"/>
  <c r="U531" i="13"/>
  <c r="U532" i="13"/>
  <c r="U533" i="13"/>
  <c r="U534" i="13"/>
  <c r="U535" i="13"/>
  <c r="U536" i="13"/>
  <c r="U537" i="13"/>
  <c r="U538" i="13"/>
  <c r="U539" i="13"/>
  <c r="U540" i="13"/>
  <c r="U541" i="13"/>
  <c r="U542" i="13"/>
  <c r="U543" i="13"/>
  <c r="U544" i="13"/>
  <c r="U545" i="13"/>
  <c r="U546" i="13"/>
  <c r="U547" i="13"/>
  <c r="U548" i="13"/>
  <c r="U549" i="13"/>
  <c r="U550" i="13"/>
  <c r="U551" i="13"/>
  <c r="U552" i="13"/>
  <c r="U553" i="13"/>
  <c r="U554" i="13"/>
  <c r="U555" i="13"/>
  <c r="U556" i="13"/>
  <c r="U557" i="13"/>
  <c r="U558" i="13"/>
  <c r="U559" i="13"/>
  <c r="U560" i="13"/>
  <c r="U561" i="13"/>
  <c r="U562" i="13"/>
  <c r="U563" i="13"/>
  <c r="U564" i="13"/>
  <c r="U565" i="13"/>
  <c r="U566" i="13"/>
  <c r="U567" i="13"/>
  <c r="U568" i="13"/>
  <c r="U569" i="13"/>
  <c r="U570" i="13"/>
  <c r="U571" i="13"/>
  <c r="U572" i="13"/>
  <c r="U573" i="13"/>
  <c r="U574" i="13"/>
  <c r="U575" i="13"/>
  <c r="U576" i="13"/>
  <c r="U577" i="13"/>
  <c r="U578" i="13"/>
  <c r="U579" i="13"/>
  <c r="U580" i="13"/>
  <c r="U581" i="13"/>
  <c r="U582" i="13"/>
  <c r="U583" i="13"/>
  <c r="U584" i="13"/>
  <c r="U585" i="13"/>
  <c r="U586" i="13"/>
  <c r="U587" i="13"/>
  <c r="U588" i="13"/>
  <c r="U589" i="13"/>
  <c r="U590" i="13"/>
  <c r="U591" i="13"/>
  <c r="U592" i="13"/>
  <c r="U593" i="13"/>
  <c r="U594" i="13"/>
  <c r="U595" i="13"/>
  <c r="U596" i="13"/>
  <c r="U597" i="13"/>
  <c r="U598" i="13"/>
  <c r="U599" i="13"/>
  <c r="U600" i="13"/>
  <c r="U601" i="13"/>
  <c r="U602" i="13"/>
  <c r="U603" i="13"/>
  <c r="U604" i="13"/>
  <c r="U605" i="13"/>
  <c r="U606" i="13"/>
  <c r="U607" i="13"/>
  <c r="U608" i="13"/>
  <c r="U609" i="13"/>
  <c r="U610" i="13"/>
  <c r="U611" i="13"/>
  <c r="U612" i="13"/>
  <c r="U613" i="13"/>
  <c r="U614" i="13"/>
  <c r="U615" i="13"/>
  <c r="U616" i="13"/>
  <c r="U617" i="13"/>
  <c r="U618" i="13"/>
  <c r="U619" i="13"/>
  <c r="U620" i="13"/>
  <c r="U621" i="13"/>
  <c r="U622" i="13"/>
  <c r="U623" i="13"/>
  <c r="U624" i="13"/>
  <c r="U625" i="13"/>
  <c r="U626" i="13"/>
  <c r="U627" i="13"/>
  <c r="U628" i="13"/>
  <c r="U629" i="13"/>
  <c r="U630" i="13"/>
  <c r="U631" i="13"/>
  <c r="U632" i="13"/>
  <c r="U633" i="13"/>
  <c r="U634" i="13"/>
  <c r="U635" i="13"/>
  <c r="U636" i="13"/>
  <c r="U637" i="13"/>
  <c r="U638" i="13"/>
  <c r="U639" i="13"/>
  <c r="U640" i="13"/>
  <c r="U641" i="13"/>
  <c r="U642" i="13"/>
  <c r="U643" i="13"/>
  <c r="U644" i="13"/>
  <c r="U645" i="13"/>
  <c r="U646" i="13"/>
  <c r="U647" i="13"/>
  <c r="U648" i="13"/>
  <c r="U649" i="13"/>
  <c r="U650" i="13"/>
  <c r="U651" i="13"/>
  <c r="U652" i="13"/>
  <c r="U653" i="13"/>
  <c r="U654" i="13"/>
  <c r="U655" i="13"/>
  <c r="U656" i="13"/>
  <c r="U657" i="13"/>
  <c r="U658" i="13"/>
  <c r="U659" i="13"/>
  <c r="U660" i="13"/>
  <c r="U661" i="13"/>
  <c r="U662" i="13"/>
  <c r="U663" i="13"/>
  <c r="U664" i="13"/>
  <c r="U665" i="13"/>
  <c r="U666" i="13"/>
  <c r="U667" i="13"/>
  <c r="U668" i="13"/>
  <c r="U669" i="13"/>
  <c r="U670" i="13"/>
  <c r="U671" i="13"/>
  <c r="U672" i="13"/>
  <c r="U673" i="13"/>
  <c r="U674" i="13"/>
  <c r="U675" i="13"/>
  <c r="U676" i="13"/>
  <c r="U677" i="13"/>
  <c r="U678" i="13"/>
  <c r="U679" i="13"/>
  <c r="U680" i="13"/>
  <c r="U681" i="13"/>
  <c r="U682" i="13"/>
  <c r="U683" i="13"/>
  <c r="U684" i="13"/>
  <c r="U685" i="13"/>
  <c r="U686" i="13"/>
  <c r="U687" i="13"/>
  <c r="U688" i="13"/>
  <c r="U689" i="13"/>
  <c r="U690" i="13"/>
  <c r="U691" i="13"/>
  <c r="U692" i="13"/>
  <c r="U693" i="13"/>
  <c r="U694" i="13"/>
  <c r="U695" i="13"/>
  <c r="U696" i="13"/>
  <c r="U697" i="13"/>
  <c r="U698" i="13"/>
  <c r="U699" i="13"/>
  <c r="U700" i="13"/>
  <c r="U701" i="13"/>
  <c r="U702" i="13"/>
  <c r="U703" i="13"/>
  <c r="U704" i="13"/>
  <c r="U705" i="13"/>
  <c r="U706" i="13"/>
  <c r="U707" i="13"/>
  <c r="U708" i="13"/>
  <c r="U709" i="13"/>
  <c r="U710" i="13"/>
  <c r="U711" i="13"/>
  <c r="U712" i="13"/>
  <c r="U713" i="13"/>
  <c r="U714" i="13"/>
  <c r="U715" i="13"/>
  <c r="U716" i="13"/>
  <c r="U717" i="13"/>
  <c r="U718" i="13"/>
  <c r="U719" i="13"/>
  <c r="U720" i="13"/>
  <c r="U721" i="13"/>
  <c r="U722" i="13"/>
  <c r="U723" i="13"/>
  <c r="U724" i="13"/>
  <c r="U725" i="13"/>
  <c r="U726" i="13"/>
  <c r="U727" i="13"/>
  <c r="U728" i="13"/>
  <c r="U729" i="13"/>
  <c r="U730" i="13"/>
  <c r="U731" i="13"/>
  <c r="U732" i="13"/>
  <c r="U733" i="13"/>
  <c r="U734" i="13"/>
  <c r="U735" i="13"/>
  <c r="U736" i="13"/>
  <c r="U737" i="13"/>
  <c r="U738" i="13"/>
  <c r="U739" i="13"/>
  <c r="U740" i="13"/>
  <c r="U741" i="13"/>
  <c r="U742" i="13"/>
  <c r="U743" i="13"/>
  <c r="U744" i="13"/>
  <c r="U745" i="13"/>
  <c r="U746" i="13"/>
  <c r="U747" i="13"/>
  <c r="U748" i="13"/>
  <c r="U749" i="13"/>
  <c r="U750" i="13"/>
  <c r="U751" i="13"/>
  <c r="U752" i="13"/>
  <c r="U753" i="13"/>
  <c r="U754" i="13"/>
  <c r="U755" i="13"/>
  <c r="U756" i="13"/>
  <c r="U757" i="13"/>
  <c r="U758" i="13"/>
  <c r="U759" i="13"/>
  <c r="U760" i="13"/>
  <c r="U761" i="13"/>
  <c r="U762" i="13"/>
  <c r="U763" i="13"/>
  <c r="U764" i="13"/>
  <c r="U765" i="13"/>
  <c r="U766" i="13"/>
  <c r="U767" i="13"/>
  <c r="U768" i="13"/>
  <c r="U769" i="13"/>
  <c r="U770" i="13"/>
  <c r="U771" i="13"/>
  <c r="U772" i="13"/>
  <c r="U773" i="13"/>
  <c r="U774" i="13"/>
  <c r="U775" i="13"/>
  <c r="U776" i="13"/>
  <c r="U777" i="13"/>
  <c r="U778" i="13"/>
  <c r="U779" i="13"/>
  <c r="U780" i="13"/>
  <c r="U781" i="13"/>
  <c r="U782" i="13"/>
  <c r="U783" i="13"/>
  <c r="U784" i="13"/>
  <c r="U785" i="13"/>
  <c r="U786" i="13"/>
  <c r="U787" i="13"/>
  <c r="U788" i="13"/>
  <c r="U789" i="13"/>
  <c r="U790" i="13"/>
  <c r="U791" i="13"/>
  <c r="U792" i="13"/>
  <c r="U793" i="13"/>
  <c r="U794" i="13"/>
  <c r="U795" i="13"/>
  <c r="U796" i="13"/>
  <c r="U797" i="13"/>
  <c r="U798" i="13"/>
  <c r="U799" i="13"/>
  <c r="U800" i="13"/>
  <c r="U801" i="13"/>
  <c r="U802" i="13"/>
  <c r="U803" i="13"/>
  <c r="U804" i="13"/>
  <c r="U805" i="13"/>
  <c r="U806" i="13"/>
  <c r="U807" i="13"/>
  <c r="U808" i="13"/>
  <c r="U809" i="13"/>
  <c r="U810" i="13"/>
  <c r="U811" i="13"/>
  <c r="U812" i="13"/>
  <c r="U813" i="13"/>
  <c r="U814" i="13"/>
  <c r="U815" i="13"/>
  <c r="U816" i="13"/>
  <c r="U817" i="13"/>
  <c r="U818" i="13"/>
  <c r="U819" i="13"/>
  <c r="U820" i="13"/>
  <c r="U821" i="13"/>
  <c r="U822" i="13"/>
  <c r="U823" i="13"/>
  <c r="U824" i="13"/>
  <c r="U825" i="13"/>
  <c r="U826" i="13"/>
  <c r="U827" i="13"/>
  <c r="U828" i="13"/>
  <c r="U829" i="13"/>
  <c r="U830" i="13"/>
  <c r="U831" i="13"/>
  <c r="U832" i="13"/>
  <c r="U833" i="13"/>
  <c r="U834" i="13"/>
  <c r="U835" i="13"/>
  <c r="U836" i="13"/>
  <c r="U837" i="13"/>
  <c r="U838" i="13"/>
  <c r="U839" i="13"/>
  <c r="U840" i="13"/>
  <c r="U841" i="13"/>
  <c r="U842" i="13"/>
  <c r="U843" i="13"/>
  <c r="U844" i="13"/>
  <c r="U845" i="13"/>
  <c r="U846" i="13"/>
  <c r="U847" i="13"/>
  <c r="U848" i="13"/>
  <c r="U849" i="13"/>
  <c r="U850" i="13"/>
  <c r="U851" i="13"/>
  <c r="U852" i="13"/>
  <c r="U853" i="13"/>
  <c r="U854" i="13"/>
  <c r="U855" i="13"/>
  <c r="U856" i="13"/>
  <c r="U857" i="13"/>
  <c r="U858" i="13"/>
  <c r="U859" i="13"/>
  <c r="U860" i="13"/>
  <c r="U861" i="13"/>
  <c r="U862" i="13"/>
  <c r="U863" i="13"/>
  <c r="U864" i="13"/>
  <c r="U865" i="13"/>
  <c r="U866" i="13"/>
  <c r="U867" i="13"/>
  <c r="U868" i="13"/>
  <c r="U869" i="13"/>
  <c r="U870" i="13"/>
  <c r="U871" i="13"/>
  <c r="U872" i="13"/>
  <c r="U873" i="13"/>
  <c r="U874" i="13"/>
  <c r="U875" i="13"/>
  <c r="U876" i="13"/>
  <c r="U877" i="13"/>
  <c r="U878" i="13"/>
  <c r="U879" i="13"/>
  <c r="U880" i="13"/>
  <c r="U881" i="13"/>
  <c r="U882" i="13"/>
  <c r="U883" i="13"/>
  <c r="U884" i="13"/>
  <c r="U885" i="13"/>
  <c r="U886" i="13"/>
  <c r="U887" i="13"/>
  <c r="U888" i="13"/>
  <c r="U889" i="13"/>
  <c r="U890" i="13"/>
  <c r="U891" i="13"/>
  <c r="U892" i="13"/>
  <c r="U893" i="13"/>
  <c r="U894" i="13"/>
  <c r="U895" i="13"/>
  <c r="U896" i="13"/>
  <c r="U897" i="13"/>
  <c r="U898" i="13"/>
  <c r="U899" i="13"/>
  <c r="U900" i="13"/>
  <c r="U901" i="13"/>
  <c r="U902" i="13"/>
  <c r="U903" i="13"/>
  <c r="U904" i="13"/>
  <c r="U905" i="13"/>
  <c r="U906" i="13"/>
  <c r="U907" i="13"/>
  <c r="U908" i="13"/>
  <c r="U909" i="13"/>
  <c r="U910" i="13"/>
  <c r="U911" i="13"/>
  <c r="U912" i="13"/>
  <c r="U913" i="13"/>
  <c r="U914" i="13"/>
  <c r="U915" i="13"/>
  <c r="U916" i="13"/>
  <c r="U917" i="13"/>
  <c r="U918" i="13"/>
  <c r="U919" i="13"/>
  <c r="U920" i="13"/>
  <c r="U921" i="13"/>
  <c r="U922" i="13"/>
  <c r="U923" i="13"/>
  <c r="U924" i="13"/>
  <c r="U925" i="13"/>
  <c r="U926" i="13"/>
  <c r="U927" i="13"/>
  <c r="U928" i="13"/>
  <c r="U929" i="13"/>
  <c r="U930" i="13"/>
  <c r="U931" i="13"/>
  <c r="U932" i="13"/>
  <c r="U933" i="13"/>
  <c r="U934" i="13"/>
  <c r="U935" i="13"/>
  <c r="U936" i="13"/>
  <c r="U937" i="13"/>
  <c r="U938" i="13"/>
  <c r="U939" i="13"/>
  <c r="U940" i="13"/>
  <c r="U941" i="13"/>
  <c r="U942" i="13"/>
  <c r="U943" i="13"/>
  <c r="U944" i="13"/>
  <c r="U945" i="13"/>
  <c r="U946" i="13"/>
  <c r="U947" i="13"/>
  <c r="U948" i="13"/>
  <c r="U949" i="13"/>
  <c r="U950" i="13"/>
  <c r="U951" i="13"/>
  <c r="U952" i="13"/>
  <c r="U953" i="13"/>
  <c r="U954" i="13"/>
  <c r="U955" i="13"/>
  <c r="U956" i="13"/>
  <c r="U957" i="13"/>
  <c r="U958" i="13"/>
  <c r="U959" i="13"/>
  <c r="U960" i="13"/>
  <c r="U961" i="13"/>
  <c r="U962" i="13"/>
  <c r="U963" i="13"/>
  <c r="U964" i="13"/>
  <c r="U965" i="13"/>
  <c r="U966" i="13"/>
  <c r="U967" i="13"/>
  <c r="U968" i="13"/>
  <c r="U969" i="13"/>
  <c r="U970" i="13"/>
  <c r="U971" i="13"/>
  <c r="U972" i="13"/>
  <c r="U973" i="13"/>
  <c r="U974" i="13"/>
  <c r="U975" i="13"/>
  <c r="U976" i="13"/>
  <c r="U977" i="13"/>
  <c r="U978" i="13"/>
  <c r="U979" i="13"/>
  <c r="U980" i="13"/>
  <c r="U981" i="13"/>
  <c r="U982" i="13"/>
  <c r="U983" i="13"/>
  <c r="U984" i="13"/>
  <c r="U985" i="13"/>
  <c r="U986" i="13"/>
  <c r="U987" i="13"/>
  <c r="U988" i="13"/>
  <c r="U989" i="13"/>
  <c r="U990" i="13"/>
  <c r="U991" i="13"/>
  <c r="U992" i="13"/>
  <c r="U993" i="13"/>
  <c r="U994" i="13"/>
  <c r="U995" i="13"/>
  <c r="U996" i="13"/>
  <c r="U997" i="13"/>
  <c r="U998" i="13"/>
  <c r="U999" i="13"/>
  <c r="U1000" i="13"/>
  <c r="U1001" i="13"/>
  <c r="U1002" i="13"/>
  <c r="U1003" i="13"/>
  <c r="U1004" i="13"/>
  <c r="U1005" i="13"/>
  <c r="U1006" i="13"/>
  <c r="U1007" i="13"/>
  <c r="U1008" i="13"/>
  <c r="U1009" i="13"/>
  <c r="U1010" i="13"/>
  <c r="U1011" i="13"/>
  <c r="U1012" i="13"/>
  <c r="U1013" i="13"/>
  <c r="U1014" i="13"/>
  <c r="U1015" i="13"/>
  <c r="U1016" i="13"/>
  <c r="U1017" i="13"/>
  <c r="U1018" i="13"/>
  <c r="U1019" i="13"/>
  <c r="U1020" i="13"/>
  <c r="U1021" i="13"/>
  <c r="U1022" i="13"/>
  <c r="U1023" i="13"/>
  <c r="U1024" i="13"/>
  <c r="U1025" i="13"/>
  <c r="U1026" i="13"/>
  <c r="U1027" i="13"/>
  <c r="U1028" i="13"/>
  <c r="U1029" i="13"/>
  <c r="U1030" i="13"/>
  <c r="U1031" i="13"/>
  <c r="U1032" i="13"/>
  <c r="U1033" i="13"/>
  <c r="U1034" i="13"/>
  <c r="U1035" i="13"/>
  <c r="U1036" i="13"/>
  <c r="U1037" i="13"/>
  <c r="U1038" i="13"/>
  <c r="U1039" i="13"/>
  <c r="U1040" i="13"/>
  <c r="U1041" i="13"/>
  <c r="U1042" i="13"/>
  <c r="U1043" i="13"/>
  <c r="U1044" i="13"/>
  <c r="U1045" i="13"/>
  <c r="U1046" i="13"/>
  <c r="U1047" i="13"/>
  <c r="U1048" i="13"/>
  <c r="U1049" i="13"/>
  <c r="U1050" i="13"/>
  <c r="U1051" i="13"/>
  <c r="U1052" i="13"/>
  <c r="U1053" i="13"/>
  <c r="U1054" i="13"/>
  <c r="U1055" i="13"/>
  <c r="U1056" i="13"/>
  <c r="U1057" i="13"/>
  <c r="U1058" i="13"/>
  <c r="U1059" i="13"/>
  <c r="U1060" i="13"/>
  <c r="U1061" i="13"/>
  <c r="U1062" i="13"/>
  <c r="U1063" i="13"/>
  <c r="U1064" i="13"/>
  <c r="U1065" i="13"/>
  <c r="U1066" i="13"/>
  <c r="U1067" i="13"/>
  <c r="U1068" i="13"/>
  <c r="U1069" i="13"/>
  <c r="U1070" i="13"/>
  <c r="U1071" i="13"/>
  <c r="U1072" i="13"/>
  <c r="U1073" i="13"/>
  <c r="U1074" i="13"/>
  <c r="U1075" i="13"/>
  <c r="U1076" i="13"/>
  <c r="U1077" i="13"/>
  <c r="U1078" i="13"/>
  <c r="U1079" i="13"/>
  <c r="U1080" i="13"/>
  <c r="U1081" i="13"/>
  <c r="U1082" i="13"/>
  <c r="U1083" i="13"/>
  <c r="U1084" i="13"/>
  <c r="U1085" i="13"/>
  <c r="U1086" i="13"/>
  <c r="U1087" i="13"/>
  <c r="U1088" i="13"/>
  <c r="U1089" i="13"/>
  <c r="U1090" i="13"/>
  <c r="U1091" i="13"/>
  <c r="U1092" i="13"/>
  <c r="U1093" i="13"/>
  <c r="U1094" i="13"/>
  <c r="U1095" i="13"/>
  <c r="U1096" i="13"/>
  <c r="U1097" i="13"/>
  <c r="U1098" i="13"/>
  <c r="U1099" i="13"/>
  <c r="U1100" i="13"/>
  <c r="U1101" i="13"/>
  <c r="U1102" i="13"/>
  <c r="U1103" i="13"/>
  <c r="U1104" i="13"/>
  <c r="U1105" i="13"/>
  <c r="U1106" i="13"/>
  <c r="U1107" i="13"/>
  <c r="U1108" i="13"/>
  <c r="U1109" i="13"/>
  <c r="U1110" i="13"/>
  <c r="U1111" i="13"/>
  <c r="U1112" i="13"/>
  <c r="U1113" i="13"/>
  <c r="U1114" i="13"/>
  <c r="U1115" i="13"/>
  <c r="U1116" i="13"/>
  <c r="U1117" i="13"/>
  <c r="U1118" i="13"/>
  <c r="U1119" i="13"/>
  <c r="U1120" i="13"/>
  <c r="U1121" i="13"/>
  <c r="U1122" i="13"/>
  <c r="U1123" i="13"/>
  <c r="U1124" i="13"/>
  <c r="U1125" i="13"/>
  <c r="U1126" i="13"/>
  <c r="U1127" i="13"/>
  <c r="U1128" i="13"/>
  <c r="U1129" i="13"/>
  <c r="U1130" i="13"/>
  <c r="U1131" i="13"/>
  <c r="U1132" i="13"/>
  <c r="U1133" i="13"/>
  <c r="U1134" i="13"/>
  <c r="U1135" i="13"/>
  <c r="U1136" i="13"/>
  <c r="U1137" i="13"/>
  <c r="U1138" i="13"/>
  <c r="U1139" i="13"/>
  <c r="U1140" i="13"/>
  <c r="U1141" i="13"/>
  <c r="U1142" i="13"/>
  <c r="U1143" i="13"/>
  <c r="U1144" i="13"/>
  <c r="U1145" i="13"/>
  <c r="U1146" i="13"/>
  <c r="U1147" i="13"/>
  <c r="U1148" i="13"/>
  <c r="U1149" i="13"/>
  <c r="U1150" i="13"/>
  <c r="U1151" i="13"/>
  <c r="U1152" i="13"/>
  <c r="U1153" i="13"/>
  <c r="U1154" i="13"/>
  <c r="U1155" i="13"/>
  <c r="U1156" i="13"/>
  <c r="U1157" i="13"/>
  <c r="U1158" i="13"/>
  <c r="U1159" i="13"/>
  <c r="U1160" i="13"/>
  <c r="U1161" i="13"/>
  <c r="U1162" i="13"/>
  <c r="U1163" i="13"/>
  <c r="U1164" i="13"/>
  <c r="U1165" i="13"/>
  <c r="U1166" i="13"/>
  <c r="U1167" i="13"/>
  <c r="U1168" i="13"/>
  <c r="U1169" i="13"/>
  <c r="U1170" i="13"/>
  <c r="U1171" i="13"/>
  <c r="U1172" i="13"/>
  <c r="U1173" i="13"/>
  <c r="U1174" i="13"/>
  <c r="U1175" i="13"/>
  <c r="U1176" i="13"/>
  <c r="U1177" i="13"/>
  <c r="U1178" i="13"/>
  <c r="U1179" i="13"/>
  <c r="U1180" i="13"/>
  <c r="U1181" i="13"/>
  <c r="U1182" i="13"/>
  <c r="U1183" i="13"/>
  <c r="U1184" i="13"/>
  <c r="U1185" i="13"/>
  <c r="U1186" i="13"/>
  <c r="U1187" i="13"/>
  <c r="U1188" i="13"/>
  <c r="U1189" i="13"/>
  <c r="U1190" i="13"/>
  <c r="U1191" i="13"/>
  <c r="U1192" i="13"/>
  <c r="U1193" i="13"/>
  <c r="U1194" i="13"/>
  <c r="U1195" i="13"/>
  <c r="U1196" i="13"/>
  <c r="U1197" i="13"/>
  <c r="U1198" i="13"/>
  <c r="U1199" i="13"/>
  <c r="U1200" i="13"/>
  <c r="U1201" i="13"/>
  <c r="U1202" i="13"/>
  <c r="U1203" i="13"/>
  <c r="U1204" i="13"/>
  <c r="U1205" i="13"/>
  <c r="U1206" i="13"/>
  <c r="U1207" i="13"/>
  <c r="U1208" i="13"/>
  <c r="U1209" i="13"/>
  <c r="U1210" i="13"/>
  <c r="U1211" i="13"/>
  <c r="U1212" i="13"/>
  <c r="U1213" i="13"/>
  <c r="U1214" i="13"/>
  <c r="U1215" i="13"/>
  <c r="U1216" i="13"/>
  <c r="U1217" i="13"/>
  <c r="U1218" i="13"/>
  <c r="U1219" i="13"/>
  <c r="U1220" i="13"/>
  <c r="U1221" i="13"/>
  <c r="U1222" i="13"/>
  <c r="U1223" i="13"/>
  <c r="U1224" i="13"/>
  <c r="U1225" i="13"/>
  <c r="U1226" i="13"/>
  <c r="U1227" i="13"/>
  <c r="U1228" i="13"/>
  <c r="U1229" i="13"/>
  <c r="U1230" i="13"/>
  <c r="U1231" i="13"/>
  <c r="U1232" i="13"/>
  <c r="U1233" i="13"/>
  <c r="U1234" i="13"/>
  <c r="U1235" i="13"/>
  <c r="U1236" i="13"/>
  <c r="U1237" i="13"/>
  <c r="U1238" i="13"/>
  <c r="U1239" i="13"/>
  <c r="U1240" i="13"/>
  <c r="U1241" i="13"/>
  <c r="U1242" i="13"/>
  <c r="U1243" i="13"/>
  <c r="U1244" i="13"/>
  <c r="U1245" i="13"/>
  <c r="U1246" i="13"/>
  <c r="U1247" i="13"/>
  <c r="U1248" i="13"/>
  <c r="U1249" i="13"/>
  <c r="U1250" i="13"/>
  <c r="U1251" i="13"/>
  <c r="U1252" i="13"/>
  <c r="U1253" i="13"/>
  <c r="U1254" i="13"/>
  <c r="U1255" i="13"/>
  <c r="U1256" i="13"/>
  <c r="U1257" i="13"/>
  <c r="U1258" i="13"/>
  <c r="U1259" i="13"/>
  <c r="U1260" i="13"/>
  <c r="U1261" i="13"/>
  <c r="U1262" i="13"/>
  <c r="U1263" i="13"/>
  <c r="U1264" i="13"/>
  <c r="U1265" i="13"/>
  <c r="U1266" i="13"/>
  <c r="U1267" i="13"/>
  <c r="U1268" i="13"/>
  <c r="U1269" i="13"/>
  <c r="U1270" i="13"/>
  <c r="U1271" i="13"/>
  <c r="U1272" i="13"/>
  <c r="U1273" i="13"/>
  <c r="U1274" i="13"/>
  <c r="U1275" i="13"/>
  <c r="U1276" i="13"/>
  <c r="U1277" i="13"/>
  <c r="U1278" i="13"/>
  <c r="U1279" i="13"/>
  <c r="U1280" i="13"/>
  <c r="U1281" i="13"/>
  <c r="U1282" i="13"/>
  <c r="U1283" i="13"/>
  <c r="U1284" i="13"/>
  <c r="U1285" i="13"/>
  <c r="U1286" i="13"/>
  <c r="U1287" i="13"/>
  <c r="U1288" i="13"/>
  <c r="U1289" i="13"/>
  <c r="U1290" i="13"/>
  <c r="U1291" i="13"/>
  <c r="U1292" i="13"/>
  <c r="U1293" i="13"/>
  <c r="U1294" i="13"/>
  <c r="U1295" i="13"/>
  <c r="U1296" i="13"/>
  <c r="U1297" i="13"/>
  <c r="U1298" i="13"/>
  <c r="U1299" i="13"/>
  <c r="U1300" i="13"/>
  <c r="U1301" i="13"/>
  <c r="U1302" i="13"/>
  <c r="U1303" i="13"/>
  <c r="U1304" i="13"/>
  <c r="U1305" i="13"/>
  <c r="U1306" i="13"/>
  <c r="U1307" i="13"/>
  <c r="U1308" i="13"/>
  <c r="U1309" i="13"/>
  <c r="U1310" i="13"/>
  <c r="U1311" i="13"/>
  <c r="U1312" i="13"/>
  <c r="U1313" i="13"/>
  <c r="U1314" i="13"/>
  <c r="U1315" i="13"/>
  <c r="U1316" i="13"/>
  <c r="U1317" i="13"/>
  <c r="U1318" i="13"/>
  <c r="U1319" i="13"/>
  <c r="U1320" i="13"/>
  <c r="U1321" i="13"/>
  <c r="U1322" i="13"/>
  <c r="U1323" i="13"/>
  <c r="U1324" i="13"/>
  <c r="U1325" i="13"/>
  <c r="U1326" i="13"/>
  <c r="U1327" i="13"/>
  <c r="U1328" i="13"/>
  <c r="U1329" i="13"/>
  <c r="U1330" i="13"/>
  <c r="U1331" i="13"/>
  <c r="U1332" i="13"/>
  <c r="U1333" i="13"/>
  <c r="U1334" i="13"/>
  <c r="U1335" i="13"/>
  <c r="U1336" i="13"/>
  <c r="U1337" i="13"/>
  <c r="U1338" i="13"/>
  <c r="U1339" i="13"/>
  <c r="U1340" i="13"/>
  <c r="U1341" i="13"/>
  <c r="U1342" i="13"/>
  <c r="U1343" i="13"/>
  <c r="U1344" i="13"/>
  <c r="U1345" i="13"/>
  <c r="U1346" i="13"/>
  <c r="U1347" i="13"/>
  <c r="U1348" i="13"/>
  <c r="U1349" i="13"/>
  <c r="U1350" i="13"/>
  <c r="U1351" i="13"/>
  <c r="U1352" i="13"/>
  <c r="U1353" i="13"/>
  <c r="U1354" i="13"/>
  <c r="U1355" i="13"/>
  <c r="U1356" i="13"/>
  <c r="U1357" i="13"/>
  <c r="U1358" i="13"/>
  <c r="U1359" i="13"/>
  <c r="U1360" i="13"/>
  <c r="U1361" i="13"/>
  <c r="U1362" i="13"/>
  <c r="U1363" i="13"/>
  <c r="U1364" i="13"/>
  <c r="U1365" i="13"/>
  <c r="U1366" i="13"/>
  <c r="U1367" i="13"/>
  <c r="U1368" i="13"/>
  <c r="U1369" i="13"/>
  <c r="U1370" i="13"/>
  <c r="U1371" i="13"/>
  <c r="U1372" i="13"/>
  <c r="U1373" i="13"/>
  <c r="U1374" i="13"/>
  <c r="U1375" i="13"/>
  <c r="U1376" i="13"/>
  <c r="U1377" i="13"/>
  <c r="U1378" i="13"/>
  <c r="U1379" i="13"/>
  <c r="U1380" i="13"/>
  <c r="U1381" i="13"/>
  <c r="U1382" i="13"/>
  <c r="U1383" i="13"/>
  <c r="U1384" i="13"/>
  <c r="U1385" i="13"/>
  <c r="U1386" i="13"/>
  <c r="U1387" i="13"/>
  <c r="U1388" i="13"/>
  <c r="U1389" i="13"/>
  <c r="U1390" i="13"/>
  <c r="U1391" i="13"/>
  <c r="U1392" i="13"/>
  <c r="U1393" i="13"/>
  <c r="U1394" i="13"/>
  <c r="U1395" i="13"/>
  <c r="U3" i="13"/>
  <c r="T3" i="13"/>
  <c r="T716" i="13"/>
  <c r="T715" i="13"/>
  <c r="T714" i="13"/>
  <c r="T713" i="13"/>
  <c r="T712" i="13"/>
  <c r="T711" i="13"/>
  <c r="T710" i="13"/>
  <c r="T709" i="13"/>
  <c r="T708" i="13"/>
  <c r="T707" i="13"/>
  <c r="T706" i="13"/>
  <c r="T705" i="13"/>
  <c r="T704" i="13"/>
  <c r="T703" i="13"/>
  <c r="T702" i="13"/>
  <c r="T701" i="13"/>
  <c r="T700" i="13"/>
  <c r="T699" i="13"/>
  <c r="T698" i="13"/>
  <c r="T697" i="13"/>
  <c r="T696" i="13"/>
  <c r="T695" i="13"/>
  <c r="T694" i="13"/>
  <c r="T693" i="13"/>
  <c r="T692" i="13"/>
  <c r="T691" i="13"/>
  <c r="T690" i="13"/>
  <c r="T689" i="13"/>
  <c r="T688" i="13"/>
  <c r="T687" i="13"/>
  <c r="T686" i="13"/>
  <c r="T685" i="13"/>
  <c r="T684" i="13"/>
  <c r="T683" i="13"/>
  <c r="T682" i="13"/>
  <c r="T681" i="13"/>
  <c r="T680" i="13"/>
  <c r="T679" i="13"/>
  <c r="T678" i="13"/>
  <c r="T677" i="13"/>
  <c r="T676" i="13"/>
  <c r="T675" i="13"/>
  <c r="T674" i="13"/>
  <c r="T673" i="13"/>
  <c r="T672" i="13"/>
  <c r="T671" i="13"/>
  <c r="T670" i="13"/>
  <c r="T669" i="13"/>
  <c r="T668" i="13"/>
  <c r="T667" i="13"/>
  <c r="T666" i="13"/>
  <c r="T665" i="13"/>
  <c r="T664" i="13"/>
  <c r="T663" i="13"/>
  <c r="T662" i="13"/>
  <c r="T661" i="13"/>
  <c r="T660" i="13"/>
  <c r="T659" i="13"/>
  <c r="T658" i="13"/>
  <c r="T657" i="13"/>
  <c r="T656" i="13"/>
  <c r="T655" i="13"/>
  <c r="T654" i="13"/>
  <c r="T653" i="13"/>
  <c r="T652" i="13"/>
  <c r="T651" i="13"/>
  <c r="T650" i="13"/>
  <c r="T649" i="13"/>
  <c r="T648" i="13"/>
  <c r="T647" i="13"/>
  <c r="T646" i="13"/>
  <c r="T645" i="13"/>
  <c r="T644" i="13"/>
  <c r="T643" i="13"/>
  <c r="T642" i="13"/>
  <c r="T641" i="13"/>
  <c r="T640" i="13"/>
  <c r="T639" i="13"/>
  <c r="T638" i="13"/>
  <c r="T637" i="13"/>
  <c r="T636" i="13"/>
  <c r="T635" i="13"/>
  <c r="T634" i="13"/>
  <c r="T633" i="13"/>
  <c r="T632" i="13"/>
  <c r="T631" i="13"/>
  <c r="T630" i="13"/>
  <c r="T629" i="13"/>
  <c r="T628" i="13"/>
  <c r="T627" i="13"/>
  <c r="T626" i="13"/>
  <c r="T625" i="13"/>
  <c r="T624" i="13"/>
  <c r="T623" i="13"/>
  <c r="T622" i="13"/>
  <c r="T621" i="13"/>
  <c r="T620" i="13"/>
  <c r="T619" i="13"/>
  <c r="T618" i="13"/>
  <c r="T617" i="13"/>
  <c r="T616" i="13"/>
  <c r="T615" i="13"/>
  <c r="T614" i="13"/>
  <c r="T613" i="13"/>
  <c r="T612" i="13"/>
  <c r="T611" i="13"/>
  <c r="T610" i="13"/>
  <c r="T609" i="13"/>
  <c r="T608" i="13"/>
  <c r="T607" i="13"/>
  <c r="T606" i="13"/>
  <c r="T605" i="13"/>
  <c r="T604" i="13"/>
  <c r="T603" i="13"/>
  <c r="T602" i="13"/>
  <c r="T601" i="13"/>
  <c r="T600" i="13"/>
  <c r="T599" i="13"/>
  <c r="T598" i="13"/>
  <c r="T597" i="13"/>
  <c r="T596" i="13"/>
  <c r="T595" i="13"/>
  <c r="T594" i="13"/>
  <c r="T593" i="13"/>
  <c r="T592" i="13"/>
  <c r="T591" i="13"/>
  <c r="T590" i="13"/>
  <c r="T589" i="13"/>
  <c r="T588" i="13"/>
  <c r="T587" i="13"/>
  <c r="T586" i="13"/>
  <c r="T585" i="13"/>
  <c r="T584" i="13"/>
  <c r="T583" i="13"/>
  <c r="T582" i="13"/>
  <c r="T581" i="13"/>
  <c r="T580" i="13"/>
  <c r="T579" i="13"/>
  <c r="T578" i="13"/>
  <c r="T577" i="13"/>
  <c r="T576" i="13"/>
  <c r="T575" i="13"/>
  <c r="T574" i="13"/>
  <c r="T573" i="13"/>
  <c r="T572" i="13"/>
  <c r="T571" i="13"/>
  <c r="T570" i="13"/>
  <c r="T569" i="13"/>
  <c r="T568" i="13"/>
  <c r="T567" i="13"/>
  <c r="T566" i="13"/>
  <c r="T565" i="13"/>
  <c r="T564" i="13"/>
  <c r="T563" i="13"/>
  <c r="T562" i="13"/>
  <c r="T561" i="13"/>
  <c r="T560" i="13"/>
  <c r="T559" i="13"/>
  <c r="T558" i="13"/>
  <c r="T557" i="13"/>
  <c r="T556" i="13"/>
  <c r="T555" i="13"/>
  <c r="T554" i="13"/>
  <c r="T553" i="13"/>
  <c r="T552" i="13"/>
  <c r="T551" i="13"/>
  <c r="T550" i="13"/>
  <c r="T549" i="13"/>
  <c r="T548" i="13"/>
  <c r="T547" i="13"/>
  <c r="T546" i="13"/>
  <c r="T545" i="13"/>
  <c r="T544" i="13"/>
  <c r="T543" i="13"/>
  <c r="T542" i="13"/>
  <c r="T541" i="13"/>
  <c r="T540" i="13"/>
  <c r="T539" i="13"/>
  <c r="T538" i="13"/>
  <c r="T537" i="13"/>
  <c r="T536" i="13"/>
  <c r="T535" i="13"/>
  <c r="T534" i="13"/>
  <c r="T533" i="13"/>
  <c r="T532" i="13"/>
  <c r="T531" i="13"/>
  <c r="T530" i="13"/>
  <c r="T529" i="13"/>
  <c r="T528" i="13"/>
  <c r="T527" i="13"/>
  <c r="T526" i="13"/>
  <c r="T525" i="13"/>
  <c r="T524" i="13"/>
  <c r="T523" i="13"/>
  <c r="T522" i="13"/>
  <c r="T521" i="13"/>
  <c r="T520" i="13"/>
  <c r="T519" i="13"/>
  <c r="T518" i="13"/>
  <c r="T517" i="13"/>
  <c r="T516" i="13"/>
  <c r="T515" i="13"/>
  <c r="T514" i="13"/>
  <c r="T513" i="13"/>
  <c r="T512" i="13"/>
  <c r="T511" i="13"/>
  <c r="T510" i="13"/>
  <c r="T509" i="13"/>
  <c r="T508" i="13"/>
  <c r="T507" i="13"/>
  <c r="T506" i="13"/>
  <c r="T505" i="13"/>
  <c r="T504" i="13"/>
  <c r="T503" i="13"/>
  <c r="T502" i="13"/>
  <c r="T501" i="13"/>
  <c r="T500" i="13"/>
  <c r="T499" i="13"/>
  <c r="T498" i="13"/>
  <c r="T497" i="13"/>
  <c r="T496" i="13"/>
  <c r="T495" i="13"/>
  <c r="T494" i="13"/>
  <c r="T493" i="13"/>
  <c r="T492" i="13"/>
  <c r="T491" i="13"/>
  <c r="T490" i="13"/>
  <c r="T489" i="13"/>
  <c r="T488" i="13"/>
  <c r="T487" i="13"/>
  <c r="T486" i="13"/>
  <c r="T485" i="13"/>
  <c r="T484" i="13"/>
  <c r="T483" i="13"/>
  <c r="T482" i="13"/>
  <c r="T481" i="13"/>
  <c r="T480" i="13"/>
  <c r="T479" i="13"/>
  <c r="T478" i="13"/>
  <c r="T477" i="13"/>
  <c r="T476" i="13"/>
  <c r="T475" i="13"/>
  <c r="T474" i="13"/>
  <c r="T473" i="13"/>
  <c r="T472" i="13"/>
  <c r="T471" i="13"/>
  <c r="T470" i="13"/>
  <c r="T469" i="13"/>
  <c r="T468" i="13"/>
  <c r="T467" i="13"/>
  <c r="T466" i="13"/>
  <c r="T465" i="13"/>
  <c r="T464" i="13"/>
  <c r="T463" i="13"/>
  <c r="T462" i="13"/>
  <c r="T461" i="13"/>
  <c r="T460" i="13"/>
  <c r="T459" i="13"/>
  <c r="T458" i="13"/>
  <c r="T457" i="13"/>
  <c r="T456" i="13"/>
  <c r="T455" i="13"/>
  <c r="T454" i="13"/>
  <c r="T453" i="13"/>
  <c r="T452" i="13"/>
  <c r="T451" i="13"/>
  <c r="T450" i="13"/>
  <c r="T449" i="13"/>
  <c r="T448" i="13"/>
  <c r="T447" i="13"/>
  <c r="T446" i="13"/>
  <c r="T445" i="13"/>
  <c r="T444" i="13"/>
  <c r="T443" i="13"/>
  <c r="T442" i="13"/>
  <c r="T441" i="13"/>
  <c r="T440" i="13"/>
  <c r="T439" i="13"/>
  <c r="T438" i="13"/>
  <c r="T437" i="13"/>
  <c r="T436" i="13"/>
  <c r="T435" i="13"/>
  <c r="T434" i="13"/>
  <c r="T433" i="13"/>
  <c r="T432" i="13"/>
  <c r="T431" i="13"/>
  <c r="T430" i="13"/>
  <c r="T429" i="13"/>
  <c r="T428" i="13"/>
  <c r="T427" i="13"/>
  <c r="T426" i="13"/>
  <c r="T425" i="13"/>
  <c r="T424" i="13"/>
  <c r="T423" i="13"/>
  <c r="T422" i="13"/>
  <c r="T421" i="13"/>
  <c r="T420" i="13"/>
  <c r="T419" i="13"/>
  <c r="T418" i="13"/>
  <c r="T417" i="13"/>
  <c r="T416" i="13"/>
  <c r="T415" i="13"/>
  <c r="T414" i="13"/>
  <c r="T413" i="13"/>
  <c r="T412" i="13"/>
  <c r="T411" i="13"/>
  <c r="T410" i="13"/>
  <c r="T409" i="13"/>
  <c r="T408" i="13"/>
  <c r="T407" i="13"/>
  <c r="T406" i="13"/>
  <c r="T405" i="13"/>
  <c r="T404" i="13"/>
  <c r="T403" i="13"/>
  <c r="T402" i="13"/>
  <c r="T401" i="13"/>
  <c r="T400" i="13"/>
  <c r="T399" i="13"/>
  <c r="T398" i="13"/>
  <c r="T397" i="13"/>
  <c r="T396" i="13"/>
  <c r="T395" i="13"/>
  <c r="T394" i="13"/>
  <c r="T393" i="13"/>
  <c r="T392" i="13"/>
  <c r="T391" i="13"/>
  <c r="T390" i="13"/>
  <c r="T389" i="13"/>
  <c r="T388" i="13"/>
  <c r="T387" i="13"/>
  <c r="T386" i="13"/>
  <c r="T385" i="13"/>
  <c r="T384" i="13"/>
  <c r="T383" i="13"/>
  <c r="T382" i="13"/>
  <c r="T381" i="13"/>
  <c r="T380" i="13"/>
  <c r="T379" i="13"/>
  <c r="T378" i="13"/>
  <c r="T377" i="13"/>
  <c r="T376" i="13"/>
  <c r="T375" i="13"/>
  <c r="T374" i="13"/>
  <c r="T373" i="13"/>
  <c r="T372" i="13"/>
  <c r="T371" i="13"/>
  <c r="T370" i="13"/>
  <c r="T369" i="13"/>
  <c r="T368" i="13"/>
  <c r="T367" i="13"/>
  <c r="T366" i="13"/>
  <c r="T365" i="13"/>
  <c r="T364" i="13"/>
  <c r="T363" i="13"/>
  <c r="T362" i="13"/>
  <c r="T361" i="13"/>
  <c r="T360" i="13"/>
  <c r="T359" i="13"/>
  <c r="T358" i="13"/>
  <c r="T357" i="13"/>
  <c r="T356" i="13"/>
  <c r="T355" i="13"/>
  <c r="T354" i="13"/>
  <c r="T353" i="13"/>
  <c r="T352" i="13"/>
  <c r="T351" i="13"/>
  <c r="T350" i="13"/>
  <c r="T349" i="13"/>
  <c r="T348" i="13"/>
  <c r="T347" i="13"/>
  <c r="T346" i="13"/>
  <c r="T345" i="13"/>
  <c r="T344" i="13"/>
  <c r="T343" i="13"/>
  <c r="T342" i="13"/>
  <c r="T341" i="13"/>
  <c r="T340" i="13"/>
  <c r="T339" i="13"/>
  <c r="T338" i="13"/>
  <c r="T337" i="13"/>
  <c r="T336" i="13"/>
  <c r="T335" i="13"/>
  <c r="T334" i="13"/>
  <c r="T333" i="13"/>
  <c r="T332" i="13"/>
  <c r="T331" i="13"/>
  <c r="T330" i="13"/>
  <c r="T329" i="13"/>
  <c r="T328" i="13"/>
  <c r="T327" i="13"/>
  <c r="T326" i="13"/>
  <c r="T325" i="13"/>
  <c r="T324" i="13"/>
  <c r="T323" i="13"/>
  <c r="T322" i="13"/>
  <c r="T321" i="13"/>
  <c r="T320" i="13"/>
  <c r="T319" i="13"/>
  <c r="T318" i="13"/>
  <c r="T317" i="13"/>
  <c r="T316" i="13"/>
  <c r="T315" i="13"/>
  <c r="T314" i="13"/>
  <c r="T313" i="13"/>
  <c r="T312" i="13"/>
  <c r="T311" i="13"/>
  <c r="T310" i="13"/>
  <c r="T309" i="13"/>
  <c r="T308" i="13"/>
  <c r="T307" i="13"/>
  <c r="T306" i="13"/>
  <c r="T305" i="13"/>
  <c r="T304" i="13"/>
  <c r="T303" i="13"/>
  <c r="T302" i="13"/>
  <c r="T301" i="13"/>
  <c r="T300" i="13"/>
  <c r="T299" i="13"/>
  <c r="T298" i="13"/>
  <c r="T297" i="13"/>
  <c r="T296" i="13"/>
  <c r="T295" i="13"/>
  <c r="T294" i="13"/>
  <c r="T293" i="13"/>
  <c r="T292" i="13"/>
  <c r="T291" i="13"/>
  <c r="T290" i="13"/>
  <c r="T289" i="13"/>
  <c r="T288" i="13"/>
  <c r="T287" i="13"/>
  <c r="T286" i="13"/>
  <c r="T285" i="13"/>
  <c r="T284" i="13"/>
  <c r="T283" i="13"/>
  <c r="T282" i="13"/>
  <c r="T281" i="13"/>
  <c r="T280" i="13"/>
  <c r="T279" i="13"/>
  <c r="T278" i="13"/>
  <c r="T277" i="13"/>
  <c r="T276" i="13"/>
  <c r="T275" i="13"/>
  <c r="T274" i="13"/>
  <c r="T273" i="13"/>
  <c r="T272" i="13"/>
  <c r="T271" i="13"/>
  <c r="T270" i="13"/>
  <c r="T269" i="13"/>
  <c r="T268" i="13"/>
  <c r="T267" i="13"/>
  <c r="T266" i="13"/>
  <c r="T265" i="13"/>
  <c r="T264" i="13"/>
  <c r="T263" i="13"/>
  <c r="T262" i="13"/>
  <c r="T261" i="13"/>
  <c r="T260" i="13"/>
  <c r="T259" i="13"/>
  <c r="T258" i="13"/>
  <c r="T257" i="13"/>
  <c r="T256" i="13"/>
  <c r="T255" i="13"/>
  <c r="T254" i="13"/>
  <c r="T253" i="13"/>
  <c r="T252" i="13"/>
  <c r="T251" i="13"/>
  <c r="T250" i="13"/>
  <c r="T249" i="13"/>
  <c r="T248" i="13"/>
  <c r="T247" i="13"/>
  <c r="T246" i="13"/>
  <c r="T245" i="13"/>
  <c r="T244" i="13"/>
  <c r="T243" i="13"/>
  <c r="T242" i="13"/>
  <c r="T241" i="13"/>
  <c r="T240" i="13"/>
  <c r="T239" i="13"/>
  <c r="T238" i="13"/>
  <c r="T237" i="13"/>
  <c r="T236" i="13"/>
  <c r="T235" i="13"/>
  <c r="T234" i="13"/>
  <c r="T233" i="13"/>
  <c r="T232" i="13"/>
  <c r="T231" i="13"/>
  <c r="T230" i="13"/>
  <c r="T229" i="13"/>
  <c r="T228" i="13"/>
  <c r="T227" i="13"/>
  <c r="T226" i="13"/>
  <c r="T225" i="13"/>
  <c r="T224" i="13"/>
  <c r="T223" i="13"/>
  <c r="T222" i="13"/>
  <c r="T221" i="13"/>
  <c r="T220" i="13"/>
  <c r="T219" i="13"/>
  <c r="T218" i="13"/>
  <c r="T217" i="13"/>
  <c r="T216" i="13"/>
  <c r="T215" i="13"/>
  <c r="T214" i="13"/>
  <c r="T213" i="13"/>
  <c r="T212" i="13"/>
  <c r="T211" i="13"/>
  <c r="T210" i="13"/>
  <c r="T209" i="13"/>
  <c r="T208" i="13"/>
  <c r="T207" i="13"/>
  <c r="T206" i="13"/>
  <c r="T205" i="13"/>
  <c r="T204" i="13"/>
  <c r="T203" i="13"/>
  <c r="T202" i="13"/>
  <c r="T201" i="13"/>
  <c r="T200" i="13"/>
  <c r="T199" i="13"/>
  <c r="T198" i="13"/>
  <c r="T197" i="13"/>
  <c r="T196" i="13"/>
  <c r="T195" i="13"/>
  <c r="T194" i="13"/>
  <c r="T193" i="13"/>
  <c r="T192" i="13"/>
  <c r="T191" i="13"/>
  <c r="T190" i="13"/>
  <c r="T189" i="13"/>
  <c r="T188" i="13"/>
  <c r="T187" i="13"/>
  <c r="T186" i="13"/>
  <c r="T185" i="13"/>
  <c r="T184" i="13"/>
  <c r="T183" i="13"/>
  <c r="T182" i="13"/>
  <c r="T181" i="13"/>
  <c r="T180" i="13"/>
  <c r="T179" i="13"/>
  <c r="T178" i="13"/>
  <c r="T177" i="13"/>
  <c r="T176" i="13"/>
  <c r="T175" i="13"/>
  <c r="T174" i="13"/>
  <c r="T173" i="13"/>
  <c r="T172" i="13"/>
  <c r="T171" i="13"/>
  <c r="T170" i="13"/>
  <c r="T169" i="13"/>
  <c r="T168" i="13"/>
  <c r="T167" i="13"/>
  <c r="T166" i="13"/>
  <c r="T165" i="13"/>
  <c r="T164" i="13"/>
  <c r="T163" i="13"/>
  <c r="T162" i="13"/>
  <c r="T161" i="13"/>
  <c r="T160" i="13"/>
  <c r="T159" i="13"/>
  <c r="T158" i="13"/>
  <c r="T157" i="13"/>
  <c r="T156" i="13"/>
  <c r="T155" i="13"/>
  <c r="T154" i="13"/>
  <c r="T153" i="13"/>
  <c r="T152" i="13"/>
  <c r="T151" i="13"/>
  <c r="T150" i="13"/>
  <c r="T149" i="13"/>
  <c r="T148" i="13"/>
  <c r="T147" i="13"/>
  <c r="T146" i="13"/>
  <c r="T145" i="13"/>
  <c r="T144" i="13"/>
  <c r="T143" i="13"/>
  <c r="T142" i="13"/>
  <c r="T141" i="13"/>
  <c r="T140" i="13"/>
  <c r="T139" i="13"/>
  <c r="T138" i="13"/>
  <c r="T137" i="13"/>
  <c r="T136" i="13"/>
  <c r="T135" i="13"/>
  <c r="T134" i="13"/>
  <c r="T133" i="13"/>
  <c r="T132" i="13"/>
  <c r="T131" i="13"/>
  <c r="T130" i="13"/>
  <c r="T129" i="13"/>
  <c r="T128" i="13"/>
  <c r="T127" i="13"/>
  <c r="T126" i="13"/>
  <c r="T125" i="13"/>
  <c r="T124" i="13"/>
  <c r="T123" i="13"/>
  <c r="T122" i="13"/>
  <c r="T121" i="13"/>
  <c r="T120" i="13"/>
  <c r="T119" i="13"/>
  <c r="T118" i="13"/>
  <c r="T117" i="13"/>
  <c r="T116" i="13"/>
  <c r="T115" i="13"/>
  <c r="T114" i="13"/>
  <c r="T113" i="13"/>
  <c r="T112" i="13"/>
  <c r="T111" i="13"/>
  <c r="T110" i="13"/>
  <c r="T109" i="13"/>
  <c r="T108" i="13"/>
  <c r="T107" i="13"/>
  <c r="T106" i="13"/>
  <c r="T105" i="13"/>
  <c r="T104" i="13"/>
  <c r="T103" i="13"/>
  <c r="T102" i="13"/>
  <c r="T101" i="13"/>
  <c r="T100" i="13"/>
  <c r="T99" i="13"/>
  <c r="T98" i="13"/>
  <c r="T97" i="13"/>
  <c r="T96" i="13"/>
  <c r="T95" i="13"/>
  <c r="T94" i="13"/>
  <c r="T93" i="13"/>
  <c r="T92" i="13"/>
  <c r="T91" i="13"/>
  <c r="T90" i="13"/>
  <c r="T89" i="13"/>
  <c r="T88" i="13"/>
  <c r="T87" i="13"/>
  <c r="T86" i="13"/>
  <c r="T85" i="13"/>
  <c r="T84" i="13"/>
  <c r="T83" i="13"/>
  <c r="T82" i="13"/>
  <c r="T81" i="13"/>
  <c r="T80" i="13"/>
  <c r="T79" i="13"/>
  <c r="T78" i="13"/>
  <c r="T77" i="13"/>
  <c r="T76" i="13"/>
  <c r="T75" i="13"/>
  <c r="T74" i="13"/>
  <c r="T73" i="13"/>
  <c r="T72" i="13"/>
  <c r="T71" i="13"/>
  <c r="T70" i="13"/>
  <c r="T69" i="13"/>
  <c r="T68" i="13"/>
  <c r="T67" i="13"/>
  <c r="T66" i="13"/>
  <c r="T65" i="13"/>
  <c r="T64" i="13"/>
  <c r="T63" i="13"/>
  <c r="T62" i="13"/>
  <c r="T61" i="13"/>
  <c r="T60" i="13"/>
  <c r="T59" i="13"/>
  <c r="T58" i="13"/>
  <c r="T57" i="13"/>
  <c r="T56" i="13"/>
  <c r="T55" i="13"/>
  <c r="T54" i="13"/>
  <c r="T53" i="13"/>
  <c r="T52" i="13"/>
  <c r="T51" i="13"/>
  <c r="T50" i="13"/>
  <c r="T49" i="13"/>
  <c r="T48" i="13"/>
  <c r="T47" i="13"/>
  <c r="T46" i="13"/>
  <c r="T45" i="13"/>
  <c r="T44" i="13"/>
  <c r="T43" i="13"/>
  <c r="T42" i="13"/>
  <c r="T41" i="13"/>
  <c r="T40" i="13"/>
  <c r="T39" i="13"/>
  <c r="T38" i="13"/>
  <c r="T37" i="13"/>
  <c r="T36" i="13"/>
  <c r="T35" i="13"/>
  <c r="T34" i="13"/>
  <c r="T33" i="13"/>
  <c r="T32" i="13"/>
  <c r="T31" i="13"/>
  <c r="T30" i="13"/>
  <c r="T29" i="13"/>
  <c r="T28" i="13"/>
  <c r="T27" i="13"/>
  <c r="T26" i="13"/>
  <c r="T25" i="13"/>
  <c r="T24" i="13"/>
  <c r="T23" i="13"/>
  <c r="T22" i="13"/>
  <c r="T21" i="13"/>
  <c r="T20" i="13"/>
  <c r="T19" i="13"/>
  <c r="T18" i="13"/>
  <c r="T17" i="13"/>
  <c r="T16" i="13"/>
  <c r="T15" i="13"/>
  <c r="T14" i="13"/>
  <c r="T13" i="13"/>
  <c r="T12" i="13"/>
  <c r="T11" i="13"/>
  <c r="T10" i="13"/>
  <c r="T9" i="13"/>
  <c r="T8" i="13"/>
  <c r="T7" i="13"/>
  <c r="T6" i="13"/>
  <c r="T5" i="13"/>
  <c r="T4" i="13"/>
  <c r="X1" i="13" l="1"/>
  <c r="V1" i="13"/>
  <c r="W1" i="13"/>
  <c r="U1" i="13"/>
  <c r="A33" i="11"/>
  <c r="A32" i="11"/>
  <c r="A31" i="11"/>
  <c r="A30" i="11"/>
  <c r="A29" i="11"/>
  <c r="A28" i="11"/>
  <c r="A27" i="11"/>
  <c r="A26" i="11"/>
  <c r="A25" i="11"/>
  <c r="A24" i="11"/>
  <c r="A23" i="11"/>
  <c r="A22" i="11"/>
  <c r="A21" i="11"/>
  <c r="U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Frank</author>
    <author>Frank Buckler</author>
    <author>gbuckfr</author>
  </authors>
  <commentList>
    <comment ref="B2" authorId="0" shapeId="0" xr:uid="{00000000-0006-0000-0200-000001000000}">
      <text>
        <r>
          <rPr>
            <sz val="9"/>
            <color indexed="81"/>
            <rFont val="Tahoma"/>
            <family val="2"/>
          </rPr>
          <t>0 = disable (20-Nearest Nabour)
1 = enable</t>
        </r>
      </text>
    </comment>
    <comment ref="C2" authorId="1" shapeId="0" xr:uid="{00000000-0006-0000-0200-000002000000}">
      <text>
        <r>
          <rPr>
            <b/>
            <sz val="9"/>
            <color indexed="81"/>
            <rFont val="Segoe UI"/>
            <family val="2"/>
          </rPr>
          <t>Frank Buckler:</t>
        </r>
        <r>
          <rPr>
            <sz val="9"/>
            <color indexed="81"/>
            <rFont val="Segoe UI"/>
            <family val="2"/>
          </rPr>
          <t xml:space="preserve">
0=disable
1=enable</t>
        </r>
      </text>
    </comment>
    <comment ref="E2" authorId="0" shapeId="0" xr:uid="{00000000-0006-0000-0200-000003000000}">
      <text>
        <r>
          <rPr>
            <sz val="9"/>
            <color indexed="81"/>
            <rFont val="Tahoma"/>
            <family val="2"/>
          </rPr>
          <t>0 = disables 2SLS
1 = enable 2SLS</t>
        </r>
      </text>
    </comment>
    <comment ref="G2" authorId="0" shapeId="0" xr:uid="{00000000-0006-0000-0200-000004000000}">
      <text>
        <r>
          <rPr>
            <sz val="9"/>
            <color indexed="81"/>
            <rFont val="Tahoma"/>
            <family val="2"/>
          </rPr>
          <t>0 = disables 2SLS
1 = enable 2SLS</t>
        </r>
      </text>
    </comment>
    <comment ref="J2" authorId="0" shapeId="0" xr:uid="{00000000-0006-0000-0200-000005000000}">
      <text>
        <r>
          <rPr>
            <sz val="9"/>
            <color indexed="81"/>
            <rFont val="Tahoma"/>
            <family val="2"/>
          </rPr>
          <t xml:space="preserve">"0=disable
1=enable"
</t>
        </r>
      </text>
    </comment>
    <comment ref="K2" authorId="0" shapeId="0" xr:uid="{00000000-0006-0000-0200-000006000000}">
      <text>
        <r>
          <rPr>
            <sz val="9"/>
            <color indexed="81"/>
            <rFont val="Tahoma"/>
            <family val="2"/>
          </rPr>
          <t xml:space="preserve">
0=disable
   -=Not overlapping segments=-
1=Seperate Postprocessing
2=Seperate Modeling
   -=Overlapping segments=-
3=Seperate Postprocessing
4=Seperate Modeling
</t>
        </r>
      </text>
    </comment>
    <comment ref="S2" authorId="0" shapeId="0" xr:uid="{00000000-0006-0000-0200-000007000000}">
      <text>
        <r>
          <rPr>
            <b/>
            <sz val="9"/>
            <color indexed="81"/>
            <rFont val="Tahoma"/>
            <family val="2"/>
          </rPr>
          <t>Frank:</t>
        </r>
        <r>
          <rPr>
            <sz val="9"/>
            <color indexed="81"/>
            <rFont val="Tahoma"/>
            <family val="2"/>
          </rPr>
          <t xml:space="preserve">
0= disable,
1=enable Time Series data. &gt;&gt; than "TS" sheet must be filled
-1=just makes sure that validation data is taken from last cases insteed of randomly (needed for time serial data but TS module is not used since preprocessing was performed manually.)
</t>
        </r>
      </text>
    </comment>
    <comment ref="L3" authorId="0" shapeId="0" xr:uid="{00000000-0006-0000-0200-000008000000}">
      <text>
        <r>
          <rPr>
            <b/>
            <sz val="9"/>
            <color indexed="81"/>
            <rFont val="Tahoma"/>
            <family val="2"/>
          </rPr>
          <t>Frank:</t>
        </r>
        <r>
          <rPr>
            <sz val="9"/>
            <color indexed="81"/>
            <rFont val="Tahoma"/>
            <family val="2"/>
          </rPr>
          <t xml:space="preserve">
Use always 
0 for false and 
1 for true</t>
        </r>
      </text>
    </comment>
    <comment ref="J4" authorId="2" shapeId="0" xr:uid="{00000000-0006-0000-0200-000009000000}">
      <text>
        <r>
          <rPr>
            <b/>
            <sz val="8"/>
            <color indexed="81"/>
            <rFont val="Tahoma"/>
            <family val="2"/>
          </rPr>
          <t>gbuckfr:</t>
        </r>
        <r>
          <rPr>
            <sz val="8"/>
            <color indexed="81"/>
            <rFont val="Tahoma"/>
            <family val="2"/>
          </rPr>
          <t xml:space="preserve">
Value of variable 1</t>
        </r>
      </text>
    </comment>
  </commentList>
</comments>
</file>

<file path=xl/sharedStrings.xml><?xml version="1.0" encoding="utf-8"?>
<sst xmlns="http://schemas.openxmlformats.org/spreadsheetml/2006/main" count="2815" uniqueCount="346">
  <si>
    <t>EC1</t>
  </si>
  <si>
    <t>1=Invert Scale, 0=disable</t>
  </si>
  <si>
    <t>Missings</t>
  </si>
  <si>
    <t>1=Linear Reflexiv
2=Linear Formative
3=Nonlinear Reflexiv
4=Nonlinear Formative</t>
  </si>
  <si>
    <t>Respondent ID</t>
  </si>
  <si>
    <t>Price Level</t>
  </si>
  <si>
    <t>Product No.</t>
  </si>
  <si>
    <t>Kaufe ich</t>
  </si>
  <si>
    <t>Fair</t>
  </si>
  <si>
    <t>Angemessen</t>
  </si>
  <si>
    <t>Will ich nicht</t>
  </si>
  <si>
    <t>Riskant</t>
  </si>
  <si>
    <t>Price1</t>
  </si>
  <si>
    <t>Price7</t>
  </si>
  <si>
    <t>I'll buy Binary</t>
  </si>
  <si>
    <t>Product1</t>
  </si>
  <si>
    <t>Gender</t>
  </si>
  <si>
    <t>Age</t>
  </si>
  <si>
    <t>Income</t>
  </si>
  <si>
    <t>Ich habe dieses Produkt schon einmal gekauft.</t>
  </si>
  <si>
    <t>Ich kaufe regelmäßig Produkte dieser Marke.</t>
  </si>
  <si>
    <t>Das Produkt ist von einer Marke mit sehr gutem Ruf.</t>
  </si>
  <si>
    <t>Ich (wir) haben einen vergleichsweise hohen Bedarf an dieser Art von Produkten.</t>
  </si>
  <si>
    <t>Settings</t>
  </si>
  <si>
    <t>Sample Manipulation</t>
  </si>
  <si>
    <t>Validation</t>
  </si>
  <si>
    <t>Control Output Figures</t>
  </si>
  <si>
    <r>
      <rPr>
        <b/>
        <sz val="10"/>
        <color indexed="23"/>
        <rFont val="Arial"/>
        <family val="2"/>
      </rPr>
      <t>Number of hidden units</t>
    </r>
    <r>
      <rPr>
        <sz val="10"/>
        <color indexed="23"/>
        <rFont val="Arial"/>
        <family val="2"/>
      </rPr>
      <t xml:space="preserve">
"0" activates Automatic Mode</t>
    </r>
  </si>
  <si>
    <r>
      <t xml:space="preserve">Share of validation data in %, </t>
    </r>
    <r>
      <rPr>
        <sz val="10"/>
        <rFont val="Arial"/>
        <family val="2"/>
      </rPr>
      <t xml:space="preserve">
holds out the first x% of rows in data matrix.</t>
    </r>
  </si>
  <si>
    <r>
      <rPr>
        <b/>
        <sz val="10"/>
        <rFont val="Arial"/>
        <family val="2"/>
      </rPr>
      <t xml:space="preserve">Bootstrapping:
</t>
    </r>
    <r>
      <rPr>
        <sz val="10"/>
        <rFont val="Arial"/>
        <family val="2"/>
      </rPr>
      <t>Bootstrapping samples. '0' disables bootstrapping.</t>
    </r>
  </si>
  <si>
    <r>
      <rPr>
        <b/>
        <sz val="10"/>
        <color indexed="23"/>
        <rFont val="Arial"/>
        <family val="2"/>
      </rPr>
      <t xml:space="preserve">Normalization or Logarithmic transformation:
</t>
    </r>
    <r>
      <rPr>
        <sz val="10"/>
        <color indexed="23"/>
        <rFont val="Arial"/>
        <family val="2"/>
      </rPr>
      <t>'1' Normalizes every variable from 0 to 100 - in order to make plots easier to digest. '0'  disable feature
'2' Transforms the normalized data with the Natural Logarithm, then scaling from 0 to 4.6052. This is automatically applied only to all variables with a strongly asymmetric..</t>
    </r>
  </si>
  <si>
    <r>
      <rPr>
        <b/>
        <sz val="10"/>
        <color rgb="FFFF0000"/>
        <rFont val="Arial"/>
        <family val="2"/>
      </rPr>
      <t xml:space="preserve">Size of CoN:
</t>
    </r>
    <r>
      <rPr>
        <sz val="10"/>
        <color rgb="FFFF0000"/>
        <rFont val="Arial"/>
        <family val="2"/>
      </rPr>
      <t>Number of Neural Networks in the Commetee-Of-Network</t>
    </r>
  </si>
  <si>
    <r>
      <rPr>
        <b/>
        <sz val="10"/>
        <color theme="0" tint="-0.499984740745262"/>
        <rFont val="Arial"/>
        <family val="2"/>
      </rPr>
      <t>Overweighting rare cases:</t>
    </r>
    <r>
      <rPr>
        <sz val="10"/>
        <color theme="0" tint="-0.499984740745262"/>
        <rFont val="Arial"/>
        <family val="2"/>
      </rPr>
      <t xml:space="preserve">
1' enables sample correction. For Success Lever Studies: Cases similar to others are under weighted, cases unlike others are overweighted according to the metric distance. </t>
    </r>
  </si>
  <si>
    <r>
      <rPr>
        <b/>
        <sz val="10"/>
        <color theme="0" tint="-0.499984740745262"/>
        <rFont val="Arial"/>
        <family val="2"/>
      </rPr>
      <t>Bootstrapping Interactions or HOO- or JK-Validations:</t>
    </r>
    <r>
      <rPr>
        <sz val="10"/>
        <color theme="0" tint="-0.499984740745262"/>
        <rFont val="Arial"/>
        <family val="2"/>
      </rPr>
      <t xml:space="preserve">
0' disables Bootstrapping of Interaction Measure (IE)
'-1' activates Hold-One-Out-Validation
'-X' activates Jack-Knife-Validation with X hold-out samples</t>
    </r>
  </si>
  <si>
    <r>
      <rPr>
        <b/>
        <sz val="10"/>
        <rFont val="Arial"/>
        <family val="2"/>
      </rPr>
      <t xml:space="preserve">Threshhold for plotting Interaction:
</t>
    </r>
    <r>
      <rPr>
        <sz val="10"/>
        <rFont val="Arial"/>
        <family val="2"/>
      </rPr>
      <t>'Minimum IE to generate an interaction plot (3D)</t>
    </r>
  </si>
  <si>
    <r>
      <rPr>
        <b/>
        <sz val="10"/>
        <rFont val="Arial"/>
        <family val="2"/>
      </rPr>
      <t>Iterations:</t>
    </r>
    <r>
      <rPr>
        <sz val="10"/>
        <rFont val="Arial"/>
        <family val="2"/>
      </rPr>
      <t xml:space="preserve">
Number of cycles that repeat updating measurement model and structural model.</t>
    </r>
  </si>
  <si>
    <r>
      <rPr>
        <b/>
        <sz val="10"/>
        <color theme="0" tint="-0.499984740745262"/>
        <rFont val="Arial"/>
        <family val="2"/>
      </rPr>
      <t>Large data set option</t>
    </r>
    <r>
      <rPr>
        <sz val="10"/>
        <color theme="0" tint="-0.499984740745262"/>
        <rFont val="Arial"/>
        <family val="2"/>
      </rPr>
      <t>:
0=default, insert % figure, when only a fraction of sample should be used - for every CON a different sample. This is meant to limit computation time and foster generalization at the same time. (used with large transaction data sets)</t>
    </r>
  </si>
  <si>
    <t>Bootstrapping Parallelisation:
1=automatic core #, 0=disable, otherwise determine # of cores to be used</t>
  </si>
  <si>
    <r>
      <rPr>
        <b/>
        <sz val="10"/>
        <rFont val="Arial"/>
        <family val="2"/>
      </rPr>
      <t>Threshhold for plotting path function:</t>
    </r>
    <r>
      <rPr>
        <sz val="10"/>
        <rFont val="Arial"/>
        <family val="2"/>
      </rPr>
      <t xml:space="preserve">
'Minimum OEAD to generate an additive plot (2D)</t>
    </r>
  </si>
  <si>
    <r>
      <rPr>
        <b/>
        <sz val="10"/>
        <color indexed="23"/>
        <rFont val="Arial"/>
        <family val="2"/>
      </rPr>
      <t>Number of UMT Components:</t>
    </r>
    <r>
      <rPr>
        <sz val="10"/>
        <color indexed="23"/>
        <rFont val="Arial"/>
        <family val="2"/>
      </rPr>
      <t xml:space="preserve">
Enter 0 for automatic mode, or choose a typical number such as 2 or 3.</t>
    </r>
  </si>
  <si>
    <r>
      <rPr>
        <b/>
        <sz val="10"/>
        <color theme="1" tint="0.499984740745262"/>
        <rFont val="Arial"/>
        <family val="2"/>
      </rPr>
      <t>Save Missing-Imputation Time</t>
    </r>
    <r>
      <rPr>
        <sz val="10"/>
        <color theme="1" tint="0.499984740745262"/>
        <rFont val="Arial"/>
        <family val="2"/>
      </rPr>
      <t>:
0=default, insert 1 when the matrix xx , which was saved in the same directory should be used to save Missing Imputation computation time. Be sure to save xx in the first run (save xx xx). This save time with large transaction data sets.</t>
    </r>
  </si>
  <si>
    <r>
      <rPr>
        <b/>
        <sz val="10"/>
        <color indexed="23"/>
        <rFont val="Arial"/>
        <family val="2"/>
      </rPr>
      <t xml:space="preserve">Plot reference value:
</t>
    </r>
    <r>
      <rPr>
        <sz val="10"/>
        <color indexed="23"/>
        <rFont val="Arial"/>
        <family val="2"/>
      </rPr>
      <t>'1 uses the mean as the reference in an additive plot, while 0 uses the minimum of a variable as the reference.</t>
    </r>
  </si>
  <si>
    <r>
      <rPr>
        <b/>
        <sz val="10"/>
        <color indexed="23"/>
        <rFont val="Arial"/>
        <family val="2"/>
      </rPr>
      <t>Bivariate Causal Direction Detection</t>
    </r>
    <r>
      <rPr>
        <sz val="10"/>
        <color indexed="23"/>
        <rFont val="Arial"/>
        <family val="2"/>
      </rPr>
      <t>:
0 disables, 1 enables CDD - it may require considerably more time and is meant as a prior computational step.</t>
    </r>
  </si>
  <si>
    <r>
      <rPr>
        <b/>
        <sz val="10"/>
        <color theme="0" tint="-0.499984740745262"/>
        <rFont val="Arial"/>
        <family val="2"/>
      </rPr>
      <t>Confounder Elimination</t>
    </r>
    <r>
      <rPr>
        <sz val="10"/>
        <color theme="0" tint="-0.499984740745262"/>
        <rFont val="Arial"/>
        <family val="2"/>
      </rPr>
      <t>:0=Disabled, Value= Number of clusters (2 results in 1score, 3 in 3, 4 in 6 and 5 in 10 scores, min is 2 and max is 5) - Value should be optimized using validation dataset</t>
    </r>
  </si>
  <si>
    <r>
      <rPr>
        <b/>
        <sz val="10"/>
        <color indexed="23"/>
        <rFont val="Arial"/>
        <family val="2"/>
      </rPr>
      <t xml:space="preserve">Save Individual Path Coefficients 
</t>
    </r>
    <r>
      <rPr>
        <sz val="10"/>
        <color indexed="23"/>
        <rFont val="Arial"/>
        <family val="2"/>
      </rPr>
      <t>'1 enables calculation of Individual Path Coefficients (IPC) per Case using a Hierarchical Bayes Procedure. Disable with 0 to save memory.</t>
    </r>
  </si>
  <si>
    <r>
      <t xml:space="preserve">Regression Method:
</t>
    </r>
    <r>
      <rPr>
        <sz val="10"/>
        <color indexed="23"/>
        <rFont val="Arial"/>
        <family val="2"/>
      </rPr>
      <t>0=BNN (default), 1=UMTR, 2=BLS, 3=LR, 6=LFE</t>
    </r>
  </si>
  <si>
    <r>
      <rPr>
        <b/>
        <sz val="10"/>
        <color theme="1" tint="0.499984740745262"/>
        <rFont val="Arial"/>
        <family val="2"/>
      </rPr>
      <t xml:space="preserve">Hardpruning: </t>
    </r>
    <r>
      <rPr>
        <sz val="10"/>
        <color theme="1" tint="0.499984740745262"/>
        <rFont val="Arial"/>
        <family val="2"/>
      </rPr>
      <t>0=disable | value is the OEAD threshhold for eliminating a path. Feature improves generalization and simplifies the model</t>
    </r>
  </si>
  <si>
    <r>
      <rPr>
        <b/>
        <sz val="10"/>
        <rFont val="Arial"/>
        <family val="2"/>
      </rPr>
      <t xml:space="preserve">Calculate Total Effects:
</t>
    </r>
    <r>
      <rPr>
        <sz val="10"/>
        <rFont val="Arial"/>
        <family val="2"/>
      </rPr>
      <t xml:space="preserve">'1 enables calculation of </t>
    </r>
    <r>
      <rPr>
        <b/>
        <sz val="10"/>
        <rFont val="Arial"/>
        <family val="2"/>
      </rPr>
      <t>Total Effects</t>
    </r>
    <r>
      <rPr>
        <sz val="10"/>
        <rFont val="Arial"/>
        <family val="2"/>
      </rPr>
      <t>. 
Disable with 0 to save calculation time.
&gt;1 enables advanced Total Effects (iTASE) that consider interactions between causes. The value defines the number of cases used.</t>
    </r>
  </si>
  <si>
    <r>
      <t>Loop Parallelisation:</t>
    </r>
    <r>
      <rPr>
        <sz val="10"/>
        <color indexed="23"/>
        <rFont val="Arial"/>
        <family val="2"/>
      </rPr>
      <t xml:space="preserve">
1=automatic core #, 0=disable, otherwise determine # of cores to be used</t>
    </r>
  </si>
  <si>
    <r>
      <rPr>
        <b/>
        <sz val="10"/>
        <color indexed="23"/>
        <rFont val="Arial"/>
        <family val="2"/>
      </rPr>
      <t>Clean Plot:</t>
    </r>
    <r>
      <rPr>
        <sz val="10"/>
        <color indexed="23"/>
        <rFont val="Arial"/>
        <family val="2"/>
      </rPr>
      <t xml:space="preserve">
0 default, 1 enables the clean plot. This eliminates the red dots and includes a historgram.</t>
    </r>
  </si>
  <si>
    <r>
      <t xml:space="preserve">Cycle-Mode, </t>
    </r>
    <r>
      <rPr>
        <sz val="10"/>
        <color indexed="23"/>
        <rFont val="Arial"/>
        <family val="2"/>
      </rPr>
      <t>enter number of cycles e.g. 5, 0=automatic(10), -1 = tests at which cycle number nn detects that input is output</t>
    </r>
  </si>
  <si>
    <r>
      <rPr>
        <b/>
        <sz val="10"/>
        <color theme="0" tint="-0.499984740745262"/>
        <rFont val="Arial"/>
        <family val="2"/>
      </rPr>
      <t xml:space="preserve">Table with just significant ASE's: 
</t>
    </r>
    <r>
      <rPr>
        <sz val="10"/>
        <color theme="0" tint="-0.499984740745262"/>
        <rFont val="Arial"/>
        <family val="2"/>
      </rPr>
      <t>Value is the significance level above which ASE values are eliminated from the table for better readability. (Only effective when bootstrapping is enabled.</t>
    </r>
  </si>
  <si>
    <r>
      <rPr>
        <b/>
        <sz val="10"/>
        <color theme="0" tint="-0.499984740745262"/>
        <rFont val="Arial"/>
        <family val="2"/>
      </rPr>
      <t>ASE:</t>
    </r>
    <r>
      <rPr>
        <sz val="10"/>
        <color theme="0" tint="-0.499984740745262"/>
        <rFont val="Arial"/>
        <family val="2"/>
      </rPr>
      <t xml:space="preserve"> 0=none, 1=standardized, 2 unstandardized, 3=both</t>
    </r>
  </si>
  <si>
    <r>
      <rPr>
        <b/>
        <sz val="10"/>
        <color theme="0" tint="-0.499984740745262"/>
        <rFont val="Arial"/>
        <family val="2"/>
      </rPr>
      <t>AME/RME</t>
    </r>
    <r>
      <rPr>
        <sz val="10"/>
        <color theme="0" tint="-0.499984740745262"/>
        <rFont val="Arial"/>
        <family val="2"/>
      </rPr>
      <t>: 0=none, 1=standardized, 2 unstandardized, 3=both</t>
    </r>
  </si>
  <si>
    <r>
      <rPr>
        <b/>
        <sz val="10"/>
        <color theme="0" tint="-0.499984740745262"/>
        <rFont val="Arial"/>
        <family val="2"/>
      </rPr>
      <t>DF</t>
    </r>
    <r>
      <rPr>
        <sz val="10"/>
        <color theme="0" tint="-0.499984740745262"/>
        <rFont val="Arial"/>
        <family val="2"/>
      </rPr>
      <t>: 0=none, 1=yes</t>
    </r>
  </si>
  <si>
    <r>
      <rPr>
        <b/>
        <sz val="10"/>
        <color theme="0" tint="-0.499984740745262"/>
        <rFont val="Arial"/>
        <family val="2"/>
      </rPr>
      <t>OEAD:</t>
    </r>
    <r>
      <rPr>
        <sz val="10"/>
        <color theme="0" tint="-0.499984740745262"/>
        <rFont val="Arial"/>
        <family val="2"/>
      </rPr>
      <t xml:space="preserve"> 0=none, 1=yes</t>
    </r>
  </si>
  <si>
    <r>
      <rPr>
        <b/>
        <sz val="10"/>
        <color theme="0" tint="-0.499984740745262"/>
        <rFont val="Arial"/>
        <family val="2"/>
      </rPr>
      <t>Fast significance:</t>
    </r>
    <r>
      <rPr>
        <sz val="10"/>
        <color theme="0" tint="-0.499984740745262"/>
        <rFont val="Arial"/>
        <family val="2"/>
      </rPr>
      <t xml:space="preserve"> 0=none, 1=yes</t>
    </r>
  </si>
  <si>
    <r>
      <rPr>
        <b/>
        <sz val="10"/>
        <color indexed="23"/>
        <rFont val="Arial"/>
        <family val="2"/>
      </rPr>
      <t>SIM:</t>
    </r>
    <r>
      <rPr>
        <sz val="10"/>
        <color indexed="23"/>
        <rFont val="Arial"/>
        <family val="2"/>
      </rPr>
      <t xml:space="preserve"> Generate</t>
    </r>
    <r>
      <rPr>
        <b/>
        <sz val="10"/>
        <color indexed="23"/>
        <rFont val="Arial"/>
        <family val="2"/>
      </rPr>
      <t xml:space="preserve"> </t>
    </r>
    <r>
      <rPr>
        <sz val="10"/>
        <color indexed="23"/>
        <rFont val="Arial"/>
        <family val="2"/>
      </rPr>
      <t>SIM sheet for later simulation 0/1</t>
    </r>
  </si>
  <si>
    <r>
      <rPr>
        <b/>
        <sz val="10"/>
        <color indexed="23"/>
        <rFont val="Arial"/>
        <family val="2"/>
      </rPr>
      <t xml:space="preserve">Plot fitting type: </t>
    </r>
    <r>
      <rPr>
        <sz val="10"/>
        <color indexed="23"/>
        <rFont val="Arial"/>
        <family val="2"/>
      </rPr>
      <t>0 = polynome fitting, 
1=fitting of predefined forms</t>
    </r>
  </si>
  <si>
    <r>
      <rPr>
        <b/>
        <sz val="10"/>
        <color indexed="23"/>
        <rFont val="Arial"/>
        <family val="2"/>
      </rPr>
      <t xml:space="preserve">Reduce Time to write in Excel: </t>
    </r>
    <r>
      <rPr>
        <sz val="10"/>
        <color indexed="23"/>
        <rFont val="Arial"/>
        <family val="2"/>
      </rPr>
      <t>0 = disables; 1=suppress 5_NL, 2=Also suppress LV, 3=Also suppress ASI and IE</t>
    </r>
  </si>
  <si>
    <r>
      <rPr>
        <b/>
        <sz val="10"/>
        <color theme="1" tint="0.499984740745262"/>
        <rFont val="Arial"/>
        <family val="2"/>
      </rPr>
      <t>Modelbased</t>
    </r>
    <r>
      <rPr>
        <sz val="10"/>
        <color theme="1" tint="0.499984740745262"/>
        <rFont val="Arial"/>
        <family val="2"/>
      </rPr>
      <t xml:space="preserve"> </t>
    </r>
    <r>
      <rPr>
        <b/>
        <sz val="10"/>
        <color indexed="23"/>
        <rFont val="Arial"/>
        <family val="2"/>
      </rPr>
      <t xml:space="preserve">Causal direction testing : </t>
    </r>
    <r>
      <rPr>
        <sz val="10"/>
        <color indexed="23"/>
        <rFont val="Arial"/>
        <family val="2"/>
      </rPr>
      <t>0 = disables; 1=enable</t>
    </r>
  </si>
  <si>
    <r>
      <rPr>
        <b/>
        <sz val="10"/>
        <color indexed="23"/>
        <rFont val="Arial"/>
        <family val="2"/>
      </rPr>
      <t xml:space="preserve">Hausman-Test of Confounder: </t>
    </r>
    <r>
      <rPr>
        <sz val="10"/>
        <color indexed="23"/>
        <rFont val="Arial"/>
        <family val="2"/>
      </rPr>
      <t>0 = disables; 1=enable</t>
    </r>
  </si>
  <si>
    <t>SIM</t>
  </si>
  <si>
    <t>2SLS</t>
  </si>
  <si>
    <t>Selective Plots</t>
  </si>
  <si>
    <t>Relative Categoricals</t>
  </si>
  <si>
    <t>BINARY ASE</t>
  </si>
  <si>
    <t>Weightvector</t>
  </si>
  <si>
    <t>SEG</t>
  </si>
  <si>
    <t>Outlier</t>
  </si>
  <si>
    <t>Time series</t>
  </si>
  <si>
    <t>Factor Exploration</t>
  </si>
  <si>
    <t>Time Series Prediction</t>
  </si>
  <si>
    <t xml:space="preserve">  0 ==&gt; Mean Imputation
&gt;0 ==&gt; K of K-Nearest Nabour Imputation
&lt;0 ==&gt; Uniform Density Imputation, (Number correspond to the case multiplication factor, e.g. with 10, every case will copied 10 times</t>
  </si>
  <si>
    <t>Value to be simulated or to be fixed to get Conditioned-ASE | put -9999 when all levels of the var. Should be simulated |  keep clear otherwise</t>
  </si>
  <si>
    <t>Costs for 1 scale unit
associated with the driver (negative values)
Benefits for 1 scale unit
if it is a success measure (positive value)</t>
  </si>
  <si>
    <r>
      <rPr>
        <b/>
        <sz val="11"/>
        <rFont val="Arial"/>
        <family val="2"/>
      </rPr>
      <t>0</t>
    </r>
    <r>
      <rPr>
        <sz val="11"/>
        <rFont val="Arial"/>
        <family val="2"/>
      </rPr>
      <t xml:space="preserve">=truely independent and exogenious variables,
</t>
    </r>
    <r>
      <rPr>
        <b/>
        <sz val="11"/>
        <rFont val="Arial"/>
        <family val="2"/>
      </rPr>
      <t>1</t>
    </r>
    <r>
      <rPr>
        <sz val="11"/>
        <rFont val="Arial"/>
        <family val="2"/>
      </rPr>
      <t xml:space="preserve">=endogenious, mediating variables,
</t>
    </r>
    <r>
      <rPr>
        <b/>
        <sz val="11"/>
        <rFont val="Arial"/>
        <family val="2"/>
      </rPr>
      <t>2</t>
    </r>
    <r>
      <rPr>
        <sz val="11"/>
        <rFont val="Arial"/>
        <family val="2"/>
      </rPr>
      <t>=endogenious target variables</t>
    </r>
  </si>
  <si>
    <t>Threshhold for plotting path function:
'Minimum OEAD to generate an additive plot (2D)</t>
  </si>
  <si>
    <r>
      <rPr>
        <b/>
        <sz val="11"/>
        <rFont val="Arial"/>
        <family val="2"/>
      </rPr>
      <t>0</t>
    </r>
    <r>
      <rPr>
        <sz val="11"/>
        <rFont val="Arial"/>
        <family val="2"/>
      </rPr>
      <t xml:space="preserve">=dont do anything,
</t>
    </r>
    <r>
      <rPr>
        <b/>
        <sz val="11"/>
        <rFont val="Arial"/>
        <family val="2"/>
      </rPr>
      <t>1</t>
    </r>
    <r>
      <rPr>
        <sz val="11"/>
        <rFont val="Arial"/>
        <family val="2"/>
      </rPr>
      <t xml:space="preserve">=belongs to first set of categrical binary variables,
</t>
    </r>
    <r>
      <rPr>
        <b/>
        <sz val="11"/>
        <rFont val="Arial"/>
        <family val="2"/>
      </rPr>
      <t>2</t>
    </r>
    <r>
      <rPr>
        <sz val="11"/>
        <rFont val="Arial"/>
        <family val="2"/>
      </rPr>
      <t xml:space="preserve">=second set  …
</t>
    </r>
    <r>
      <rPr>
        <b/>
        <sz val="11"/>
        <rFont val="Arial"/>
        <family val="2"/>
      </rPr>
      <t>X</t>
    </r>
    <r>
      <rPr>
        <sz val="11"/>
        <rFont val="Arial"/>
        <family val="2"/>
      </rPr>
      <t>= x-st set</t>
    </r>
  </si>
  <si>
    <t>1 activates. Should be used when "do" state of the variable is just binary.</t>
  </si>
  <si>
    <t>Case</t>
  </si>
  <si>
    <t>List unique identifier of a segment for every case. Start with 1</t>
  </si>
  <si>
    <t>for over-lapping segment mode</t>
  </si>
  <si>
    <t>Name of segment</t>
  </si>
  <si>
    <t>Identifier of segment</t>
  </si>
  <si>
    <t>List cases to be eliminated</t>
  </si>
  <si>
    <t>Min # factors in S4,
Max # factors in S5,
Min hyperparameter in S6,
Max hyperparameter in S7,
# of steps in S8</t>
  </si>
  <si>
    <t>Learn a model wiht T4 cases to predict upcoming T5 cases.Then it goes back T5 cases and repeats it. The average prediction power on future T5 horizon gives us the validity of a model that is updated every T5 days. Collumn 1 in Data must be the sorted time variable.</t>
  </si>
  <si>
    <t>Asperin</t>
  </si>
  <si>
    <t>Grippostad</t>
  </si>
  <si>
    <t>…</t>
  </si>
  <si>
    <t>3DUMQSDkFyjVGm6tRpwEu3</t>
  </si>
  <si>
    <t>6oPvxED86t6yrFmTtOtxgs</t>
  </si>
  <si>
    <t>7wFcbo5d5cJSlymUNW10jP</t>
  </si>
  <si>
    <t>7vHbk1KmukASiBEB3qUrh4</t>
  </si>
  <si>
    <t>5ZeZwhB1gIDF6BTGfD75CA</t>
  </si>
  <si>
    <t>4KQlvQvHbN3K4At4ktBLHt</t>
  </si>
  <si>
    <t>3GXnTOPxi4YW8Tb2rSLQCU</t>
  </si>
  <si>
    <t>352kQ5LtGb2AJI7El4vsiu</t>
  </si>
  <si>
    <t>5huJ0ZF08seKeFweuPUwXx</t>
  </si>
  <si>
    <t>0eoCAWgfV6xyzqRm48CMk9</t>
  </si>
  <si>
    <t>4mOrmqNqSVbPyraOQAv0UD</t>
  </si>
  <si>
    <t>1Fmjd2M7dH7AgaLpMWu25A</t>
  </si>
  <si>
    <t>2ZxVyJ540l7G37j7kb6SKt</t>
  </si>
  <si>
    <t>2G9zTdm9BLr5uAseZ8e5dp</t>
  </si>
  <si>
    <t>6gfUBC8HIIbdbEA0YSvMuL</t>
  </si>
  <si>
    <t>4Y3m5p0894iD6eumJZpj4H</t>
  </si>
  <si>
    <t>5yY19GW69SDOuppmsburSM</t>
  </si>
  <si>
    <t>2QdRlqUg2Dv2ULvu98iNYx</t>
  </si>
  <si>
    <t>7n9DtDOwuJpQYjgHqaE87V</t>
  </si>
  <si>
    <t>0xuCouHsvD37Dh4hLyarKr</t>
  </si>
  <si>
    <t>5EO41h55ZOwiadIFrdU1OR</t>
  </si>
  <si>
    <t>5eJzrJJtczt4toaOPq0oVS</t>
  </si>
  <si>
    <t>0tNrmnOBkVEFP4WLAtsVr1</t>
  </si>
  <si>
    <t>15jnc4GkvAR381ZYwbH1YK</t>
  </si>
  <si>
    <t>1kWc33M7rAgnIzhv4d7lsc</t>
  </si>
  <si>
    <t>58d998RxSv29LLc6WtVTOh</t>
  </si>
  <si>
    <t>3xtaNQitSLYILQndMTHYO1</t>
  </si>
  <si>
    <t>0oPy4oe8qeW1NdWP9YZYF6</t>
  </si>
  <si>
    <t>41FLbIgGLejJJjLFgBFDGq</t>
  </si>
  <si>
    <t>0OeL0fSjH4dyWKMmklm6MB</t>
  </si>
  <si>
    <t>4HIF6ZANACEk9QABaEo7ST</t>
  </si>
  <si>
    <t>4tJ5bLGBSo2t3KvUGsr032</t>
  </si>
  <si>
    <t>3vWFFUI5oXZfsUVK2of4nD</t>
  </si>
  <si>
    <t>3Yx5wSX6ruUaj2ccQYsHMw</t>
  </si>
  <si>
    <t>2tBW3TcWd3Dn4qYKzAHR61</t>
  </si>
  <si>
    <t>7eKz2QCrzMRGALPeinD4vL</t>
  </si>
  <si>
    <t>3JAdFQCl7VqJI93Axd42iJ</t>
  </si>
  <si>
    <t>7DuZwgoIaZsZtHgCzKr2Uh</t>
  </si>
  <si>
    <t>7j5sRsQBT6IaWdjgUMGWZr</t>
  </si>
  <si>
    <t>0Stv4iTTkCDNOcw2NJ54qG</t>
  </si>
  <si>
    <t>74OeHig9YmCy40iRo0FnAp</t>
  </si>
  <si>
    <t>5Zldy0SJw2mhXILXHGvXgC</t>
  </si>
  <si>
    <t>019HRKT27y1PcwSRqyeUV8</t>
  </si>
  <si>
    <t>14PEH5KrVvq7sd3AOAj3XF</t>
  </si>
  <si>
    <t>29GZyzbNtVo8vMPT3Tlvqf</t>
  </si>
  <si>
    <t>2qPPJ2NtAMbVbmKDvE7LK5</t>
  </si>
  <si>
    <t>0HGuwdtCdHxiYGqjaIAMQr</t>
  </si>
  <si>
    <t>0bo6ShhGzqsLEWi7fRrK8P</t>
  </si>
  <si>
    <t>4jv62nj0YoKtgifA5YAtS8</t>
  </si>
  <si>
    <t>1jXCCMmedGQvjKI0TZ2o2G</t>
  </si>
  <si>
    <t>5woDzXEejg9jUIdWIyPgXH</t>
  </si>
  <si>
    <t>1LR2FtlHo2SsROXxmSxS2y</t>
  </si>
  <si>
    <t>5GRsXzUCakKpbf4EOH414l</t>
  </si>
  <si>
    <t>43qYn3J0D5m9JwDfinPqZO</t>
  </si>
  <si>
    <t>5vNsr7dvMWMkUwH8TDsmTm</t>
  </si>
  <si>
    <t>2cHyowpLkl85XErV0C5LRn</t>
  </si>
  <si>
    <t>7inSohXmzAhtgvYiytMYVQ</t>
  </si>
  <si>
    <t>3dKt9lwLsPQP7pjKKc7k2D</t>
  </si>
  <si>
    <t>7LqeuIrX0O1yqTehvvGvQw</t>
  </si>
  <si>
    <t>30telvDEujyWlLqhsKgfWh</t>
  </si>
  <si>
    <t>6UtJRzUGYXB8ntIk1Lh2gb</t>
  </si>
  <si>
    <t>5ZPiQy4W27H1AI3eFASgdJ</t>
  </si>
  <si>
    <t>4rpndcVTkdh5tfylyM4f4b</t>
  </si>
  <si>
    <t>5QLbN7ZBBWJOSeeGREC603</t>
  </si>
  <si>
    <t>3FK2AOPOxMZvjFj8B7yjs0</t>
  </si>
  <si>
    <t>0Nv5HtYbIdn1dbBi0BmKQe</t>
  </si>
  <si>
    <t>4lvba8K7IURBaUgIRWp8z1</t>
  </si>
  <si>
    <t>0FGgm82upaZJHgQuL22fH5</t>
  </si>
  <si>
    <t>2LeI124HnyCgSRZ9euICuv</t>
  </si>
  <si>
    <t>5vaYBPxGFlWKEdos0My7bl</t>
  </si>
  <si>
    <t>3KVE8pJ9R6aCqclffHbMbc</t>
  </si>
  <si>
    <t>7x5TzfXcpEUrPiuilnr5xJ</t>
  </si>
  <si>
    <t>5NHSWAVQlo52u5pmNPF48a</t>
  </si>
  <si>
    <t>4AhDKWxkgzq47QDkMMg8C0</t>
  </si>
  <si>
    <t>5ezLWwnCFUL02SB9D1bkpk</t>
  </si>
  <si>
    <t>5QTLUzdAKioyIRrirNvflV</t>
  </si>
  <si>
    <t>6iH411lYlgFyon6hoi3xRu</t>
  </si>
  <si>
    <t>1jSMscMiAyKAISviQNZr0K</t>
  </si>
  <si>
    <t>0CQZRkMPNk6J52dVRPeEeW</t>
  </si>
  <si>
    <t>2q66t70msHS2yjldZPzNxx</t>
  </si>
  <si>
    <t>7zL6gfgzAj0Q8BbBoJjUqf</t>
  </si>
  <si>
    <t>0Fmnti98EDJv6Z2oQ5pivF</t>
  </si>
  <si>
    <t>5AkGrX14Pl1Iph6a2LM8jl</t>
  </si>
  <si>
    <t>3I7XV1tWPmn4dVWOMKck9v</t>
  </si>
  <si>
    <t>4HCRTftzcBOIwczhna9Xro</t>
  </si>
  <si>
    <t>2QW5JQ7j9oOa9gw1fBrWCK</t>
  </si>
  <si>
    <t>0HUSRd7tCCLvCmXmTiXLzl</t>
  </si>
  <si>
    <t>117cIIe0o3Quca1Kv8HjtT</t>
  </si>
  <si>
    <t>1ruIgKN8H9vBkJ685orVVM</t>
  </si>
  <si>
    <t>3qzBuVetX8aG7fHUMmOxQU</t>
  </si>
  <si>
    <t>6iR4MPfYQk9w1c50raKSNS</t>
  </si>
  <si>
    <t>6maEZlNr66Sf7kufIVJQ1h</t>
  </si>
  <si>
    <t>1seGaHC8wlKIUTzKy43sow</t>
  </si>
  <si>
    <t>6X349ZNo8PbE1TqNcVJ6UJ</t>
  </si>
  <si>
    <t>5xOI1rMB4p1aSpOBRZoF2U</t>
  </si>
  <si>
    <t>0r0eHl3Mxj9dQ6RelqLOoi</t>
  </si>
  <si>
    <t>3I0LN9j1fdSIevK1R0Vcun</t>
  </si>
  <si>
    <t>5kz7RjvHMtG0vtks4gQ7os</t>
  </si>
  <si>
    <t>0xuZhaR19fOH00kMKWICZv</t>
  </si>
  <si>
    <t>76Toc1vAMSBvwLyPYqRTCN</t>
  </si>
  <si>
    <t>4AnPxRl0ddQ7JHzrOB9DCB</t>
  </si>
  <si>
    <t>6tdpAF9N4zo9IXRioOOCU9</t>
  </si>
  <si>
    <t>6ssiC2IPzJ1BC9HUg4jOyZ</t>
  </si>
  <si>
    <t>18PBANp9ngCKwY9RaIRJs4</t>
  </si>
  <si>
    <t>3tVATwaM48gG9EJZNtWddM</t>
  </si>
  <si>
    <t>5VMuZ7AZNEvqJNmeTBO0KC</t>
  </si>
  <si>
    <t>2n0utAKCd0Negrz1zsqpLa</t>
  </si>
  <si>
    <t>4gy9TQv6F42EgugzlSiw8R</t>
  </si>
  <si>
    <t>1Pr8yVSN9f8gYdRYF8z7F5</t>
  </si>
  <si>
    <t>4wwICE6OZJmnuFh86EuBMn</t>
  </si>
  <si>
    <t>3YjQWDjsvLqNisspQKBuIV</t>
  </si>
  <si>
    <t>1oFTVTRSKSEeA8OD3SJ7us</t>
  </si>
  <si>
    <t>21LBD6DwfzEKhF4BhUTLFv</t>
  </si>
  <si>
    <t>3OPtEeW0Rf9D1YRQ0bXPiF</t>
  </si>
  <si>
    <t>0FRTYzYquzZ8eXN3M4ebGS</t>
  </si>
  <si>
    <t>5WH0IfnP9CMMAyWclQ10fU</t>
  </si>
  <si>
    <t>4RNZHu0O936yw9LW9Wjkb6</t>
  </si>
  <si>
    <t>6SWcCm9j6VJ80cYU0ySJXF</t>
  </si>
  <si>
    <t>6rzPyoHNlOjMnyAJOFNbIy</t>
  </si>
  <si>
    <t>2imyqEwNi74kX8JgOuJw6i</t>
  </si>
  <si>
    <t>0HzVbbVkAVWw61VXpTXYkC</t>
  </si>
  <si>
    <t>5whPaSmg5kmS7W4Wcw5I1s</t>
  </si>
  <si>
    <t>560t4oUf5p3LTodQHN1LTY</t>
  </si>
  <si>
    <t>0gBhjxEqhhRQs3YaC44vtt</t>
  </si>
  <si>
    <t>4RRUkhnjpFk9w6yqYjZuup</t>
  </si>
  <si>
    <t>0Bs3mWYvuMsEbO5PXyDor7</t>
  </si>
  <si>
    <t>3jVjmZMMaiMKJSG8uL7TNZ</t>
  </si>
  <si>
    <t>1qXE4mIzSWPpWijEqB8Sj3</t>
  </si>
  <si>
    <t>5yDHq54O1OgPlwvQj4qxRY</t>
  </si>
  <si>
    <t>0872l1YRuRDDokj3YuIcYd</t>
  </si>
  <si>
    <t>2K30XfakpLasxwxu0tUOlm</t>
  </si>
  <si>
    <t>0PIocyb1J9fq3Ht1PM4av2</t>
  </si>
  <si>
    <t>1PshV1bMiuGvFOlJAcIXvI</t>
  </si>
  <si>
    <t>0aLln9khb5fb9ROYDPtTRM</t>
  </si>
  <si>
    <t>2cTMehVhVEj64sqUpjXET8</t>
  </si>
  <si>
    <t>6NEZQE1aY6VrUp8AT63ISa</t>
  </si>
  <si>
    <t>6hXqC9qO7MVFynUj3UQypy</t>
  </si>
  <si>
    <t>68XNGPEdevBdj5pazyZAdL</t>
  </si>
  <si>
    <t>5PiT02mSy1i3dkcGdeZDZR</t>
  </si>
  <si>
    <t>5MSLUVfEkpBEqFEsTIinUC</t>
  </si>
  <si>
    <t>2gUmjz3LUfFiHYc76crNtg</t>
  </si>
  <si>
    <t>6amzQ0pLfCgx4pclfniGXC</t>
  </si>
  <si>
    <t>6QqgMdkANc3Z4gKtV1yWsK</t>
  </si>
  <si>
    <t>3K6JFWt5QxsUl5w6AUJ74l</t>
  </si>
  <si>
    <t>4ec4tIjqtYjcdLzL2mKloa</t>
  </si>
  <si>
    <t>5G2k2GoaJSj3iuqOKS7nAI</t>
  </si>
  <si>
    <t>5FLn9nZKk2Q2gtz1M1vkh3</t>
  </si>
  <si>
    <t>5YT0AT0mxFVCbQpU9stJJ5</t>
  </si>
  <si>
    <t>7MmelE07wfHfmLFRNqhUTw</t>
  </si>
  <si>
    <t>2LAVinND9ipzL0BbfdZh70</t>
  </si>
  <si>
    <t>19erdBUgUDr15sAu10JrU1</t>
  </si>
  <si>
    <t>4QES1M5Jx85nBHTF7xHzs9</t>
  </si>
  <si>
    <t>3Ij0RKLHxx4dQFbCWMOT34</t>
  </si>
  <si>
    <t>4qSvU5RCb69AzqxqVJjMXs</t>
  </si>
  <si>
    <t>5HZQMUJtmWP4fqOOUbKwOd</t>
  </si>
  <si>
    <t>0aTHnLuBuMVFVcln6YxXBK</t>
  </si>
  <si>
    <t>0Ln9PfellmwfEBFlEYb5eR</t>
  </si>
  <si>
    <t>0bJwSplrurbj2SAso2Rgn4</t>
  </si>
  <si>
    <t>4a0yVg5FE4bQ6y5FWvLN19</t>
  </si>
  <si>
    <t>2x5ntD9W5MaYJCdJfD3qgr</t>
  </si>
  <si>
    <t>40zEQ5vX4ZLuHRiRbCGkpW</t>
  </si>
  <si>
    <t>6XPDiwaPlUM2b5BRtq32zo</t>
  </si>
  <si>
    <t>6TR7zm5yMJNg4wlVsuvWYI</t>
  </si>
  <si>
    <t>4h2ojRKtOiWYz36ccLTkv9</t>
  </si>
  <si>
    <t>2vHF89xA0Xgt8A7TgwcfIs</t>
  </si>
  <si>
    <t>2aMRW87qrR0KJADA33Eq1H</t>
  </si>
  <si>
    <t>03x8sD8c6Kjb4lwLxHiQir</t>
  </si>
  <si>
    <t>4B5meTqm2nfr0RRXvI3Tq1</t>
  </si>
  <si>
    <t>7B8yNVSOZpBQN1f7CjNECb</t>
  </si>
  <si>
    <t>6jlDWHHwxHAgJvnOpIYE1C</t>
  </si>
  <si>
    <t>5VMzJw3IaE1lAN6NxHSVzx</t>
  </si>
  <si>
    <t>2lazvYxwo5ffcuyKCXngWl</t>
  </si>
  <si>
    <t>2vSngrSPFhHxbXfF5FrPGJ</t>
  </si>
  <si>
    <t>7LMoBkoRBgdPfQXy3HG3yQ</t>
  </si>
  <si>
    <t>4Z2FamtT0MkNVJv8skhRPw</t>
  </si>
  <si>
    <t>1K2nUcMFTpRj24cr2S7m0Q</t>
  </si>
  <si>
    <t>4hS3cOpsJ6d5BtDQnWgM4g</t>
  </si>
  <si>
    <t>1WQRfMjKZgnmHnax31kJu3</t>
  </si>
  <si>
    <t>6SuuaZiOnpKLwWay5vkJe9</t>
  </si>
  <si>
    <t>2rDTaqsI1GahBoJBureyyz</t>
  </si>
  <si>
    <t>3Dl5xmQgUQk0ejQWsYnjgA</t>
  </si>
  <si>
    <t>7LXC0UeY1u25a625pegpxb</t>
  </si>
  <si>
    <t>2zvozNQNWHSd9KW1z8eEF5</t>
  </si>
  <si>
    <t>3EgWvknZfZDjD5kJwlec7y</t>
  </si>
  <si>
    <t>4DXswRKoIFgRINkgHvxDRQ</t>
  </si>
  <si>
    <t>20LEEXFk7O1cd9dcUa1tgi</t>
  </si>
  <si>
    <t>40HPAY5pYcJXkP8Cjc6rLy</t>
  </si>
  <si>
    <t>1yOq38wdRkIkJI2PFS3Lyr</t>
  </si>
  <si>
    <t>09sgNnRUCCkcjdwEqwMBJ3</t>
  </si>
  <si>
    <t>79TwbkWfKQjpKRY6cIWdgN</t>
  </si>
  <si>
    <t>286PpSqJQW9HCtY3znHflo</t>
  </si>
  <si>
    <t>130wrjwGmf6bxl1ZFZAD4Q</t>
  </si>
  <si>
    <t>3LdN3fdzikicZ0fPmLZILR</t>
  </si>
  <si>
    <t>70IWh5K3DDhjiriHEE1C5B</t>
  </si>
  <si>
    <t>40iK0ngqkkIQcyWFwadLcI</t>
  </si>
  <si>
    <t>0aLN2e69MUsTB6hPybw6wm</t>
  </si>
  <si>
    <t>BAD?</t>
  </si>
  <si>
    <t>4Hbm2ve0vt9om3DZcY1u4F</t>
  </si>
  <si>
    <t>3hQEYns8vWCqWR4alVnpoR</t>
  </si>
  <si>
    <t>07ve8ib9GFFG6PxmFvbJgD</t>
  </si>
  <si>
    <t>FILL OUT</t>
  </si>
  <si>
    <t>NOTE for coding:</t>
  </si>
  <si>
    <t>0 = do not use</t>
  </si>
  <si>
    <t>1=Price Level</t>
  </si>
  <si>
    <t>2=ProductID</t>
  </si>
  <si>
    <t>3=I'll Buy</t>
  </si>
  <si>
    <t>4=Gender</t>
  </si>
  <si>
    <t>Optional</t>
  </si>
  <si>
    <t>5=Context variables</t>
  </si>
  <si>
    <t>6=segment variable</t>
  </si>
  <si>
    <t>7=Demand weight variable: A variable that indicates that a customer has more demand than others</t>
  </si>
  <si>
    <t>8=IAT Attibutes</t>
  </si>
  <si>
    <t>9=Barriers</t>
  </si>
  <si>
    <t>for Product Optimizer</t>
  </si>
  <si>
    <t>10=Features</t>
  </si>
  <si>
    <t>11= Feature Importance</t>
  </si>
  <si>
    <t>12=Brand Architypes</t>
  </si>
  <si>
    <t>13=Touchpoints</t>
  </si>
  <si>
    <t>You get the pricing IAT on task level and the other survey data on respondent level from RUBIKLAB or DATAHUB</t>
  </si>
  <si>
    <t>Setup a VLOOKUP to merge them on task-level</t>
  </si>
  <si>
    <t>Then build the NEUSREL input sheet from this dataset.</t>
  </si>
  <si>
    <t>Go through cases and flag respondents if unreasonable = when reaction to positive items is the same as to negatve (risky + DontWant)</t>
  </si>
  <si>
    <t>Report flagged ID's to Panel provide (we get the money back from PureSpectrum)</t>
  </si>
  <si>
    <t>Remove flagged Ids from the dataset (copy only the clean data to the Data tab)</t>
  </si>
  <si>
    <t>Setup NEUSREL for Pricing: Drivers are the IAT attributes, gender, age, price level, and the context likert questions - DO NOT include Features assessments</t>
  </si>
  <si>
    <t>Run NEUSREL &amp; supra.m</t>
  </si>
  <si>
    <t>Download Excel from Supra.tools - copy and paste results into this sheet</t>
  </si>
  <si>
    <t>Write summary bullet points</t>
  </si>
  <si>
    <t>Upload back to the Supra.tools</t>
  </si>
  <si>
    <t>Date</t>
  </si>
  <si>
    <t>Calculation time in minutes | hours   |  days:</t>
  </si>
  <si>
    <t>Number of Cases:</t>
  </si>
  <si>
    <t>GOF -Goodness Of Fit</t>
  </si>
  <si>
    <t>Iterations:</t>
  </si>
  <si>
    <t>GOF:</t>
  </si>
  <si>
    <t>R2</t>
  </si>
  <si>
    <t>NEUSREL</t>
  </si>
  <si>
    <t>Linear</t>
  </si>
  <si>
    <t xml:space="preserve">  &gt;&gt; No validation data defined</t>
  </si>
  <si>
    <t>IMPROVEMENT measurement</t>
  </si>
  <si>
    <t>Lift thru NN in %</t>
  </si>
  <si>
    <t>Lift thru Indirect Effects in %</t>
  </si>
  <si>
    <t>Lift thru NEUSREL in %</t>
  </si>
  <si>
    <t>Factor Scores</t>
  </si>
  <si>
    <t>Factor Weights</t>
  </si>
  <si>
    <t>Chrombachs Alpha</t>
  </si>
  <si>
    <t>AEV Average Explained Variance</t>
  </si>
  <si>
    <t>Composite Reliability</t>
  </si>
  <si>
    <t>&gt;</t>
  </si>
  <si>
    <t>ASE - Average Simulated Effect</t>
  </si>
  <si>
    <t>Effect strength: OEAD- Overall Explained Absolut Deviation</t>
  </si>
  <si>
    <t>-------========= UNSTANDARDIZED RESULTS ===========-----------</t>
  </si>
  <si>
    <t>ASE - Average Simulated Effect UNSTD</t>
  </si>
  <si>
    <t>Product</t>
  </si>
  <si>
    <t>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</si>
</sst>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 _€_-;\-* #,##0\ _€_-;_-* &quot;-&quot;??\ _€_-;_-@_-"/>
    <numFmt numFmtId="166" formatCode="#,##0_ ;\-#,##0\ "/>
  </numFmts>
  <fonts count="53">
    <font>
      <sz val="10"/>
      <name val="Arial"/>
    </font>
    <font>
      <sz val="10"/>
      <name val="Arial"/>
      <family val="2"/>
    </font>
    <font>
      <sz val="14"/>
      <name val="Arial"/>
      <family val="2"/>
    </font>
    <font>
      <b/>
      <sz val="14"/>
      <name val="Arial"/>
      <family val="2"/>
    </font>
    <font>
      <sz val="10"/>
      <color indexed="22"/>
      <name val="Arial"/>
      <family val="2"/>
    </font>
    <font>
      <sz val="8"/>
      <name val="Arial"/>
      <family val="2"/>
    </font>
    <font>
      <sz val="6"/>
      <name val="Arial"/>
      <family val="2"/>
    </font>
    <font>
      <b/>
      <sz val="10"/>
      <name val="Arial"/>
      <family val="2"/>
    </font>
    <font>
      <sz val="10"/>
      <name val="NewsGothic"/>
    </font>
    <font>
      <sz val="11"/>
      <color indexed="8"/>
      <name val="Calibri"/>
      <family val="2"/>
      <charset val="238"/>
    </font>
    <font>
      <sz val="11"/>
      <color indexed="9"/>
      <name val="Calibri"/>
      <family val="2"/>
      <charset val="238"/>
    </font>
    <font>
      <b/>
      <sz val="11"/>
      <color indexed="52"/>
      <name val="Calibri"/>
      <family val="2"/>
      <charset val="238"/>
    </font>
    <font>
      <i/>
      <sz val="11"/>
      <color indexed="23"/>
      <name val="Calibri"/>
      <family val="2"/>
      <charset val="238"/>
    </font>
    <font>
      <sz val="11"/>
      <color indexed="62"/>
      <name val="Calibri"/>
      <family val="2"/>
      <charset val="238"/>
    </font>
    <font>
      <sz val="11"/>
      <color indexed="60"/>
      <name val="Calibri"/>
      <family val="2"/>
      <charset val="238"/>
    </font>
    <font>
      <b/>
      <sz val="11"/>
      <color indexed="63"/>
      <name val="Calibri"/>
      <family val="2"/>
      <charset val="238"/>
    </font>
    <font>
      <b/>
      <sz val="11"/>
      <color indexed="8"/>
      <name val="Calibri"/>
      <family val="2"/>
      <charset val="238"/>
    </font>
    <font>
      <sz val="11"/>
      <color indexed="10"/>
      <name val="Calibri"/>
      <family val="2"/>
      <charset val="238"/>
    </font>
    <font>
      <sz val="9"/>
      <color indexed="81"/>
      <name val="Tahoma"/>
      <family val="2"/>
    </font>
    <font>
      <sz val="10"/>
      <color indexed="9"/>
      <name val="Tahoma"/>
      <family val="2"/>
    </font>
    <font>
      <sz val="10"/>
      <color indexed="17"/>
      <name val="Tahoma"/>
      <family val="2"/>
    </font>
    <font>
      <sz val="10"/>
      <color indexed="20"/>
      <name val="Tahoma"/>
      <family val="2"/>
    </font>
    <font>
      <b/>
      <sz val="18"/>
      <color indexed="62"/>
      <name val="Cambria"/>
      <family val="2"/>
    </font>
    <font>
      <b/>
      <sz val="15"/>
      <color indexed="62"/>
      <name val="Tahoma"/>
      <family val="2"/>
    </font>
    <font>
      <b/>
      <sz val="13"/>
      <color indexed="62"/>
      <name val="Tahoma"/>
      <family val="2"/>
    </font>
    <font>
      <b/>
      <sz val="11"/>
      <color indexed="62"/>
      <name val="Tahoma"/>
      <family val="2"/>
    </font>
    <font>
      <sz val="10"/>
      <color indexed="52"/>
      <name val="Tahoma"/>
      <family val="2"/>
    </font>
    <font>
      <b/>
      <sz val="10"/>
      <color indexed="9"/>
      <name val="Tahoma"/>
      <family val="2"/>
    </font>
    <font>
      <b/>
      <sz val="9"/>
      <color indexed="81"/>
      <name val="Tahoma"/>
      <family val="2"/>
    </font>
    <font>
      <b/>
      <sz val="8"/>
      <color indexed="81"/>
      <name val="Tahoma"/>
      <family val="2"/>
    </font>
    <font>
      <sz val="8"/>
      <color indexed="81"/>
      <name val="Tahoma"/>
      <family val="2"/>
    </font>
    <font>
      <sz val="10"/>
      <color indexed="23"/>
      <name val="Arial"/>
      <family val="2"/>
    </font>
    <font>
      <b/>
      <sz val="10"/>
      <color indexed="23"/>
      <name val="Arial"/>
      <family val="2"/>
    </font>
    <font>
      <sz val="9"/>
      <color indexed="81"/>
      <name val="Segoe UI"/>
      <family val="2"/>
    </font>
    <font>
      <b/>
      <sz val="9"/>
      <color indexed="81"/>
      <name val="Segoe UI"/>
      <family val="2"/>
    </font>
    <font>
      <sz val="10"/>
      <color theme="0"/>
      <name val="Arial"/>
      <family val="2"/>
    </font>
    <font>
      <sz val="10"/>
      <color theme="1" tint="0.499984740745262"/>
      <name val="Arial"/>
      <family val="2"/>
    </font>
    <font>
      <b/>
      <sz val="10"/>
      <color theme="0" tint="-0.499984740745262"/>
      <name val="Arial"/>
      <family val="2"/>
    </font>
    <font>
      <sz val="10"/>
      <color theme="0" tint="-0.499984740745262"/>
      <name val="Arial"/>
      <family val="2"/>
    </font>
    <font>
      <b/>
      <sz val="14"/>
      <color theme="0" tint="-0.499984740745262"/>
      <name val="Arial"/>
      <family val="2"/>
    </font>
    <font>
      <b/>
      <sz val="10"/>
      <color theme="1" tint="0.499984740745262"/>
      <name val="Arial"/>
      <family val="2"/>
    </font>
    <font>
      <b/>
      <sz val="11"/>
      <color indexed="9"/>
      <name val="Arial"/>
      <family val="2"/>
    </font>
    <font>
      <b/>
      <sz val="11"/>
      <name val="Arial"/>
      <family val="2"/>
    </font>
    <font>
      <sz val="11"/>
      <color indexed="23"/>
      <name val="Arial"/>
      <family val="2"/>
    </font>
    <font>
      <b/>
      <sz val="11"/>
      <color indexed="23"/>
      <name val="Arial"/>
      <family val="2"/>
    </font>
    <font>
      <sz val="11"/>
      <color indexed="9"/>
      <name val="Arial"/>
      <family val="2"/>
    </font>
    <font>
      <sz val="11"/>
      <name val="Arial"/>
      <family val="2"/>
    </font>
    <font>
      <sz val="10"/>
      <color theme="0" tint="-0.34998626667073579"/>
      <name val="Arial"/>
      <family val="2"/>
    </font>
    <font>
      <b/>
      <sz val="14"/>
      <color rgb="FFFF0000"/>
      <name val="Arial"/>
      <family val="2"/>
    </font>
    <font>
      <b/>
      <sz val="11"/>
      <color theme="1"/>
      <name val="Calibri"/>
      <family val="2"/>
      <scheme val="minor"/>
    </font>
    <font>
      <sz val="10"/>
      <color rgb="FFFF0000"/>
      <name val="Arial"/>
      <family val="2"/>
    </font>
    <font>
      <b/>
      <sz val="10"/>
      <color rgb="FFFF0000"/>
      <name val="Arial"/>
      <family val="2"/>
    </font>
    <font>
      <b/>
      <sz val="11"/>
      <color rgb="FFFF0000"/>
      <name val="Calibri"/>
      <family val="2"/>
      <scheme val="minor"/>
    </font>
  </fonts>
  <fills count="41">
    <fill>
      <patternFill patternType="none"/>
    </fill>
    <fill>
      <patternFill patternType="gray125"/>
    </fill>
    <fill>
      <patternFill patternType="solid">
        <fgColor indexed="22"/>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55"/>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9"/>
        <bgColor indexed="64"/>
      </patternFill>
    </fill>
    <fill>
      <patternFill patternType="solid">
        <fgColor indexed="11"/>
        <bgColor indexed="64"/>
      </patternFill>
    </fill>
    <fill>
      <patternFill patternType="solid">
        <fgColor indexed="46"/>
        <bgColor indexed="64"/>
      </patternFill>
    </fill>
    <fill>
      <patternFill patternType="solid">
        <fgColor indexed="15"/>
        <bgColor indexed="64"/>
      </patternFill>
    </fill>
    <fill>
      <patternFill patternType="solid">
        <fgColor indexed="22"/>
        <bgColor indexed="64"/>
      </patternFill>
    </fill>
    <fill>
      <patternFill patternType="solid">
        <fgColor indexed="45"/>
        <bgColor indexed="64"/>
      </patternFill>
    </fill>
    <fill>
      <patternFill patternType="solid">
        <fgColor indexed="23"/>
        <bgColor indexed="64"/>
      </patternFill>
    </fill>
    <fill>
      <patternFill patternType="solid">
        <fgColor indexed="10"/>
        <bgColor indexed="64"/>
      </patternFill>
    </fill>
    <fill>
      <patternFill patternType="solid">
        <fgColor indexed="50"/>
        <bgColor indexed="64"/>
      </patternFill>
    </fill>
    <fill>
      <patternFill patternType="solid">
        <fgColor indexed="44"/>
        <bgColor indexed="64"/>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rgb="FFFFFF00"/>
        <bgColor indexed="64"/>
      </patternFill>
    </fill>
    <fill>
      <patternFill patternType="solid">
        <fgColor theme="0"/>
        <bgColor indexed="64"/>
      </patternFill>
    </fill>
    <fill>
      <patternFill patternType="solid">
        <fgColor rgb="FFFFCC99"/>
        <bgColor indexed="64"/>
      </patternFill>
    </fill>
    <fill>
      <patternFill patternType="solid">
        <fgColor rgb="FF92D050"/>
        <bgColor indexed="64"/>
      </patternFill>
    </fill>
  </fills>
  <borders count="34">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double">
        <color indexed="52"/>
      </bottom>
      <diagonal/>
    </border>
    <border>
      <left style="thin">
        <color indexed="55"/>
      </left>
      <right style="thin">
        <color indexed="55"/>
      </right>
      <top style="thin">
        <color indexed="55"/>
      </top>
      <bottom style="thin">
        <color indexed="55"/>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thin">
        <color auto="1"/>
      </bottom>
      <diagonal/>
    </border>
  </borders>
  <cellStyleXfs count="50">
    <xf numFmtId="0" fontId="0" fillId="0" borderId="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3" borderId="0" applyNumberFormat="0" applyBorder="0" applyAlignment="0" applyProtection="0"/>
    <xf numFmtId="0" fontId="9" fillId="12"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9"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10" fillId="17"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8" borderId="0" applyNumberFormat="0" applyBorder="0" applyAlignment="0" applyProtection="0"/>
    <xf numFmtId="0" fontId="10" fillId="15" borderId="0" applyNumberFormat="0" applyBorder="0" applyAlignment="0" applyProtection="0"/>
    <xf numFmtId="0" fontId="10" fillId="19"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3" borderId="0" applyNumberFormat="0" applyBorder="0" applyAlignment="0" applyProtection="0"/>
    <xf numFmtId="0" fontId="19" fillId="15" borderId="0" applyNumberFormat="0" applyBorder="0" applyAlignment="0" applyProtection="0"/>
    <xf numFmtId="0" fontId="19" fillId="22" borderId="0" applyNumberFormat="0" applyBorder="0" applyAlignment="0" applyProtection="0"/>
    <xf numFmtId="0" fontId="11" fillId="2" borderId="2" applyNumberFormat="0" applyAlignment="0" applyProtection="0"/>
    <xf numFmtId="0" fontId="12" fillId="0" borderId="0" applyNumberFormat="0" applyFill="0" applyBorder="0" applyAlignment="0" applyProtection="0"/>
    <xf numFmtId="0" fontId="20" fillId="8" borderId="0" applyNumberFormat="0" applyBorder="0" applyAlignment="0" applyProtection="0"/>
    <xf numFmtId="0" fontId="13" fillId="3" borderId="2" applyNumberFormat="0" applyAlignment="0" applyProtection="0"/>
    <xf numFmtId="164" fontId="1" fillId="0" borderId="0" applyFont="0" applyFill="0" applyBorder="0" applyAlignment="0" applyProtection="0"/>
    <xf numFmtId="0" fontId="14" fillId="11" borderId="0" applyNumberFormat="0" applyBorder="0" applyAlignment="0" applyProtection="0"/>
    <xf numFmtId="0" fontId="1" fillId="0" borderId="0"/>
    <xf numFmtId="0" fontId="1" fillId="0" borderId="0"/>
    <xf numFmtId="0" fontId="1" fillId="0" borderId="0"/>
    <xf numFmtId="0" fontId="8" fillId="4" borderId="6" applyNumberFormat="0" applyFont="0" applyAlignment="0" applyProtection="0"/>
    <xf numFmtId="0" fontId="1" fillId="0" borderId="0"/>
    <xf numFmtId="0" fontId="15" fillId="2" borderId="1" applyNumberFormat="0" applyAlignment="0" applyProtection="0"/>
    <xf numFmtId="9" fontId="1" fillId="0" borderId="0" applyFont="0" applyFill="0" applyBorder="0" applyAlignment="0" applyProtection="0"/>
    <xf numFmtId="0" fontId="21" fillId="7" borderId="0" applyNumberFormat="0" applyBorder="0" applyAlignment="0" applyProtection="0"/>
    <xf numFmtId="0" fontId="8" fillId="0" borderId="0"/>
    <xf numFmtId="0" fontId="1" fillId="0" borderId="0"/>
    <xf numFmtId="0" fontId="16" fillId="0" borderId="7" applyNumberFormat="0" applyFill="0" applyAlignment="0" applyProtection="0"/>
    <xf numFmtId="0" fontId="22" fillId="0" borderId="0" applyNumberFormat="0" applyFill="0" applyBorder="0" applyAlignment="0" applyProtection="0"/>
    <xf numFmtId="0" fontId="23" fillId="0" borderId="8" applyNumberFormat="0" applyFill="0" applyAlignment="0" applyProtection="0"/>
    <xf numFmtId="0" fontId="24" fillId="0" borderId="4"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26" fillId="0" borderId="5" applyNumberFormat="0" applyFill="0" applyAlignment="0" applyProtection="0"/>
    <xf numFmtId="0" fontId="17" fillId="0" borderId="0" applyNumberFormat="0" applyFill="0" applyBorder="0" applyAlignment="0" applyProtection="0"/>
    <xf numFmtId="0" fontId="27" fillId="16" borderId="3" applyNumberFormat="0" applyAlignment="0" applyProtection="0"/>
  </cellStyleXfs>
  <cellXfs count="135">
    <xf numFmtId="0" fontId="0" fillId="0" borderId="0" xfId="0"/>
    <xf numFmtId="0" fontId="0" fillId="25" borderId="0" xfId="0" applyFill="1" applyAlignment="1">
      <alignment horizontal="center"/>
    </xf>
    <xf numFmtId="0" fontId="0" fillId="26" borderId="0" xfId="0" applyFill="1" applyAlignment="1">
      <alignment horizontal="center"/>
    </xf>
    <xf numFmtId="0" fontId="0" fillId="27" borderId="0" xfId="0" applyFill="1" applyAlignment="1">
      <alignment horizontal="center"/>
    </xf>
    <xf numFmtId="0" fontId="0" fillId="28" borderId="0" xfId="0" applyFill="1" applyAlignment="1">
      <alignment horizontal="center"/>
    </xf>
    <xf numFmtId="0" fontId="0" fillId="29" borderId="0" xfId="0" applyFill="1" applyAlignment="1">
      <alignment horizontal="center"/>
    </xf>
    <xf numFmtId="0" fontId="0" fillId="0" borderId="0" xfId="0" applyAlignment="1">
      <alignment horizontal="center"/>
    </xf>
    <xf numFmtId="0" fontId="3" fillId="33" borderId="0" xfId="0" applyFont="1" applyFill="1" applyAlignment="1">
      <alignment horizontal="center" vertical="top" wrapText="1"/>
    </xf>
    <xf numFmtId="0" fontId="3" fillId="34" borderId="0" xfId="0" applyFont="1" applyFill="1" applyAlignment="1">
      <alignment horizontal="center" vertical="top" wrapText="1"/>
    </xf>
    <xf numFmtId="0" fontId="3" fillId="35" borderId="0" xfId="0" applyFont="1" applyFill="1" applyAlignment="1">
      <alignment horizontal="center" vertical="top" wrapText="1"/>
    </xf>
    <xf numFmtId="0" fontId="3" fillId="36" borderId="0" xfId="0" quotePrefix="1" applyFont="1" applyFill="1" applyAlignment="1">
      <alignment horizontal="center" vertical="top" wrapText="1"/>
    </xf>
    <xf numFmtId="0" fontId="3" fillId="0" borderId="0" xfId="0" applyFont="1" applyAlignment="1">
      <alignment horizontal="center" vertical="top"/>
    </xf>
    <xf numFmtId="0" fontId="7" fillId="33" borderId="0" xfId="0" applyFont="1" applyFill="1" applyAlignment="1">
      <alignment horizontal="center" vertical="top" wrapText="1"/>
    </xf>
    <xf numFmtId="166" fontId="7" fillId="34" borderId="0" xfId="29" applyNumberFormat="1" applyFont="1" applyFill="1" applyBorder="1" applyAlignment="1">
      <alignment horizontal="center" vertical="top" wrapText="1"/>
    </xf>
    <xf numFmtId="0" fontId="7" fillId="34" borderId="0" xfId="0" applyFont="1" applyFill="1" applyAlignment="1">
      <alignment vertical="top" wrapText="1"/>
    </xf>
    <xf numFmtId="0" fontId="7" fillId="35" borderId="0" xfId="0" applyFont="1" applyFill="1" applyAlignment="1">
      <alignment horizontal="center" vertical="top" wrapText="1"/>
    </xf>
    <xf numFmtId="0" fontId="7" fillId="36" borderId="0" xfId="0" quotePrefix="1" applyFont="1" applyFill="1" applyAlignment="1">
      <alignment horizontal="center" vertical="top" wrapText="1"/>
    </xf>
    <xf numFmtId="0" fontId="2" fillId="0" borderId="0" xfId="0" applyFont="1" applyAlignment="1">
      <alignment vertical="top"/>
    </xf>
    <xf numFmtId="0" fontId="2" fillId="33" borderId="0" xfId="0" applyFont="1" applyFill="1" applyAlignment="1">
      <alignment vertical="top"/>
    </xf>
    <xf numFmtId="0" fontId="2" fillId="34" borderId="0" xfId="0" applyFont="1" applyFill="1" applyAlignment="1">
      <alignment vertical="top"/>
    </xf>
    <xf numFmtId="0" fontId="2" fillId="35" borderId="0" xfId="0" applyFont="1" applyFill="1" applyAlignment="1">
      <alignment vertical="top"/>
    </xf>
    <xf numFmtId="0" fontId="2" fillId="36" borderId="0" xfId="0" applyFont="1" applyFill="1" applyAlignment="1">
      <alignment vertical="top"/>
    </xf>
    <xf numFmtId="0" fontId="5" fillId="34" borderId="0" xfId="0" applyFont="1" applyFill="1" applyAlignment="1">
      <alignment vertical="top" wrapText="1"/>
    </xf>
    <xf numFmtId="0" fontId="5" fillId="35" borderId="0" xfId="0" applyFont="1" applyFill="1" applyAlignment="1">
      <alignment vertical="top" wrapText="1"/>
    </xf>
    <xf numFmtId="0" fontId="5" fillId="36" borderId="0" xfId="0" quotePrefix="1" applyFont="1" applyFill="1" applyAlignment="1">
      <alignment vertical="top" wrapText="1"/>
    </xf>
    <xf numFmtId="0" fontId="5" fillId="33" borderId="0" xfId="0" applyFont="1" applyFill="1" applyAlignment="1">
      <alignment vertical="top" wrapText="1"/>
    </xf>
    <xf numFmtId="0" fontId="7" fillId="39" borderId="0" xfId="0" applyFont="1" applyFill="1" applyAlignment="1">
      <alignment horizontal="center" vertical="top" wrapText="1"/>
    </xf>
    <xf numFmtId="0" fontId="3" fillId="39" borderId="0" xfId="0" applyFont="1" applyFill="1" applyAlignment="1">
      <alignment horizontal="center" vertical="top" wrapText="1"/>
    </xf>
    <xf numFmtId="0" fontId="36" fillId="36" borderId="0" xfId="0" quotePrefix="1" applyFont="1" applyFill="1" applyAlignment="1">
      <alignment vertical="top" wrapText="1"/>
    </xf>
    <xf numFmtId="0" fontId="37" fillId="33" borderId="0" xfId="0" applyFont="1" applyFill="1" applyAlignment="1">
      <alignment horizontal="center" vertical="top" wrapText="1"/>
    </xf>
    <xf numFmtId="0" fontId="38" fillId="33" borderId="0" xfId="0" applyFont="1" applyFill="1" applyAlignment="1">
      <alignment vertical="top" wrapText="1"/>
    </xf>
    <xf numFmtId="0" fontId="37" fillId="33" borderId="0" xfId="0" applyFont="1" applyFill="1" applyAlignment="1">
      <alignment vertical="top" wrapText="1"/>
    </xf>
    <xf numFmtId="0" fontId="38" fillId="34" borderId="0" xfId="0" applyFont="1" applyFill="1" applyAlignment="1">
      <alignment vertical="top" wrapText="1"/>
    </xf>
    <xf numFmtId="0" fontId="38" fillId="36" borderId="0" xfId="0" quotePrefix="1" applyFont="1" applyFill="1" applyAlignment="1">
      <alignment vertical="top" wrapText="1"/>
    </xf>
    <xf numFmtId="166" fontId="37" fillId="34" borderId="0" xfId="29" applyNumberFormat="1" applyFont="1" applyFill="1" applyBorder="1" applyAlignment="1">
      <alignment horizontal="center" vertical="top" wrapText="1"/>
    </xf>
    <xf numFmtId="0" fontId="38" fillId="39" borderId="0" xfId="0" applyFont="1" applyFill="1" applyAlignment="1">
      <alignment vertical="top" wrapText="1"/>
    </xf>
    <xf numFmtId="166" fontId="40" fillId="34" borderId="0" xfId="29" applyNumberFormat="1" applyFont="1" applyFill="1" applyBorder="1" applyAlignment="1">
      <alignment horizontal="center" vertical="top" wrapText="1"/>
    </xf>
    <xf numFmtId="0" fontId="36" fillId="34" borderId="0" xfId="0" applyFont="1" applyFill="1" applyAlignment="1">
      <alignment vertical="top" wrapText="1"/>
    </xf>
    <xf numFmtId="0" fontId="31" fillId="33" borderId="0" xfId="0" applyFont="1" applyFill="1" applyAlignment="1">
      <alignment vertical="top" wrapText="1"/>
    </xf>
    <xf numFmtId="0" fontId="41" fillId="24" borderId="0" xfId="0" applyFont="1" applyFill="1" applyAlignment="1">
      <alignment horizontal="center" wrapText="1"/>
    </xf>
    <xf numFmtId="0" fontId="41" fillId="30" borderId="19" xfId="0" applyFont="1" applyFill="1" applyBorder="1" applyAlignment="1">
      <alignment horizontal="center"/>
    </xf>
    <xf numFmtId="0" fontId="42" fillId="28" borderId="26" xfId="0" applyFont="1" applyFill="1" applyBorder="1" applyAlignment="1">
      <alignment horizontal="center"/>
    </xf>
    <xf numFmtId="0" fontId="42" fillId="28" borderId="27" xfId="0" applyFont="1" applyFill="1" applyBorder="1" applyAlignment="1">
      <alignment horizontal="center"/>
    </xf>
    <xf numFmtId="0" fontId="42" fillId="28" borderId="26" xfId="0" applyFont="1" applyFill="1" applyBorder="1" applyAlignment="1">
      <alignment horizontal="left"/>
    </xf>
    <xf numFmtId="0" fontId="43" fillId="24" borderId="0" xfId="39" applyFont="1" applyFill="1" applyAlignment="1">
      <alignment horizontal="center" wrapText="1"/>
    </xf>
    <xf numFmtId="0" fontId="42" fillId="28" borderId="15" xfId="0" applyFont="1" applyFill="1" applyBorder="1" applyAlignment="1">
      <alignment horizontal="center"/>
    </xf>
    <xf numFmtId="0" fontId="41" fillId="30" borderId="15" xfId="0" applyFont="1" applyFill="1" applyBorder="1" applyAlignment="1">
      <alignment horizontal="center"/>
    </xf>
    <xf numFmtId="0" fontId="41" fillId="30" borderId="16" xfId="0" applyFont="1" applyFill="1" applyBorder="1" applyAlignment="1">
      <alignment horizontal="center"/>
    </xf>
    <xf numFmtId="0" fontId="41" fillId="30" borderId="17" xfId="0" applyFont="1" applyFill="1" applyBorder="1" applyAlignment="1">
      <alignment horizontal="center"/>
    </xf>
    <xf numFmtId="0" fontId="42" fillId="24" borderId="0" xfId="0" applyFont="1" applyFill="1" applyAlignment="1">
      <alignment horizontal="center"/>
    </xf>
    <xf numFmtId="0" fontId="42" fillId="28" borderId="28" xfId="0" applyFont="1" applyFill="1" applyBorder="1" applyAlignment="1">
      <alignment horizontal="center"/>
    </xf>
    <xf numFmtId="0" fontId="42" fillId="0" borderId="0" xfId="0" applyFont="1" applyAlignment="1">
      <alignment horizontal="center"/>
    </xf>
    <xf numFmtId="0" fontId="41" fillId="24" borderId="0" xfId="0" applyFont="1" applyFill="1" applyAlignment="1">
      <alignment horizontal="left" wrapText="1"/>
    </xf>
    <xf numFmtId="0" fontId="41" fillId="31" borderId="20" xfId="39" applyFont="1" applyFill="1" applyBorder="1" applyAlignment="1">
      <alignment horizontal="center" vertical="center" wrapText="1"/>
    </xf>
    <xf numFmtId="0" fontId="41" fillId="31" borderId="29" xfId="0" applyFont="1" applyFill="1" applyBorder="1" applyAlignment="1">
      <alignment horizontal="center"/>
    </xf>
    <xf numFmtId="0" fontId="42" fillId="0" borderId="18" xfId="0" applyFont="1" applyBorder="1" applyAlignment="1">
      <alignment horizontal="center"/>
    </xf>
    <xf numFmtId="0" fontId="44" fillId="24" borderId="0" xfId="39" applyFont="1" applyFill="1" applyAlignment="1">
      <alignment horizontal="center" wrapText="1"/>
    </xf>
    <xf numFmtId="0" fontId="41" fillId="31" borderId="25" xfId="39" applyFont="1" applyFill="1" applyBorder="1" applyAlignment="1">
      <alignment horizontal="center" vertical="center" wrapText="1"/>
    </xf>
    <xf numFmtId="0" fontId="41" fillId="31" borderId="25" xfId="0" applyFont="1" applyFill="1" applyBorder="1" applyAlignment="1">
      <alignment horizontal="center"/>
    </xf>
    <xf numFmtId="0" fontId="41" fillId="24" borderId="0" xfId="0" applyFont="1" applyFill="1" applyAlignment="1">
      <alignment horizontal="center"/>
    </xf>
    <xf numFmtId="0" fontId="41" fillId="24" borderId="18" xfId="0" applyFont="1" applyFill="1" applyBorder="1" applyAlignment="1">
      <alignment horizontal="center"/>
    </xf>
    <xf numFmtId="0" fontId="42" fillId="24" borderId="0" xfId="0" applyFont="1" applyFill="1" applyAlignment="1">
      <alignment wrapText="1"/>
    </xf>
    <xf numFmtId="0" fontId="41" fillId="31" borderId="30" xfId="0" applyFont="1" applyFill="1" applyBorder="1" applyAlignment="1">
      <alignment horizontal="center"/>
    </xf>
    <xf numFmtId="0" fontId="42" fillId="0" borderId="0" xfId="0" applyFont="1"/>
    <xf numFmtId="0" fontId="45" fillId="24" borderId="0" xfId="0" applyFont="1" applyFill="1" applyAlignment="1">
      <alignment horizontal="left" wrapText="1"/>
    </xf>
    <xf numFmtId="0" fontId="46" fillId="0" borderId="21" xfId="39" applyFont="1" applyBorder="1" applyAlignment="1">
      <alignment horizontal="left" wrapText="1"/>
    </xf>
    <xf numFmtId="0" fontId="46" fillId="0" borderId="22" xfId="39" applyFont="1" applyBorder="1" applyAlignment="1">
      <alignment horizontal="left" wrapText="1"/>
    </xf>
    <xf numFmtId="0" fontId="46" fillId="0" borderId="21" xfId="39" quotePrefix="1" applyFont="1" applyBorder="1" applyAlignment="1">
      <alignment horizontal="left" vertical="top" wrapText="1"/>
    </xf>
    <xf numFmtId="0" fontId="46" fillId="0" borderId="24" xfId="0" applyFont="1" applyBorder="1"/>
    <xf numFmtId="0" fontId="46" fillId="0" borderId="31" xfId="39" applyFont="1" applyBorder="1" applyAlignment="1">
      <alignment horizontal="left" wrapText="1"/>
    </xf>
    <xf numFmtId="0" fontId="46" fillId="0" borderId="32" xfId="39" applyFont="1" applyBorder="1" applyAlignment="1">
      <alignment horizontal="left" wrapText="1"/>
    </xf>
    <xf numFmtId="0" fontId="46" fillId="0" borderId="13" xfId="39" applyFont="1" applyBorder="1" applyAlignment="1">
      <alignment horizontal="left" wrapText="1"/>
    </xf>
    <xf numFmtId="0" fontId="46" fillId="0" borderId="14" xfId="39" applyFont="1" applyBorder="1" applyAlignment="1">
      <alignment horizontal="left" wrapText="1"/>
    </xf>
    <xf numFmtId="0" fontId="46" fillId="24" borderId="0" xfId="0" applyFont="1" applyFill="1"/>
    <xf numFmtId="0" fontId="46" fillId="0" borderId="0" xfId="0" applyFont="1"/>
    <xf numFmtId="0" fontId="46" fillId="0" borderId="10" xfId="0" applyFont="1" applyBorder="1"/>
    <xf numFmtId="0" fontId="46" fillId="0" borderId="11" xfId="0" applyFont="1" applyBorder="1"/>
    <xf numFmtId="0" fontId="46" fillId="0" borderId="12" xfId="0" applyFont="1" applyBorder="1"/>
    <xf numFmtId="3" fontId="46" fillId="0" borderId="0" xfId="0" applyNumberFormat="1" applyFont="1"/>
    <xf numFmtId="0" fontId="46" fillId="32" borderId="0" xfId="0" applyFont="1" applyFill="1" applyAlignment="1">
      <alignment horizontal="left"/>
    </xf>
    <xf numFmtId="0" fontId="46" fillId="0" borderId="23" xfId="0" applyFont="1" applyBorder="1"/>
    <xf numFmtId="165" fontId="42" fillId="28" borderId="28" xfId="29" applyNumberFormat="1" applyFont="1" applyFill="1" applyBorder="1" applyAlignment="1">
      <alignment horizontal="center"/>
    </xf>
    <xf numFmtId="0" fontId="1" fillId="35" borderId="0" xfId="0" applyFont="1" applyFill="1" applyAlignment="1">
      <alignment vertical="top" wrapText="1"/>
    </xf>
    <xf numFmtId="0" fontId="49" fillId="0" borderId="33" xfId="0" applyFont="1" applyBorder="1" applyAlignment="1">
      <alignment horizontal="center" vertical="top" wrapText="1"/>
    </xf>
    <xf numFmtId="0" fontId="0" fillId="25" borderId="0" xfId="0" applyFill="1" applyAlignment="1">
      <alignment horizontal="center" vertical="top"/>
    </xf>
    <xf numFmtId="0" fontId="0" fillId="0" borderId="0" xfId="0" applyAlignment="1">
      <alignment vertical="top"/>
    </xf>
    <xf numFmtId="0" fontId="47" fillId="0" borderId="0" xfId="0" applyFont="1" applyAlignment="1">
      <alignment vertical="top"/>
    </xf>
    <xf numFmtId="164" fontId="0" fillId="0" borderId="0" xfId="29" applyFont="1" applyAlignment="1">
      <alignment vertical="top" wrapText="1"/>
    </xf>
    <xf numFmtId="164" fontId="0" fillId="0" borderId="0" xfId="29" applyFont="1" applyAlignment="1">
      <alignment vertical="top"/>
    </xf>
    <xf numFmtId="164" fontId="0" fillId="38" borderId="0" xfId="29" applyFont="1" applyFill="1" applyAlignment="1">
      <alignment vertical="top" wrapText="1"/>
    </xf>
    <xf numFmtId="0" fontId="0" fillId="38" borderId="0" xfId="0" applyFill="1" applyAlignment="1">
      <alignment horizontal="left"/>
    </xf>
    <xf numFmtId="0" fontId="50" fillId="33" borderId="0" xfId="0" applyFont="1" applyFill="1" applyAlignment="1">
      <alignment vertical="top" wrapText="1"/>
    </xf>
    <xf numFmtId="164" fontId="0" fillId="38" borderId="0" xfId="29" applyFont="1" applyFill="1" applyAlignment="1">
      <alignment vertical="top"/>
    </xf>
    <xf numFmtId="0" fontId="39" fillId="33" borderId="33" xfId="0" applyFont="1" applyFill="1" applyBorder="1" applyAlignment="1">
      <alignment horizontal="center" vertical="top" wrapText="1"/>
    </xf>
    <xf numFmtId="0" fontId="3" fillId="38" borderId="33" xfId="0" applyFont="1" applyFill="1" applyBorder="1" applyAlignment="1">
      <alignment horizontal="center" vertical="top" wrapText="1"/>
    </xf>
    <xf numFmtId="0" fontId="39" fillId="36" borderId="33" xfId="0" quotePrefix="1" applyFont="1" applyFill="1" applyBorder="1" applyAlignment="1">
      <alignment horizontal="center" vertical="top" wrapText="1"/>
    </xf>
    <xf numFmtId="0" fontId="39" fillId="34" borderId="33" xfId="0" applyFont="1" applyFill="1" applyBorder="1" applyAlignment="1">
      <alignment horizontal="center" vertical="top" wrapText="1"/>
    </xf>
    <xf numFmtId="0" fontId="39" fillId="39" borderId="33" xfId="0" applyFont="1" applyFill="1" applyBorder="1" applyAlignment="1">
      <alignment horizontal="center" vertical="top" wrapText="1"/>
    </xf>
    <xf numFmtId="0" fontId="1" fillId="36" borderId="0" xfId="0" quotePrefix="1" applyFont="1" applyFill="1" applyAlignment="1">
      <alignment vertical="top" wrapText="1"/>
    </xf>
    <xf numFmtId="0" fontId="1" fillId="33" borderId="0" xfId="0" applyFont="1" applyFill="1" applyAlignment="1">
      <alignment vertical="top" wrapText="1"/>
    </xf>
    <xf numFmtId="0" fontId="1" fillId="39" borderId="0" xfId="0" applyFont="1" applyFill="1" applyAlignment="1">
      <alignment vertical="top" wrapText="1"/>
    </xf>
    <xf numFmtId="0" fontId="48" fillId="38" borderId="33" xfId="0" applyFont="1" applyFill="1" applyBorder="1" applyAlignment="1">
      <alignment horizontal="center" vertical="top" wrapText="1"/>
    </xf>
    <xf numFmtId="0" fontId="1" fillId="34" borderId="0" xfId="0" applyFont="1" applyFill="1" applyAlignment="1">
      <alignment vertical="top" wrapText="1"/>
    </xf>
    <xf numFmtId="9" fontId="39" fillId="36" borderId="33" xfId="37" quotePrefix="1" applyFont="1" applyFill="1" applyBorder="1" applyAlignment="1">
      <alignment horizontal="center" vertical="top" wrapText="1"/>
    </xf>
    <xf numFmtId="0" fontId="48" fillId="36" borderId="33" xfId="0" quotePrefix="1" applyFont="1" applyFill="1" applyBorder="1" applyAlignment="1">
      <alignment horizontal="center" vertical="top" wrapText="1"/>
    </xf>
    <xf numFmtId="0" fontId="46" fillId="0" borderId="33" xfId="0" applyFont="1" applyBorder="1"/>
    <xf numFmtId="0" fontId="0" fillId="38" borderId="0" xfId="0" applyFill="1" applyAlignment="1">
      <alignment vertical="top"/>
    </xf>
    <xf numFmtId="0" fontId="46" fillId="38" borderId="0" xfId="0" applyFont="1" applyFill="1" applyAlignment="1">
      <alignment horizontal="left"/>
    </xf>
    <xf numFmtId="0" fontId="0" fillId="0" borderId="0" xfId="29" applyNumberFormat="1" applyFont="1" applyAlignment="1">
      <alignment vertical="top"/>
    </xf>
    <xf numFmtId="0" fontId="35" fillId="38" borderId="0" xfId="0" applyFont="1" applyFill="1" applyAlignment="1">
      <alignment horizontal="center" vertical="center" wrapText="1"/>
    </xf>
    <xf numFmtId="0" fontId="7" fillId="37" borderId="0" xfId="0" applyFont="1" applyFill="1" applyAlignment="1">
      <alignment horizontal="center" vertical="center" wrapText="1"/>
    </xf>
    <xf numFmtId="0" fontId="4" fillId="24" borderId="0" xfId="0" applyFont="1" applyFill="1" applyAlignment="1">
      <alignment horizontal="center" vertical="center" wrapText="1"/>
    </xf>
    <xf numFmtId="0" fontId="0" fillId="24" borderId="0" xfId="0" applyFill="1" applyAlignment="1">
      <alignment horizontal="center" vertical="center" wrapText="1"/>
    </xf>
    <xf numFmtId="0" fontId="6" fillId="24" borderId="0" xfId="0" applyFont="1" applyFill="1" applyAlignment="1">
      <alignment horizontal="center" vertical="center" wrapText="1"/>
    </xf>
    <xf numFmtId="164" fontId="0" fillId="38" borderId="0" xfId="29" applyFont="1" applyFill="1" applyAlignment="1">
      <alignment horizontal="center" vertical="center" wrapText="1"/>
    </xf>
    <xf numFmtId="0" fontId="0" fillId="37" borderId="0" xfId="0" applyFill="1" applyAlignment="1">
      <alignment horizontal="center"/>
    </xf>
    <xf numFmtId="0" fontId="1" fillId="0" borderId="0" xfId="0" applyFont="1"/>
    <xf numFmtId="0" fontId="7" fillId="40" borderId="0" xfId="0" applyFont="1" applyFill="1"/>
    <xf numFmtId="0" fontId="7" fillId="0" borderId="0" xfId="0" applyFont="1"/>
    <xf numFmtId="0" fontId="49" fillId="0" borderId="33" xfId="0" applyFont="1" applyBorder="1" applyAlignment="1">
      <alignment horizontal="center" vertical="top"/>
    </xf>
    <xf numFmtId="0" fontId="49" fillId="37" borderId="33" xfId="0" applyFont="1" applyFill="1" applyBorder="1" applyAlignment="1">
      <alignment horizontal="center" vertical="top"/>
    </xf>
    <xf numFmtId="0" fontId="52" fillId="37" borderId="33" xfId="0" applyFont="1" applyFill="1" applyBorder="1" applyAlignment="1">
      <alignment horizontal="left" vertical="top" wrapText="1"/>
    </xf>
    <xf numFmtId="0" fontId="0" fillId="37" borderId="0" xfId="0" applyFill="1" applyAlignment="1">
      <alignment horizontal="left" wrapText="1"/>
    </xf>
    <xf numFmtId="0" fontId="50" fillId="37" borderId="0" xfId="0" applyFont="1" applyFill="1"/>
    <xf numFmtId="22" fontId="0" fillId="0" borderId="0" xfId="0" applyNumberFormat="1"/>
    <xf numFmtId="164" fontId="0" fillId="0" borderId="0" xfId="29" applyFont="1"/>
    <xf numFmtId="0" fontId="49" fillId="0" borderId="33" xfId="0" applyFont="1" applyBorder="1" applyAlignment="1">
      <alignment horizontal="left" vertical="top" wrapText="1"/>
    </xf>
    <xf numFmtId="0" fontId="49" fillId="37" borderId="33" xfId="0" applyFont="1" applyFill="1" applyBorder="1" applyAlignment="1">
      <alignment horizontal="left" vertical="top" wrapText="1"/>
    </xf>
    <xf numFmtId="9" fontId="50" fillId="25" borderId="0" xfId="37" applyFont="1" applyFill="1" applyAlignment="1">
      <alignment horizontal="center"/>
    </xf>
    <xf numFmtId="165" fontId="50" fillId="25" borderId="0" xfId="29" applyNumberFormat="1" applyFont="1" applyFill="1" applyAlignment="1">
      <alignment horizontal="center"/>
    </xf>
    <xf numFmtId="9" fontId="0" fillId="0" borderId="0" xfId="37" applyFont="1"/>
    <xf numFmtId="0" fontId="0" fillId="37" borderId="0" xfId="0" applyFill="1" applyAlignment="1">
      <alignment horizontal="center" vertical="top"/>
    </xf>
    <xf numFmtId="0" fontId="49" fillId="37" borderId="33" xfId="0" applyFont="1" applyFill="1" applyBorder="1" applyAlignment="1">
      <alignment horizontal="center" vertical="top" wrapText="1"/>
    </xf>
    <xf numFmtId="0" fontId="0" fillId="37" borderId="0" xfId="0" applyFill="1" applyAlignment="1">
      <alignment vertical="top"/>
    </xf>
    <xf numFmtId="0" fontId="0" fillId="37" borderId="0" xfId="29" applyNumberFormat="1" applyFont="1" applyFill="1" applyAlignment="1">
      <alignment vertical="top"/>
    </xf>
  </cellXfs>
  <cellStyles count="50">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6000000}"/>
    <cellStyle name="40% - Accent2" xfId="8" xr:uid="{00000000-0005-0000-0000-000007000000}"/>
    <cellStyle name="40% - Accent3" xfId="9" xr:uid="{00000000-0005-0000-0000-000008000000}"/>
    <cellStyle name="40% - Accent4" xfId="10" xr:uid="{00000000-0005-0000-0000-000009000000}"/>
    <cellStyle name="40% - Accent5" xfId="11" xr:uid="{00000000-0005-0000-0000-00000A000000}"/>
    <cellStyle name="40% - Accent6" xfId="12" xr:uid="{00000000-0005-0000-0000-00000B000000}"/>
    <cellStyle name="60% - Accent1" xfId="13" xr:uid="{00000000-0005-0000-0000-00000C000000}"/>
    <cellStyle name="60% - Accent2" xfId="14" xr:uid="{00000000-0005-0000-0000-00000D000000}"/>
    <cellStyle name="60% - Accent3" xfId="15" xr:uid="{00000000-0005-0000-0000-00000E000000}"/>
    <cellStyle name="60% - Accent4" xfId="16" xr:uid="{00000000-0005-0000-0000-00000F000000}"/>
    <cellStyle name="60% - Accent5" xfId="17" xr:uid="{00000000-0005-0000-0000-000010000000}"/>
    <cellStyle name="60% - Accent6" xfId="18" xr:uid="{00000000-0005-0000-0000-000011000000}"/>
    <cellStyle name="Accent1" xfId="19" xr:uid="{00000000-0005-0000-0000-000012000000}"/>
    <cellStyle name="Accent2" xfId="20" xr:uid="{00000000-0005-0000-0000-000013000000}"/>
    <cellStyle name="Accent3" xfId="21" xr:uid="{00000000-0005-0000-0000-000014000000}"/>
    <cellStyle name="Accent4" xfId="22" xr:uid="{00000000-0005-0000-0000-000015000000}"/>
    <cellStyle name="Accent5" xfId="23" xr:uid="{00000000-0005-0000-0000-000016000000}"/>
    <cellStyle name="Accent6" xfId="24" xr:uid="{00000000-0005-0000-0000-000017000000}"/>
    <cellStyle name="Avertissement" xfId="48" builtinId="11" customBuiltin="1"/>
    <cellStyle name="Bad" xfId="38" xr:uid="{00000000-0005-0000-0000-000018000000}"/>
    <cellStyle name="Calcul" xfId="25" builtinId="22" customBuiltin="1"/>
    <cellStyle name="Check Cell" xfId="49" xr:uid="{00000000-0005-0000-0000-00001A000000}"/>
    <cellStyle name="Entrée" xfId="28" builtinId="20" customBuiltin="1"/>
    <cellStyle name="Good" xfId="27" xr:uid="{00000000-0005-0000-0000-00001D000000}"/>
    <cellStyle name="Heading 1" xfId="43" xr:uid="{00000000-0005-0000-0000-00001E000000}"/>
    <cellStyle name="Heading 2" xfId="44" xr:uid="{00000000-0005-0000-0000-00001F000000}"/>
    <cellStyle name="Heading 3" xfId="45" xr:uid="{00000000-0005-0000-0000-000020000000}"/>
    <cellStyle name="Heading 4" xfId="46" xr:uid="{00000000-0005-0000-0000-000021000000}"/>
    <cellStyle name="Linked Cell" xfId="47" xr:uid="{00000000-0005-0000-0000-000023000000}"/>
    <cellStyle name="Milliers" xfId="29" builtinId="3"/>
    <cellStyle name="Neutre" xfId="30" builtinId="28" customBuiltin="1"/>
    <cellStyle name="Normal" xfId="0" builtinId="0"/>
    <cellStyle name="Normal 2" xfId="31" xr:uid="{00000000-0005-0000-0000-000026000000}"/>
    <cellStyle name="Normal 3" xfId="32" xr:uid="{00000000-0005-0000-0000-000027000000}"/>
    <cellStyle name="Normal 4" xfId="33" xr:uid="{00000000-0005-0000-0000-000028000000}"/>
    <cellStyle name="Note" xfId="34" xr:uid="{00000000-0005-0000-0000-000029000000}"/>
    <cellStyle name="Obično_List1" xfId="35" xr:uid="{00000000-0005-0000-0000-00002A000000}"/>
    <cellStyle name="Pourcentage" xfId="37" builtinId="5"/>
    <cellStyle name="Sortie" xfId="36" builtinId="21" customBuiltin="1"/>
    <cellStyle name="Standard_Projekt" xfId="39" xr:uid="{00000000-0005-0000-0000-00002D000000}"/>
    <cellStyle name="Stil 1" xfId="40" xr:uid="{00000000-0005-0000-0000-00002E000000}"/>
    <cellStyle name="Texte explicatif" xfId="26" builtinId="53" customBuiltin="1"/>
    <cellStyle name="Title" xfId="42" xr:uid="{00000000-0005-0000-0000-00002F000000}"/>
    <cellStyle name="Total" xfId="41" builtinId="25"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Tabelle1!$A$10:$A$13</c:f>
              <c:strCache>
                <c:ptCount val="4"/>
                <c:pt idx="0">
                  <c:v>Ich habe dieses Produkt schon einmal gekauft.</c:v>
                </c:pt>
                <c:pt idx="1">
                  <c:v>Ich kaufe regelmäßig Produkte dieser Marke.</c:v>
                </c:pt>
                <c:pt idx="2">
                  <c:v>Das Produkt ist von einer Marke mit sehr gutem Ruf.</c:v>
                </c:pt>
                <c:pt idx="3">
                  <c:v>Ich (wir) haben einen vergleichsweise hohen Bedarf an dieser Art von Produkten.</c:v>
                </c:pt>
              </c:strCache>
            </c:strRef>
          </c:cat>
          <c:val>
            <c:numRef>
              <c:f>Tabelle1!$B$10:$B$13</c:f>
              <c:numCache>
                <c:formatCode>0%</c:formatCode>
                <c:ptCount val="4"/>
                <c:pt idx="0">
                  <c:v>0.37573385518591002</c:v>
                </c:pt>
                <c:pt idx="1">
                  <c:v>0.37084148727984345</c:v>
                </c:pt>
                <c:pt idx="2">
                  <c:v>0.55381604696673192</c:v>
                </c:pt>
                <c:pt idx="3">
                  <c:v>0.5880626223091977</c:v>
                </c:pt>
              </c:numCache>
            </c:numRef>
          </c:val>
          <c:extLst>
            <c:ext xmlns:c16="http://schemas.microsoft.com/office/drawing/2014/chart" uri="{C3380CC4-5D6E-409C-BE32-E72D297353CC}">
              <c16:uniqueId val="{00000000-A651-404E-B911-8EBDF24816AC}"/>
            </c:ext>
          </c:extLst>
        </c:ser>
        <c:dLbls>
          <c:dLblPos val="outEnd"/>
          <c:showLegendKey val="0"/>
          <c:showVal val="1"/>
          <c:showCatName val="0"/>
          <c:showSerName val="0"/>
          <c:showPercent val="0"/>
          <c:showBubbleSize val="0"/>
        </c:dLbls>
        <c:gapWidth val="182"/>
        <c:axId val="-391415264"/>
        <c:axId val="-391408192"/>
      </c:barChart>
      <c:catAx>
        <c:axId val="-39141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08192"/>
        <c:crosses val="autoZero"/>
        <c:auto val="1"/>
        <c:lblAlgn val="ctr"/>
        <c:lblOffset val="100"/>
        <c:noMultiLvlLbl val="0"/>
      </c:catAx>
      <c:valAx>
        <c:axId val="-3914081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1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470806</xdr:colOff>
      <xdr:row>6</xdr:row>
      <xdr:rowOff>84364</xdr:rowOff>
    </xdr:from>
    <xdr:to>
      <xdr:col>8</xdr:col>
      <xdr:colOff>340178</xdr:colOff>
      <xdr:row>23</xdr:row>
      <xdr:rowOff>144235</xdr:rowOff>
    </xdr:to>
    <xdr:graphicFrame macro="">
      <xdr:nvGraphicFramePr>
        <xdr:cNvPr id="2" name="Diagramm 1">
          <a:extLst>
            <a:ext uri="{FF2B5EF4-FFF2-40B4-BE49-F238E27FC236}">
              <a16:creationId xmlns:a16="http://schemas.microsoft.com/office/drawing/2014/main" id="{B782041C-6F52-F6D8-ED9E-1F044BF2E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era%20Freyling/SDS%20Dropbox/Projects/Link/Natural%20American%20Spirit_20240718/3.%20Modelling/NEUSREL%20NAS_51_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Vera%20Freyling/SDS%20Dropbox/Projects/TESA/MODELLING%20v.2/TESA_PRICE_adjusted_data.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uccessdrivers365.sharepoint.com/sites/SuccessDrivers/Product%20Developement/Documentation%20&amp;%20Training/1.%20PRICE%20OPTIMIZER/Price%20Optimizer%20Sample%20Project/NEUSREL_L&#228;derach_FrischSchoggi_after_Analysis_v202505.xlsx" TargetMode="External"/><Relationship Id="rId1" Type="http://schemas.openxmlformats.org/officeDocument/2006/relationships/externalLinkPath" Target="/sites/SuccessDrivers/Product%20Developement/Documentation%20&amp;%20Training/1.%20PRICE%20OPTIMIZER/Price%20Optimizer%20Sample%20Project/NEUSREL_L&#228;derach_FrischSchoggi_after_Analysis_v2025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heetName val="Options"/>
      <sheetName val="Data"/>
      <sheetName val="Modules"/>
      <sheetName val="Data ALL"/>
      <sheetName val="Tabelle1"/>
      <sheetName val="SETTINGS"/>
      <sheetName val="1_Overall"/>
      <sheetName val="2_Latents"/>
      <sheetName val="3_Paths"/>
      <sheetName val="4_NL Polynoms"/>
      <sheetName val="7_Predictions"/>
      <sheetName val="8_JK-Predictions"/>
      <sheetName val="5_ASI"/>
      <sheetName val="5_Interactions"/>
      <sheetName val="6_LV values"/>
      <sheetName val="PDF"/>
      <sheetName val="Resul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data"/>
      <sheetName val="Survey"/>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sheetName val="Options"/>
      <sheetName val="Modules"/>
      <sheetName val="Data"/>
      <sheetName val="Data FULL"/>
      <sheetName val="Data bad"/>
      <sheetName val="SETTINGS"/>
      <sheetName val="PROCESS"/>
      <sheetName val="1_Overall"/>
      <sheetName val="2_Latents"/>
      <sheetName val="3_Paths"/>
      <sheetName val="PDF"/>
      <sheetName val="Resul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
  <sheetViews>
    <sheetView zoomScale="84" zoomScaleNormal="84" workbookViewId="0">
      <selection activeCell="AA18" sqref="AA18"/>
    </sheetView>
  </sheetViews>
  <sheetFormatPr defaultColWidth="7.140625" defaultRowHeight="13.15"/>
  <cols>
    <col min="1" max="1" width="27.28515625" style="90" bestFit="1" customWidth="1"/>
    <col min="2" max="3" width="7.140625" style="1"/>
    <col min="4" max="4" width="7.140625" style="2"/>
    <col min="5" max="5" width="7.140625" style="3"/>
    <col min="6" max="6" width="7.140625" style="4"/>
    <col min="7" max="7" width="7.140625" style="5"/>
    <col min="8" max="8" width="5.85546875" style="5" bestFit="1" customWidth="1"/>
    <col min="9" max="18" width="7.140625" style="5"/>
    <col min="19" max="24" width="7.140625" style="6"/>
    <col min="25" max="25" width="26.28515625" style="6" bestFit="1" customWidth="1"/>
    <col min="26" max="16384" width="7.140625" style="6"/>
  </cols>
  <sheetData>
    <row r="1" spans="1:25" s="111" customFormat="1" ht="48.6" customHeight="1">
      <c r="A1" s="109">
        <v>0</v>
      </c>
      <c r="B1" s="110" t="s">
        <v>0</v>
      </c>
      <c r="D1" s="113" t="s">
        <v>1</v>
      </c>
      <c r="E1" s="112" t="s">
        <v>2</v>
      </c>
      <c r="F1" s="113" t="s">
        <v>3</v>
      </c>
      <c r="G1" s="114" t="s">
        <v>4</v>
      </c>
      <c r="H1" s="114" t="s">
        <v>5</v>
      </c>
      <c r="I1" s="114" t="s">
        <v>6</v>
      </c>
      <c r="J1" s="114" t="s">
        <v>7</v>
      </c>
      <c r="K1" s="114" t="s">
        <v>8</v>
      </c>
      <c r="L1" s="114" t="s">
        <v>9</v>
      </c>
      <c r="M1" s="114" t="s">
        <v>10</v>
      </c>
      <c r="N1" s="114" t="s">
        <v>11</v>
      </c>
      <c r="O1" s="114" t="s">
        <v>12</v>
      </c>
      <c r="P1" s="114" t="s">
        <v>13</v>
      </c>
      <c r="Q1" s="114" t="s">
        <v>14</v>
      </c>
      <c r="R1" s="114" t="s">
        <v>15</v>
      </c>
      <c r="S1" s="114" t="s">
        <v>16</v>
      </c>
      <c r="T1" s="114" t="s">
        <v>17</v>
      </c>
      <c r="U1" s="114" t="s">
        <v>18</v>
      </c>
      <c r="V1" s="114" t="s">
        <v>19</v>
      </c>
      <c r="W1" s="114" t="s">
        <v>20</v>
      </c>
      <c r="X1" s="114" t="s">
        <v>21</v>
      </c>
      <c r="Y1" s="114" t="s">
        <v>22</v>
      </c>
    </row>
    <row r="2" spans="1:25">
      <c r="A2" s="89" t="s">
        <v>4</v>
      </c>
      <c r="B2" s="1">
        <v>1</v>
      </c>
      <c r="C2" s="1">
        <v>1</v>
      </c>
      <c r="D2" s="2">
        <v>0</v>
      </c>
      <c r="E2" s="3">
        <v>-99</v>
      </c>
      <c r="F2" s="4">
        <v>1</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row>
    <row r="3" spans="1:25">
      <c r="A3" s="89" t="s">
        <v>5</v>
      </c>
      <c r="B3" s="1">
        <v>2</v>
      </c>
      <c r="C3" s="1">
        <v>2</v>
      </c>
      <c r="D3" s="2">
        <v>0</v>
      </c>
      <c r="E3" s="3">
        <v>-99</v>
      </c>
      <c r="F3" s="4">
        <v>1</v>
      </c>
      <c r="G3" s="5">
        <v>0</v>
      </c>
      <c r="H3" s="5">
        <v>0</v>
      </c>
      <c r="I3" s="5">
        <v>0</v>
      </c>
      <c r="J3" s="115">
        <v>1</v>
      </c>
      <c r="K3" s="5">
        <v>0</v>
      </c>
      <c r="L3" s="5">
        <v>0</v>
      </c>
      <c r="M3" s="5">
        <v>0</v>
      </c>
      <c r="N3" s="5">
        <v>0</v>
      </c>
      <c r="O3" s="5">
        <v>0</v>
      </c>
      <c r="P3" s="5">
        <v>0</v>
      </c>
      <c r="Q3" s="5">
        <v>0</v>
      </c>
      <c r="R3" s="5">
        <v>0</v>
      </c>
      <c r="S3" s="5">
        <v>0</v>
      </c>
      <c r="T3" s="5">
        <v>0</v>
      </c>
      <c r="U3" s="5">
        <v>0</v>
      </c>
      <c r="V3" s="5">
        <v>0</v>
      </c>
      <c r="W3" s="5">
        <v>0</v>
      </c>
      <c r="X3" s="5">
        <v>0</v>
      </c>
      <c r="Y3" s="5">
        <v>0</v>
      </c>
    </row>
    <row r="4" spans="1:25">
      <c r="A4" s="89" t="s">
        <v>6</v>
      </c>
      <c r="B4" s="1">
        <v>3</v>
      </c>
      <c r="C4" s="1">
        <v>3</v>
      </c>
      <c r="D4" s="2">
        <v>0</v>
      </c>
      <c r="E4" s="3">
        <v>-99</v>
      </c>
      <c r="F4" s="4">
        <v>1</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row>
    <row r="5" spans="1:25">
      <c r="A5" s="89" t="s">
        <v>7</v>
      </c>
      <c r="B5" s="1">
        <v>4</v>
      </c>
      <c r="C5" s="1">
        <v>4</v>
      </c>
      <c r="D5" s="2">
        <v>0</v>
      </c>
      <c r="E5" s="3">
        <v>-99</v>
      </c>
      <c r="F5" s="4">
        <v>1</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row>
    <row r="6" spans="1:25">
      <c r="A6" s="89" t="s">
        <v>8</v>
      </c>
      <c r="B6" s="1">
        <v>5</v>
      </c>
      <c r="C6" s="1">
        <v>5</v>
      </c>
      <c r="D6" s="2">
        <v>0</v>
      </c>
      <c r="E6" s="3">
        <v>-99</v>
      </c>
      <c r="F6" s="4">
        <v>1</v>
      </c>
      <c r="G6" s="5">
        <v>0</v>
      </c>
      <c r="H6" s="5">
        <v>0</v>
      </c>
      <c r="I6" s="5">
        <v>0</v>
      </c>
      <c r="J6" s="115">
        <v>1</v>
      </c>
      <c r="K6" s="5">
        <v>0</v>
      </c>
      <c r="L6" s="5">
        <v>0</v>
      </c>
      <c r="M6" s="5">
        <v>0</v>
      </c>
      <c r="N6" s="5">
        <v>0</v>
      </c>
      <c r="O6" s="5">
        <v>0</v>
      </c>
      <c r="P6" s="5">
        <v>0</v>
      </c>
      <c r="Q6" s="5">
        <v>0</v>
      </c>
      <c r="R6" s="5">
        <v>0</v>
      </c>
      <c r="S6" s="5">
        <v>0</v>
      </c>
      <c r="T6" s="5">
        <v>0</v>
      </c>
      <c r="U6" s="5">
        <v>0</v>
      </c>
      <c r="V6" s="5">
        <v>0</v>
      </c>
      <c r="W6" s="5">
        <v>0</v>
      </c>
      <c r="X6" s="5">
        <v>0</v>
      </c>
      <c r="Y6" s="5">
        <v>0</v>
      </c>
    </row>
    <row r="7" spans="1:25">
      <c r="A7" s="89" t="s">
        <v>9</v>
      </c>
      <c r="B7" s="1">
        <v>6</v>
      </c>
      <c r="C7" s="1">
        <v>6</v>
      </c>
      <c r="D7" s="2">
        <v>0</v>
      </c>
      <c r="E7" s="3">
        <v>-99</v>
      </c>
      <c r="F7" s="4">
        <v>1</v>
      </c>
      <c r="G7" s="5">
        <v>0</v>
      </c>
      <c r="H7" s="5">
        <v>0</v>
      </c>
      <c r="I7" s="5">
        <v>0</v>
      </c>
      <c r="J7" s="115">
        <v>1</v>
      </c>
      <c r="K7" s="5">
        <v>0</v>
      </c>
      <c r="L7" s="5">
        <v>0</v>
      </c>
      <c r="M7" s="5">
        <v>0</v>
      </c>
      <c r="N7" s="5">
        <v>0</v>
      </c>
      <c r="O7" s="5">
        <v>0</v>
      </c>
      <c r="P7" s="5">
        <v>0</v>
      </c>
      <c r="Q7" s="5">
        <v>0</v>
      </c>
      <c r="R7" s="5">
        <v>0</v>
      </c>
      <c r="S7" s="5">
        <v>0</v>
      </c>
      <c r="T7" s="5">
        <v>0</v>
      </c>
      <c r="U7" s="5">
        <v>0</v>
      </c>
      <c r="V7" s="5">
        <v>0</v>
      </c>
      <c r="W7" s="5">
        <v>0</v>
      </c>
      <c r="X7" s="5">
        <v>0</v>
      </c>
      <c r="Y7" s="5">
        <v>0</v>
      </c>
    </row>
    <row r="8" spans="1:25">
      <c r="A8" s="89" t="s">
        <v>10</v>
      </c>
      <c r="B8" s="1">
        <v>7</v>
      </c>
      <c r="C8" s="1">
        <v>7</v>
      </c>
      <c r="D8" s="2">
        <v>0</v>
      </c>
      <c r="E8" s="3">
        <v>-99</v>
      </c>
      <c r="F8" s="4">
        <v>1</v>
      </c>
      <c r="G8" s="5">
        <v>0</v>
      </c>
      <c r="H8" s="5">
        <v>0</v>
      </c>
      <c r="I8" s="5">
        <v>0</v>
      </c>
      <c r="J8" s="115">
        <v>1</v>
      </c>
      <c r="K8" s="5">
        <v>0</v>
      </c>
      <c r="L8" s="5">
        <v>0</v>
      </c>
      <c r="M8" s="5">
        <v>0</v>
      </c>
      <c r="N8" s="5">
        <v>0</v>
      </c>
      <c r="O8" s="5">
        <v>0</v>
      </c>
      <c r="P8" s="5">
        <v>0</v>
      </c>
      <c r="Q8" s="5">
        <v>0</v>
      </c>
      <c r="R8" s="5">
        <v>0</v>
      </c>
      <c r="S8" s="5">
        <v>0</v>
      </c>
      <c r="T8" s="5">
        <v>0</v>
      </c>
      <c r="U8" s="5">
        <v>0</v>
      </c>
      <c r="V8" s="5">
        <v>0</v>
      </c>
      <c r="W8" s="5">
        <v>0</v>
      </c>
      <c r="X8" s="5">
        <v>0</v>
      </c>
      <c r="Y8" s="5">
        <v>0</v>
      </c>
    </row>
    <row r="9" spans="1:25">
      <c r="A9" s="89" t="s">
        <v>11</v>
      </c>
      <c r="B9" s="1">
        <v>8</v>
      </c>
      <c r="C9" s="1">
        <v>8</v>
      </c>
      <c r="D9" s="2">
        <v>0</v>
      </c>
      <c r="E9" s="3">
        <v>-99</v>
      </c>
      <c r="F9" s="4">
        <v>1</v>
      </c>
      <c r="G9" s="5">
        <v>0</v>
      </c>
      <c r="H9" s="5">
        <v>0</v>
      </c>
      <c r="I9" s="5">
        <v>0</v>
      </c>
      <c r="J9" s="115">
        <v>1</v>
      </c>
      <c r="K9" s="5">
        <v>0</v>
      </c>
      <c r="L9" s="5">
        <v>0</v>
      </c>
      <c r="M9" s="5">
        <v>0</v>
      </c>
      <c r="N9" s="5">
        <v>0</v>
      </c>
      <c r="O9" s="5">
        <v>0</v>
      </c>
      <c r="P9" s="5">
        <v>0</v>
      </c>
      <c r="Q9" s="5">
        <v>0</v>
      </c>
      <c r="R9" s="5">
        <v>0</v>
      </c>
      <c r="S9" s="5">
        <v>0</v>
      </c>
      <c r="T9" s="5">
        <v>0</v>
      </c>
      <c r="U9" s="5">
        <v>0</v>
      </c>
      <c r="V9" s="5">
        <v>0</v>
      </c>
      <c r="W9" s="5">
        <v>0</v>
      </c>
      <c r="X9" s="5">
        <v>0</v>
      </c>
      <c r="Y9" s="5">
        <v>0</v>
      </c>
    </row>
    <row r="10" spans="1:25">
      <c r="A10" s="89" t="s">
        <v>12</v>
      </c>
      <c r="B10" s="1">
        <v>9</v>
      </c>
      <c r="C10" s="1">
        <v>9</v>
      </c>
      <c r="D10" s="2">
        <v>0</v>
      </c>
      <c r="E10" s="3">
        <v>-99</v>
      </c>
      <c r="F10" s="4">
        <v>1</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row>
    <row r="11" spans="1:25">
      <c r="A11" s="89" t="s">
        <v>13</v>
      </c>
      <c r="B11" s="1">
        <v>10</v>
      </c>
      <c r="C11" s="1">
        <v>10</v>
      </c>
      <c r="D11" s="2">
        <v>0</v>
      </c>
      <c r="E11" s="3">
        <v>-99</v>
      </c>
      <c r="F11" s="4">
        <v>1</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row>
    <row r="12" spans="1:25">
      <c r="A12" s="89" t="s">
        <v>14</v>
      </c>
      <c r="B12" s="1">
        <v>11</v>
      </c>
      <c r="C12" s="1">
        <v>11</v>
      </c>
      <c r="D12" s="2">
        <v>0</v>
      </c>
      <c r="E12" s="3">
        <v>-99</v>
      </c>
      <c r="F12" s="4">
        <v>1</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row>
    <row r="13" spans="1:25">
      <c r="A13" s="89" t="s">
        <v>15</v>
      </c>
      <c r="B13" s="1">
        <v>12</v>
      </c>
      <c r="C13" s="1">
        <v>12</v>
      </c>
      <c r="D13" s="2">
        <v>0</v>
      </c>
      <c r="E13" s="3">
        <v>-99</v>
      </c>
      <c r="F13" s="4">
        <v>1</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row>
    <row r="14" spans="1:25">
      <c r="A14" s="89" t="s">
        <v>16</v>
      </c>
      <c r="B14" s="1">
        <v>13</v>
      </c>
      <c r="C14" s="1">
        <v>13</v>
      </c>
      <c r="D14" s="2">
        <v>0</v>
      </c>
      <c r="E14" s="3">
        <v>-99</v>
      </c>
      <c r="F14" s="4">
        <v>1</v>
      </c>
      <c r="G14" s="5">
        <v>0</v>
      </c>
      <c r="H14" s="5">
        <v>0</v>
      </c>
      <c r="I14" s="5">
        <v>0</v>
      </c>
      <c r="J14" s="115">
        <v>1</v>
      </c>
      <c r="K14" s="5">
        <v>0</v>
      </c>
      <c r="L14" s="5">
        <v>0</v>
      </c>
      <c r="M14" s="5">
        <v>0</v>
      </c>
      <c r="N14" s="5">
        <v>0</v>
      </c>
      <c r="O14" s="5">
        <v>0</v>
      </c>
      <c r="P14" s="5">
        <v>0</v>
      </c>
      <c r="Q14" s="5">
        <v>0</v>
      </c>
      <c r="R14" s="5">
        <v>0</v>
      </c>
      <c r="S14" s="5">
        <v>0</v>
      </c>
      <c r="T14" s="5">
        <v>0</v>
      </c>
      <c r="U14" s="5">
        <v>0</v>
      </c>
      <c r="V14" s="5">
        <v>0</v>
      </c>
      <c r="W14" s="5">
        <v>0</v>
      </c>
      <c r="X14" s="5">
        <v>0</v>
      </c>
      <c r="Y14" s="5">
        <v>0</v>
      </c>
    </row>
    <row r="15" spans="1:25">
      <c r="A15" s="89" t="s">
        <v>17</v>
      </c>
      <c r="B15" s="1">
        <v>14</v>
      </c>
      <c r="C15" s="1">
        <v>14</v>
      </c>
      <c r="D15" s="2">
        <v>0</v>
      </c>
      <c r="E15" s="3">
        <v>-99</v>
      </c>
      <c r="F15" s="4">
        <v>1</v>
      </c>
      <c r="G15" s="5">
        <v>0</v>
      </c>
      <c r="H15" s="5">
        <v>0</v>
      </c>
      <c r="I15" s="5">
        <v>0</v>
      </c>
      <c r="J15" s="115">
        <v>1</v>
      </c>
      <c r="K15" s="5">
        <v>0</v>
      </c>
      <c r="L15" s="5">
        <v>0</v>
      </c>
      <c r="M15" s="5">
        <v>0</v>
      </c>
      <c r="N15" s="5">
        <v>0</v>
      </c>
      <c r="O15" s="5">
        <v>0</v>
      </c>
      <c r="P15" s="5">
        <v>0</v>
      </c>
      <c r="Q15" s="5">
        <v>0</v>
      </c>
      <c r="R15" s="5">
        <v>0</v>
      </c>
      <c r="S15" s="5">
        <v>0</v>
      </c>
      <c r="T15" s="5">
        <v>0</v>
      </c>
      <c r="U15" s="5">
        <v>0</v>
      </c>
      <c r="V15" s="5">
        <v>0</v>
      </c>
      <c r="W15" s="5">
        <v>0</v>
      </c>
      <c r="X15" s="5">
        <v>0</v>
      </c>
      <c r="Y15" s="5">
        <v>0</v>
      </c>
    </row>
    <row r="16" spans="1:25">
      <c r="A16" s="89" t="s">
        <v>18</v>
      </c>
      <c r="B16" s="1">
        <v>15</v>
      </c>
      <c r="C16" s="1">
        <v>15</v>
      </c>
      <c r="D16" s="2">
        <v>0</v>
      </c>
      <c r="E16" s="3">
        <v>-99</v>
      </c>
      <c r="F16" s="4">
        <v>1</v>
      </c>
      <c r="G16" s="5">
        <v>0</v>
      </c>
      <c r="H16" s="5">
        <v>0</v>
      </c>
      <c r="I16" s="5">
        <v>0</v>
      </c>
      <c r="J16" s="115">
        <v>1</v>
      </c>
      <c r="K16" s="5">
        <v>0</v>
      </c>
      <c r="L16" s="5">
        <v>0</v>
      </c>
      <c r="M16" s="5">
        <v>0</v>
      </c>
      <c r="N16" s="5">
        <v>0</v>
      </c>
      <c r="O16" s="5">
        <v>0</v>
      </c>
      <c r="P16" s="5">
        <v>0</v>
      </c>
      <c r="Q16" s="5">
        <v>0</v>
      </c>
      <c r="R16" s="5">
        <v>0</v>
      </c>
      <c r="S16" s="5">
        <v>0</v>
      </c>
      <c r="T16" s="5">
        <v>0</v>
      </c>
      <c r="U16" s="5">
        <v>0</v>
      </c>
      <c r="V16" s="5">
        <v>0</v>
      </c>
      <c r="W16" s="5">
        <v>0</v>
      </c>
      <c r="X16" s="5">
        <v>0</v>
      </c>
      <c r="Y16" s="5">
        <v>0</v>
      </c>
    </row>
    <row r="17" spans="1:25" ht="26.45">
      <c r="A17" s="89" t="s">
        <v>19</v>
      </c>
      <c r="B17" s="1">
        <v>16</v>
      </c>
      <c r="C17" s="1">
        <v>16</v>
      </c>
      <c r="D17" s="2">
        <v>0</v>
      </c>
      <c r="E17" s="3">
        <v>-99</v>
      </c>
      <c r="F17" s="4">
        <v>1</v>
      </c>
      <c r="G17" s="5">
        <v>0</v>
      </c>
      <c r="H17" s="5">
        <v>0</v>
      </c>
      <c r="I17" s="5">
        <v>0</v>
      </c>
      <c r="J17" s="115">
        <v>1</v>
      </c>
      <c r="K17" s="5">
        <v>0</v>
      </c>
      <c r="L17" s="5">
        <v>0</v>
      </c>
      <c r="M17" s="5">
        <v>0</v>
      </c>
      <c r="N17" s="5">
        <v>0</v>
      </c>
      <c r="O17" s="5">
        <v>0</v>
      </c>
      <c r="P17" s="5">
        <v>0</v>
      </c>
      <c r="Q17" s="5">
        <v>0</v>
      </c>
      <c r="R17" s="5">
        <v>0</v>
      </c>
      <c r="S17" s="5">
        <v>0</v>
      </c>
      <c r="T17" s="5">
        <v>0</v>
      </c>
      <c r="U17" s="5">
        <v>0</v>
      </c>
      <c r="V17" s="5">
        <v>0</v>
      </c>
      <c r="W17" s="5">
        <v>0</v>
      </c>
      <c r="X17" s="5">
        <v>0</v>
      </c>
      <c r="Y17" s="5">
        <v>0</v>
      </c>
    </row>
    <row r="18" spans="1:25" ht="26.45">
      <c r="A18" s="89" t="s">
        <v>20</v>
      </c>
      <c r="B18" s="1">
        <v>17</v>
      </c>
      <c r="C18" s="1">
        <v>17</v>
      </c>
      <c r="D18" s="2">
        <v>0</v>
      </c>
      <c r="E18" s="3">
        <v>-99</v>
      </c>
      <c r="F18" s="4">
        <v>1</v>
      </c>
      <c r="G18" s="5">
        <v>0</v>
      </c>
      <c r="H18" s="5">
        <v>0</v>
      </c>
      <c r="I18" s="5">
        <v>0</v>
      </c>
      <c r="J18" s="115">
        <v>1</v>
      </c>
      <c r="K18" s="5">
        <v>0</v>
      </c>
      <c r="L18" s="5">
        <v>0</v>
      </c>
      <c r="M18" s="5">
        <v>0</v>
      </c>
      <c r="N18" s="5">
        <v>0</v>
      </c>
      <c r="O18" s="5">
        <v>0</v>
      </c>
      <c r="P18" s="5">
        <v>0</v>
      </c>
      <c r="Q18" s="5">
        <v>0</v>
      </c>
      <c r="R18" s="5">
        <v>0</v>
      </c>
      <c r="S18" s="5">
        <v>0</v>
      </c>
      <c r="T18" s="5">
        <v>0</v>
      </c>
      <c r="U18" s="5">
        <v>0</v>
      </c>
      <c r="V18" s="5">
        <v>0</v>
      </c>
      <c r="W18" s="5">
        <v>0</v>
      </c>
      <c r="X18" s="5">
        <v>0</v>
      </c>
      <c r="Y18" s="5">
        <v>0</v>
      </c>
    </row>
    <row r="19" spans="1:25" ht="26.45">
      <c r="A19" s="89" t="s">
        <v>21</v>
      </c>
      <c r="B19" s="1">
        <v>18</v>
      </c>
      <c r="C19" s="1">
        <v>18</v>
      </c>
      <c r="D19" s="2">
        <v>0</v>
      </c>
      <c r="E19" s="3">
        <v>-99</v>
      </c>
      <c r="F19" s="4">
        <v>1</v>
      </c>
      <c r="G19" s="5">
        <v>0</v>
      </c>
      <c r="H19" s="5">
        <v>0</v>
      </c>
      <c r="I19" s="5">
        <v>0</v>
      </c>
      <c r="J19" s="115">
        <v>1</v>
      </c>
      <c r="K19" s="5">
        <v>0</v>
      </c>
      <c r="L19" s="5">
        <v>0</v>
      </c>
      <c r="M19" s="5">
        <v>0</v>
      </c>
      <c r="N19" s="5">
        <v>0</v>
      </c>
      <c r="O19" s="5">
        <v>0</v>
      </c>
      <c r="P19" s="5">
        <v>0</v>
      </c>
      <c r="Q19" s="5">
        <v>0</v>
      </c>
      <c r="R19" s="5">
        <v>0</v>
      </c>
      <c r="S19" s="5">
        <v>0</v>
      </c>
      <c r="T19" s="5">
        <v>0</v>
      </c>
      <c r="U19" s="5">
        <v>0</v>
      </c>
      <c r="V19" s="5">
        <v>0</v>
      </c>
      <c r="W19" s="5">
        <v>0</v>
      </c>
      <c r="X19" s="5">
        <v>0</v>
      </c>
      <c r="Y19" s="5">
        <v>0</v>
      </c>
    </row>
    <row r="20" spans="1:25" ht="39.6">
      <c r="A20" s="89" t="s">
        <v>22</v>
      </c>
      <c r="B20" s="1">
        <v>19</v>
      </c>
      <c r="C20" s="1">
        <v>19</v>
      </c>
      <c r="D20" s="2">
        <v>0</v>
      </c>
      <c r="E20" s="3">
        <v>-99</v>
      </c>
      <c r="F20" s="4">
        <v>1</v>
      </c>
      <c r="G20" s="5">
        <v>0</v>
      </c>
      <c r="H20" s="5">
        <v>0</v>
      </c>
      <c r="I20" s="5">
        <v>0</v>
      </c>
      <c r="J20" s="115">
        <v>1</v>
      </c>
      <c r="K20" s="5">
        <v>0</v>
      </c>
      <c r="L20" s="5">
        <v>0</v>
      </c>
      <c r="M20" s="5">
        <v>0</v>
      </c>
      <c r="N20" s="5">
        <v>0</v>
      </c>
      <c r="O20" s="5">
        <v>0</v>
      </c>
      <c r="P20" s="5">
        <v>0</v>
      </c>
      <c r="Q20" s="5">
        <v>0</v>
      </c>
      <c r="R20" s="5">
        <v>0</v>
      </c>
      <c r="S20" s="5">
        <v>0</v>
      </c>
      <c r="T20" s="5">
        <v>0</v>
      </c>
      <c r="U20" s="5">
        <v>0</v>
      </c>
      <c r="V20" s="5">
        <v>0</v>
      </c>
      <c r="W20" s="5">
        <v>0</v>
      </c>
      <c r="X20" s="5">
        <v>0</v>
      </c>
      <c r="Y20" s="5">
        <v>0</v>
      </c>
    </row>
  </sheetData>
  <phoneticPr fontId="5" type="noConversion"/>
  <pageMargins left="0.78740157499999996" right="0.78740157499999996" top="0.984251969" bottom="0.984251969" header="0.4921259845" footer="0.492125984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workbookViewId="0">
      <selection activeCell="L8" sqref="L8"/>
    </sheetView>
  </sheetViews>
  <sheetFormatPr defaultColWidth="11.42578125" defaultRowHeight="27.75" customHeight="1"/>
  <cols>
    <col min="1" max="1" width="2" style="12" bestFit="1" customWidth="1"/>
    <col min="2" max="2" width="29.7109375" style="25" customWidth="1"/>
    <col min="3" max="3" width="6" style="7" customWidth="1"/>
    <col min="4" max="4" width="2.5703125" style="13" bestFit="1" customWidth="1"/>
    <col min="5" max="5" width="33.42578125" style="22" customWidth="1"/>
    <col min="6" max="6" width="6.85546875" style="8" bestFit="1" customWidth="1"/>
    <col min="7" max="7" width="2" style="15" bestFit="1" customWidth="1"/>
    <col min="8" max="8" width="31.28515625" style="23" customWidth="1"/>
    <col min="9" max="9" width="6.5703125" style="9" customWidth="1"/>
    <col min="10" max="10" width="4.7109375" style="16" customWidth="1"/>
    <col min="11" max="11" width="44.140625" style="24" customWidth="1"/>
    <col min="12" max="12" width="9.5703125" style="10" bestFit="1" customWidth="1"/>
    <col min="13" max="16384" width="11.42578125" style="17"/>
  </cols>
  <sheetData>
    <row r="1" spans="1:12" s="11" customFormat="1" ht="27.75" customHeight="1">
      <c r="A1" s="7"/>
      <c r="B1" s="7" t="s">
        <v>23</v>
      </c>
      <c r="C1" s="7"/>
      <c r="D1" s="8"/>
      <c r="E1" s="8" t="s">
        <v>24</v>
      </c>
      <c r="F1" s="8">
        <v>0</v>
      </c>
      <c r="G1" s="9"/>
      <c r="H1" s="9" t="s">
        <v>25</v>
      </c>
      <c r="I1" s="9"/>
      <c r="J1" s="10"/>
      <c r="K1" s="10" t="s">
        <v>26</v>
      </c>
      <c r="L1" s="10"/>
    </row>
    <row r="2" spans="1:12" s="18" customFormat="1" ht="27.75" customHeight="1">
      <c r="A2" s="12">
        <v>1</v>
      </c>
      <c r="B2" s="30" t="s">
        <v>27</v>
      </c>
      <c r="C2" s="93">
        <v>0</v>
      </c>
      <c r="D2" s="13">
        <v>1</v>
      </c>
      <c r="E2" s="14" t="s">
        <v>28</v>
      </c>
      <c r="F2" s="94">
        <v>0</v>
      </c>
      <c r="G2" s="15">
        <v>1</v>
      </c>
      <c r="H2" s="82" t="s">
        <v>29</v>
      </c>
      <c r="I2" s="94">
        <v>0</v>
      </c>
      <c r="J2" s="16">
        <v>1</v>
      </c>
      <c r="K2" s="28" t="s">
        <v>30</v>
      </c>
      <c r="L2" s="95">
        <v>0</v>
      </c>
    </row>
    <row r="3" spans="1:12" s="18" customFormat="1" ht="27.75" customHeight="1">
      <c r="A3" s="12">
        <v>2</v>
      </c>
      <c r="B3" s="91" t="s">
        <v>31</v>
      </c>
      <c r="C3" s="94">
        <v>1</v>
      </c>
      <c r="D3" s="13">
        <v>2</v>
      </c>
      <c r="E3" s="32" t="s">
        <v>32</v>
      </c>
      <c r="F3" s="96">
        <v>0</v>
      </c>
      <c r="G3" s="26">
        <v>2</v>
      </c>
      <c r="H3" s="35" t="s">
        <v>33</v>
      </c>
      <c r="I3" s="97">
        <v>0</v>
      </c>
      <c r="J3" s="16">
        <v>2</v>
      </c>
      <c r="K3" s="98" t="s">
        <v>34</v>
      </c>
      <c r="L3" s="94">
        <v>1</v>
      </c>
    </row>
    <row r="4" spans="1:12" s="18" customFormat="1" ht="27.75" customHeight="1">
      <c r="A4" s="12">
        <v>3</v>
      </c>
      <c r="B4" s="99" t="s">
        <v>35</v>
      </c>
      <c r="C4" s="94">
        <v>1</v>
      </c>
      <c r="D4" s="13">
        <v>3</v>
      </c>
      <c r="E4" s="32" t="s">
        <v>36</v>
      </c>
      <c r="F4" s="96">
        <v>0</v>
      </c>
      <c r="G4" s="26">
        <v>3</v>
      </c>
      <c r="H4" s="35" t="s">
        <v>37</v>
      </c>
      <c r="I4" s="97">
        <v>0</v>
      </c>
      <c r="J4" s="16">
        <v>3</v>
      </c>
      <c r="K4" s="98" t="s">
        <v>38</v>
      </c>
      <c r="L4" s="94">
        <v>1</v>
      </c>
    </row>
    <row r="5" spans="1:12" s="19" customFormat="1" ht="27.75" customHeight="1">
      <c r="A5" s="29">
        <v>4</v>
      </c>
      <c r="B5" s="30" t="s">
        <v>39</v>
      </c>
      <c r="C5" s="93">
        <v>0</v>
      </c>
      <c r="D5" s="13">
        <v>4</v>
      </c>
      <c r="E5" s="37" t="s">
        <v>40</v>
      </c>
      <c r="F5" s="96">
        <v>0</v>
      </c>
      <c r="G5" s="26"/>
      <c r="H5" s="100"/>
      <c r="I5" s="27"/>
      <c r="J5" s="16">
        <v>4</v>
      </c>
      <c r="K5" s="28" t="s">
        <v>41</v>
      </c>
      <c r="L5" s="95">
        <v>1</v>
      </c>
    </row>
    <row r="6" spans="1:12" s="19" customFormat="1" ht="27.75" customHeight="1">
      <c r="A6" s="29">
        <v>5</v>
      </c>
      <c r="B6" s="38" t="s">
        <v>42</v>
      </c>
      <c r="C6" s="93">
        <v>0</v>
      </c>
      <c r="D6" s="34">
        <v>5</v>
      </c>
      <c r="E6" s="32" t="s">
        <v>43</v>
      </c>
      <c r="F6" s="96">
        <v>0</v>
      </c>
      <c r="G6" s="26"/>
      <c r="H6" s="100"/>
      <c r="I6" s="27"/>
      <c r="J6" s="16">
        <v>5</v>
      </c>
      <c r="K6" s="28" t="s">
        <v>44</v>
      </c>
      <c r="L6" s="95">
        <v>0</v>
      </c>
    </row>
    <row r="7" spans="1:12" s="20" customFormat="1" ht="27.75" customHeight="1">
      <c r="A7" s="29">
        <v>6</v>
      </c>
      <c r="B7" s="31" t="s">
        <v>45</v>
      </c>
      <c r="C7" s="93">
        <v>0</v>
      </c>
      <c r="D7" s="36">
        <v>6</v>
      </c>
      <c r="E7" s="37" t="s">
        <v>46</v>
      </c>
      <c r="F7" s="96">
        <v>0</v>
      </c>
      <c r="G7" s="26"/>
      <c r="H7" s="100"/>
      <c r="I7" s="27"/>
      <c r="J7" s="16">
        <v>6</v>
      </c>
      <c r="K7" s="98" t="s">
        <v>47</v>
      </c>
      <c r="L7" s="101">
        <v>0</v>
      </c>
    </row>
    <row r="8" spans="1:12" s="20" customFormat="1" ht="27.75" customHeight="1">
      <c r="A8" s="29">
        <v>7</v>
      </c>
      <c r="B8" s="31" t="s">
        <v>48</v>
      </c>
      <c r="C8" s="93">
        <v>0</v>
      </c>
      <c r="D8" s="13"/>
      <c r="E8" s="102"/>
      <c r="F8" s="8"/>
      <c r="G8" s="26"/>
      <c r="H8" s="100"/>
      <c r="I8" s="27"/>
      <c r="J8" s="16">
        <v>7</v>
      </c>
      <c r="K8" s="28" t="s">
        <v>49</v>
      </c>
      <c r="L8" s="95">
        <v>0</v>
      </c>
    </row>
    <row r="9" spans="1:12" s="21" customFormat="1" ht="27.75" customHeight="1">
      <c r="A9" s="29">
        <v>8</v>
      </c>
      <c r="B9" s="31" t="s">
        <v>50</v>
      </c>
      <c r="C9" s="93">
        <v>0</v>
      </c>
      <c r="D9" s="13"/>
      <c r="E9" s="102"/>
      <c r="F9" s="8"/>
      <c r="G9" s="26"/>
      <c r="H9" s="100"/>
      <c r="I9" s="27"/>
      <c r="J9" s="16">
        <v>8</v>
      </c>
      <c r="K9" s="33" t="s">
        <v>51</v>
      </c>
      <c r="L9" s="103">
        <v>0.05</v>
      </c>
    </row>
    <row r="10" spans="1:12" s="21" customFormat="1" ht="26.45">
      <c r="A10" s="12"/>
      <c r="B10" s="99"/>
      <c r="C10" s="7"/>
      <c r="D10" s="13"/>
      <c r="E10" s="102"/>
      <c r="F10" s="8"/>
      <c r="G10" s="15"/>
      <c r="H10" s="82"/>
      <c r="I10" s="9"/>
      <c r="J10" s="16">
        <v>9</v>
      </c>
      <c r="K10" s="33" t="s">
        <v>52</v>
      </c>
      <c r="L10" s="95">
        <v>3</v>
      </c>
    </row>
    <row r="11" spans="1:12" s="21" customFormat="1" ht="26.45">
      <c r="A11" s="12"/>
      <c r="B11" s="99"/>
      <c r="C11" s="7"/>
      <c r="D11" s="13"/>
      <c r="E11" s="102"/>
      <c r="F11" s="8"/>
      <c r="G11" s="15"/>
      <c r="H11" s="82"/>
      <c r="I11" s="9"/>
      <c r="J11" s="16">
        <v>10</v>
      </c>
      <c r="K11" s="33" t="s">
        <v>53</v>
      </c>
      <c r="L11" s="95">
        <v>0</v>
      </c>
    </row>
    <row r="12" spans="1:12" s="21" customFormat="1" ht="17.45">
      <c r="A12" s="12"/>
      <c r="B12" s="99"/>
      <c r="C12" s="7"/>
      <c r="D12" s="13"/>
      <c r="E12" s="102"/>
      <c r="F12" s="8"/>
      <c r="G12" s="15"/>
      <c r="H12" s="82"/>
      <c r="I12" s="9"/>
      <c r="J12" s="16">
        <v>11</v>
      </c>
      <c r="K12" s="33" t="s">
        <v>54</v>
      </c>
      <c r="L12" s="95">
        <v>0</v>
      </c>
    </row>
    <row r="13" spans="1:12" ht="17.45">
      <c r="B13" s="99"/>
      <c r="E13" s="102"/>
      <c r="H13" s="82"/>
      <c r="J13" s="16">
        <v>12</v>
      </c>
      <c r="K13" s="33" t="s">
        <v>55</v>
      </c>
      <c r="L13" s="95">
        <v>1</v>
      </c>
    </row>
    <row r="14" spans="1:12" ht="17.45">
      <c r="B14" s="99"/>
      <c r="E14" s="102"/>
      <c r="H14" s="82"/>
      <c r="J14" s="16">
        <v>13</v>
      </c>
      <c r="K14" s="33" t="s">
        <v>56</v>
      </c>
      <c r="L14" s="95">
        <v>0</v>
      </c>
    </row>
    <row r="15" spans="1:12" ht="17.45">
      <c r="B15" s="99"/>
      <c r="H15" s="82"/>
      <c r="J15" s="16">
        <v>14</v>
      </c>
      <c r="K15" s="28" t="s">
        <v>57</v>
      </c>
      <c r="L15" s="95">
        <v>0</v>
      </c>
    </row>
    <row r="16" spans="1:12" ht="27.75" customHeight="1">
      <c r="B16" s="99"/>
      <c r="H16" s="82"/>
      <c r="J16" s="16">
        <v>15</v>
      </c>
      <c r="K16" s="28" t="s">
        <v>58</v>
      </c>
      <c r="L16" s="95">
        <v>0</v>
      </c>
    </row>
    <row r="17" spans="2:12" ht="27.75" customHeight="1">
      <c r="B17" s="99"/>
      <c r="H17" s="82"/>
      <c r="J17" s="16">
        <v>16</v>
      </c>
      <c r="K17" s="28" t="s">
        <v>59</v>
      </c>
      <c r="L17" s="104">
        <v>3</v>
      </c>
    </row>
    <row r="18" spans="2:12" ht="26.45">
      <c r="B18" s="99"/>
      <c r="H18" s="82"/>
      <c r="J18" s="16">
        <v>17</v>
      </c>
      <c r="K18" s="28" t="s">
        <v>60</v>
      </c>
      <c r="L18" s="95">
        <v>0</v>
      </c>
    </row>
    <row r="19" spans="2:12" ht="27.75" customHeight="1">
      <c r="B19" s="99"/>
      <c r="H19" s="82"/>
      <c r="J19" s="16">
        <v>18</v>
      </c>
      <c r="K19" s="28" t="s">
        <v>61</v>
      </c>
      <c r="L19" s="95">
        <v>0</v>
      </c>
    </row>
  </sheetData>
  <phoneticPr fontId="5" type="noConversion"/>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426"/>
  <sheetViews>
    <sheetView zoomScale="80" zoomScaleNormal="80" workbookViewId="0">
      <selection activeCell="F12" sqref="F12"/>
    </sheetView>
  </sheetViews>
  <sheetFormatPr defaultColWidth="11.5703125" defaultRowHeight="13.9"/>
  <cols>
    <col min="1" max="1" width="14.42578125" style="107" bestFit="1" customWidth="1"/>
    <col min="2" max="2" width="29.28515625" style="75" customWidth="1"/>
    <col min="3" max="3" width="13.7109375" style="76" customWidth="1"/>
    <col min="4" max="4" width="19.140625" style="77" bestFit="1" customWidth="1"/>
    <col min="5" max="5" width="22" style="75" customWidth="1"/>
    <col min="6" max="6" width="15.7109375" style="74" customWidth="1"/>
    <col min="7" max="7" width="22" style="75" customWidth="1"/>
    <col min="8" max="8" width="15.7109375" style="74" customWidth="1"/>
    <col min="9" max="9" width="6" style="44" customWidth="1"/>
    <col min="10" max="10" width="15.5703125" style="75" bestFit="1" customWidth="1"/>
    <col min="11" max="11" width="11.85546875" style="75" customWidth="1"/>
    <col min="12" max="14" width="6.7109375" style="74" customWidth="1"/>
    <col min="15" max="15" width="14.140625" style="74" bestFit="1" customWidth="1"/>
    <col min="16" max="16" width="9.85546875" style="74" customWidth="1"/>
    <col min="17" max="17" width="2.7109375" style="73" customWidth="1"/>
    <col min="18" max="18" width="9.85546875" style="74" bestFit="1" customWidth="1"/>
    <col min="19" max="19" width="13.42578125" style="73" bestFit="1" customWidth="1"/>
    <col min="20" max="20" width="21.140625" style="74" bestFit="1" customWidth="1"/>
    <col min="21" max="21" width="24.7109375" style="74" customWidth="1"/>
    <col min="22" max="16384" width="11.5703125" style="74"/>
  </cols>
  <sheetData>
    <row r="1" spans="1:21" s="51" customFormat="1" ht="14.45" thickBot="1">
      <c r="A1" s="39">
        <v>0</v>
      </c>
      <c r="B1" s="40" t="s">
        <v>2</v>
      </c>
      <c r="C1" s="41" t="s">
        <v>62</v>
      </c>
      <c r="D1" s="42"/>
      <c r="E1" s="40" t="s">
        <v>63</v>
      </c>
      <c r="F1" s="43" t="s">
        <v>64</v>
      </c>
      <c r="G1" s="40" t="s">
        <v>65</v>
      </c>
      <c r="H1" s="43" t="s">
        <v>66</v>
      </c>
      <c r="I1" s="44"/>
      <c r="J1" s="45" t="s">
        <v>67</v>
      </c>
      <c r="K1" s="46" t="s">
        <v>68</v>
      </c>
      <c r="L1" s="47"/>
      <c r="M1" s="47"/>
      <c r="N1" s="47"/>
      <c r="O1" s="47"/>
      <c r="P1" s="48"/>
      <c r="Q1" s="49"/>
      <c r="R1" s="50" t="s">
        <v>69</v>
      </c>
      <c r="S1" s="50" t="s">
        <v>70</v>
      </c>
      <c r="T1" s="46" t="s">
        <v>71</v>
      </c>
      <c r="U1" s="50" t="s">
        <v>72</v>
      </c>
    </row>
    <row r="2" spans="1:21" s="63" customFormat="1">
      <c r="A2" s="52">
        <v>0</v>
      </c>
      <c r="B2" s="53">
        <v>0</v>
      </c>
      <c r="C2" s="54">
        <v>0</v>
      </c>
      <c r="D2" s="55"/>
      <c r="E2" s="53">
        <v>0</v>
      </c>
      <c r="F2" s="54">
        <v>0</v>
      </c>
      <c r="G2" s="53">
        <v>0</v>
      </c>
      <c r="H2" s="54">
        <v>0</v>
      </c>
      <c r="I2" s="56"/>
      <c r="J2" s="57">
        <v>0</v>
      </c>
      <c r="K2" s="58">
        <v>0</v>
      </c>
      <c r="L2" s="59"/>
      <c r="M2" s="59"/>
      <c r="N2" s="59"/>
      <c r="O2" s="59"/>
      <c r="P2" s="60"/>
      <c r="Q2" s="61"/>
      <c r="R2" s="62">
        <v>0</v>
      </c>
      <c r="S2" s="62">
        <v>0</v>
      </c>
      <c r="T2" s="62">
        <v>0</v>
      </c>
      <c r="U2" s="62">
        <v>0</v>
      </c>
    </row>
    <row r="3" spans="1:21" ht="166.15" thickBot="1">
      <c r="A3" s="64">
        <v>0</v>
      </c>
      <c r="B3" s="65" t="s">
        <v>73</v>
      </c>
      <c r="C3" s="65" t="s">
        <v>74</v>
      </c>
      <c r="D3" s="66" t="s">
        <v>75</v>
      </c>
      <c r="E3" s="65" t="s">
        <v>76</v>
      </c>
      <c r="F3" s="67" t="s">
        <v>77</v>
      </c>
      <c r="G3" s="65" t="s">
        <v>78</v>
      </c>
      <c r="H3" s="67" t="s">
        <v>79</v>
      </c>
      <c r="I3" s="44" t="s">
        <v>80</v>
      </c>
      <c r="J3" s="68"/>
      <c r="K3" s="69" t="s">
        <v>81</v>
      </c>
      <c r="L3" s="70" t="s">
        <v>82</v>
      </c>
      <c r="M3" s="70" t="s">
        <v>82</v>
      </c>
      <c r="N3" s="70" t="s">
        <v>82</v>
      </c>
      <c r="O3" s="71" t="s">
        <v>83</v>
      </c>
      <c r="P3" s="72" t="s">
        <v>84</v>
      </c>
      <c r="R3" s="65" t="s">
        <v>85</v>
      </c>
      <c r="T3" s="65" t="s">
        <v>86</v>
      </c>
      <c r="U3" s="65" t="s">
        <v>87</v>
      </c>
    </row>
    <row r="4" spans="1:21" ht="14.45" thickBot="1">
      <c r="A4" s="92" t="s">
        <v>4</v>
      </c>
      <c r="H4" s="74">
        <v>0</v>
      </c>
      <c r="I4" s="44">
        <v>1</v>
      </c>
      <c r="J4" s="74"/>
      <c r="K4" s="85">
        <v>27</v>
      </c>
      <c r="N4" s="78"/>
      <c r="P4" s="85">
        <v>25</v>
      </c>
      <c r="R4" s="80">
        <v>35</v>
      </c>
      <c r="T4" s="46">
        <v>1</v>
      </c>
      <c r="U4" s="46">
        <f>2*365</f>
        <v>730</v>
      </c>
    </row>
    <row r="5" spans="1:21" ht="14.45" thickBot="1">
      <c r="A5" s="92" t="s">
        <v>5</v>
      </c>
      <c r="H5" s="74">
        <v>0</v>
      </c>
      <c r="I5" s="44">
        <v>2</v>
      </c>
      <c r="J5" s="74"/>
      <c r="K5" s="85">
        <v>32</v>
      </c>
      <c r="N5" s="78"/>
      <c r="P5" s="85">
        <v>26</v>
      </c>
      <c r="R5" s="105">
        <v>588</v>
      </c>
      <c r="T5" s="46">
        <v>7</v>
      </c>
      <c r="U5" s="50">
        <v>30</v>
      </c>
    </row>
    <row r="6" spans="1:21" ht="14.45" thickBot="1">
      <c r="A6" s="92" t="s">
        <v>6</v>
      </c>
      <c r="H6" s="74">
        <v>0</v>
      </c>
      <c r="I6" s="44">
        <v>3</v>
      </c>
      <c r="J6" s="74"/>
      <c r="K6" s="85">
        <v>33</v>
      </c>
      <c r="N6" s="78"/>
      <c r="O6" s="74" t="s">
        <v>88</v>
      </c>
      <c r="P6" s="85">
        <v>27</v>
      </c>
      <c r="R6" s="105">
        <v>173</v>
      </c>
      <c r="T6" s="50">
        <v>1E-4</v>
      </c>
    </row>
    <row r="7" spans="1:21" ht="14.45" thickBot="1">
      <c r="A7" s="92" t="s">
        <v>7</v>
      </c>
      <c r="H7" s="74">
        <v>0</v>
      </c>
      <c r="I7" s="44">
        <v>4</v>
      </c>
      <c r="J7" s="74"/>
      <c r="K7" s="85">
        <v>26</v>
      </c>
      <c r="N7" s="78"/>
      <c r="O7" s="74" t="s">
        <v>89</v>
      </c>
      <c r="P7" s="85">
        <v>28</v>
      </c>
      <c r="R7" s="105">
        <v>332</v>
      </c>
      <c r="T7" s="81">
        <v>10000000</v>
      </c>
    </row>
    <row r="8" spans="1:21">
      <c r="A8" s="92" t="s">
        <v>8</v>
      </c>
      <c r="H8" s="74">
        <v>0</v>
      </c>
      <c r="I8" s="44">
        <v>5</v>
      </c>
      <c r="J8" s="74"/>
      <c r="K8" s="85">
        <v>27</v>
      </c>
      <c r="N8" s="78"/>
      <c r="P8" s="85">
        <v>29</v>
      </c>
      <c r="R8" s="105"/>
      <c r="T8" s="46">
        <v>10</v>
      </c>
    </row>
    <row r="9" spans="1:21">
      <c r="A9" s="92" t="s">
        <v>9</v>
      </c>
      <c r="H9" s="74">
        <v>0</v>
      </c>
      <c r="I9" s="44">
        <v>6</v>
      </c>
      <c r="J9" s="74"/>
      <c r="K9" s="85">
        <v>31</v>
      </c>
      <c r="N9" s="78"/>
      <c r="P9" s="85">
        <v>30</v>
      </c>
      <c r="R9" s="105"/>
      <c r="T9" s="105"/>
    </row>
    <row r="10" spans="1:21">
      <c r="A10" s="92" t="s">
        <v>10</v>
      </c>
      <c r="H10" s="74">
        <v>0</v>
      </c>
      <c r="I10" s="44">
        <v>7</v>
      </c>
      <c r="J10" s="74"/>
      <c r="K10" s="85">
        <v>35</v>
      </c>
      <c r="N10" s="78"/>
      <c r="O10" s="79"/>
      <c r="P10" s="79"/>
      <c r="R10" s="105"/>
      <c r="T10" s="105"/>
    </row>
    <row r="11" spans="1:21">
      <c r="A11" s="92" t="s">
        <v>11</v>
      </c>
      <c r="H11" s="74">
        <v>0</v>
      </c>
      <c r="I11" s="44">
        <v>8</v>
      </c>
      <c r="J11" s="74"/>
      <c r="K11" s="85">
        <v>25</v>
      </c>
      <c r="N11" s="78"/>
      <c r="O11" s="79"/>
      <c r="P11" s="79"/>
      <c r="R11" s="105"/>
      <c r="T11" s="105"/>
    </row>
    <row r="12" spans="1:21">
      <c r="A12" s="92" t="s">
        <v>12</v>
      </c>
      <c r="H12" s="74">
        <v>0</v>
      </c>
      <c r="I12" s="44">
        <v>9</v>
      </c>
      <c r="J12" s="74"/>
      <c r="K12" s="85">
        <v>27</v>
      </c>
      <c r="N12" s="78"/>
      <c r="O12" s="79"/>
      <c r="P12" s="79"/>
      <c r="R12" s="105"/>
      <c r="T12" s="105"/>
    </row>
    <row r="13" spans="1:21">
      <c r="A13" s="92" t="s">
        <v>13</v>
      </c>
      <c r="H13" s="74">
        <v>0</v>
      </c>
      <c r="I13" s="44">
        <v>10</v>
      </c>
      <c r="J13" s="74"/>
      <c r="K13" s="85">
        <v>30</v>
      </c>
      <c r="N13" s="78"/>
      <c r="O13" s="79"/>
      <c r="P13" s="79"/>
      <c r="R13" s="105"/>
      <c r="T13" s="105"/>
    </row>
    <row r="14" spans="1:21">
      <c r="A14" s="92" t="s">
        <v>14</v>
      </c>
      <c r="H14" s="74">
        <v>0</v>
      </c>
      <c r="I14" s="44">
        <v>11</v>
      </c>
      <c r="J14" s="74"/>
      <c r="K14" s="85">
        <v>25</v>
      </c>
      <c r="N14" s="78"/>
      <c r="O14" s="79"/>
      <c r="P14" s="79"/>
      <c r="R14" s="105"/>
      <c r="T14" s="105"/>
    </row>
    <row r="15" spans="1:21">
      <c r="A15" s="92" t="s">
        <v>15</v>
      </c>
      <c r="H15" s="74">
        <v>0</v>
      </c>
      <c r="I15" s="44">
        <v>12</v>
      </c>
      <c r="J15" s="74"/>
      <c r="K15" s="85">
        <v>27</v>
      </c>
      <c r="N15" s="78"/>
      <c r="O15" s="79"/>
      <c r="P15" s="79"/>
      <c r="R15" s="105"/>
      <c r="T15" s="105"/>
    </row>
    <row r="16" spans="1:21">
      <c r="A16" s="89" t="s">
        <v>16</v>
      </c>
      <c r="H16" s="74">
        <v>0</v>
      </c>
      <c r="I16" s="44">
        <v>13</v>
      </c>
      <c r="J16" s="74"/>
      <c r="K16" s="85">
        <v>28</v>
      </c>
      <c r="N16" s="78"/>
      <c r="O16" s="79"/>
      <c r="P16" s="79"/>
      <c r="R16" s="105"/>
      <c r="T16" s="105"/>
    </row>
    <row r="17" spans="1:16" ht="13.15" customHeight="1">
      <c r="A17" s="89" t="s">
        <v>17</v>
      </c>
      <c r="H17" s="74">
        <v>0</v>
      </c>
      <c r="I17" s="44">
        <v>14</v>
      </c>
      <c r="J17" s="74"/>
      <c r="K17" s="85">
        <v>29</v>
      </c>
      <c r="N17" s="78"/>
      <c r="O17" s="79"/>
      <c r="P17" s="79"/>
    </row>
    <row r="18" spans="1:16">
      <c r="A18" s="89" t="s">
        <v>18</v>
      </c>
      <c r="H18" s="74">
        <v>0</v>
      </c>
      <c r="I18" s="44">
        <v>15</v>
      </c>
      <c r="J18" s="74"/>
      <c r="K18" s="85">
        <v>30</v>
      </c>
      <c r="N18" s="78"/>
      <c r="O18" s="79"/>
      <c r="P18" s="79"/>
    </row>
    <row r="19" spans="1:16" ht="52.9">
      <c r="A19" s="89" t="s">
        <v>19</v>
      </c>
      <c r="H19" s="74">
        <v>0</v>
      </c>
      <c r="I19" s="44">
        <v>16</v>
      </c>
      <c r="J19" s="74"/>
      <c r="K19" s="85">
        <v>31</v>
      </c>
      <c r="N19" s="78"/>
      <c r="O19" s="79"/>
      <c r="P19" s="79"/>
    </row>
    <row r="20" spans="1:16" ht="52.9">
      <c r="A20" s="89" t="s">
        <v>20</v>
      </c>
      <c r="H20" s="74">
        <v>0</v>
      </c>
      <c r="I20" s="44">
        <v>17</v>
      </c>
      <c r="J20" s="74"/>
      <c r="K20" s="85">
        <v>34</v>
      </c>
      <c r="N20" s="78"/>
      <c r="O20" s="79"/>
      <c r="P20" s="85"/>
    </row>
    <row r="21" spans="1:16" ht="52.9">
      <c r="A21" s="89" t="s">
        <v>21</v>
      </c>
      <c r="H21" s="74">
        <v>0</v>
      </c>
      <c r="I21" s="44">
        <v>18</v>
      </c>
      <c r="J21" s="74"/>
      <c r="K21" s="85">
        <v>35</v>
      </c>
      <c r="N21" s="78"/>
      <c r="O21" s="79"/>
      <c r="P21" s="85"/>
    </row>
    <row r="22" spans="1:16" ht="79.150000000000006">
      <c r="A22" s="89" t="s">
        <v>22</v>
      </c>
      <c r="H22" s="74">
        <v>0</v>
      </c>
      <c r="I22" s="44">
        <v>19</v>
      </c>
      <c r="J22" s="74"/>
      <c r="K22" s="85">
        <v>27</v>
      </c>
      <c r="N22" s="78"/>
      <c r="O22" s="79"/>
      <c r="P22" s="85"/>
    </row>
    <row r="23" spans="1:16">
      <c r="A23" s="92"/>
      <c r="H23" s="74">
        <v>0</v>
      </c>
      <c r="I23" s="44">
        <v>20</v>
      </c>
      <c r="J23" s="74"/>
      <c r="K23" s="85">
        <v>28</v>
      </c>
      <c r="N23" s="78"/>
      <c r="O23" s="79"/>
      <c r="P23" s="85"/>
    </row>
    <row r="24" spans="1:16">
      <c r="A24" s="92"/>
      <c r="H24" s="74">
        <v>0</v>
      </c>
      <c r="I24" s="44">
        <v>21</v>
      </c>
      <c r="J24" s="74"/>
      <c r="K24" s="85">
        <v>30</v>
      </c>
      <c r="N24" s="78"/>
      <c r="O24" s="79"/>
      <c r="P24" s="85"/>
    </row>
    <row r="25" spans="1:16">
      <c r="A25" s="92"/>
      <c r="H25" s="74">
        <v>0</v>
      </c>
      <c r="I25" s="44">
        <v>22</v>
      </c>
      <c r="J25" s="74"/>
      <c r="K25" s="85">
        <v>31</v>
      </c>
      <c r="N25" s="78"/>
      <c r="O25" s="79"/>
      <c r="P25" s="85"/>
    </row>
    <row r="26" spans="1:16">
      <c r="A26" s="92"/>
      <c r="H26" s="74">
        <v>0</v>
      </c>
      <c r="I26" s="44">
        <v>23</v>
      </c>
      <c r="J26" s="74"/>
      <c r="K26" s="85">
        <v>32</v>
      </c>
      <c r="N26" s="78"/>
      <c r="O26" s="79"/>
      <c r="P26" s="85"/>
    </row>
    <row r="27" spans="1:16">
      <c r="A27" s="92"/>
      <c r="H27" s="74">
        <v>0</v>
      </c>
      <c r="I27" s="44">
        <v>24</v>
      </c>
      <c r="J27" s="74"/>
      <c r="K27" s="85">
        <v>33</v>
      </c>
      <c r="N27" s="78"/>
      <c r="O27" s="79"/>
      <c r="P27" s="85"/>
    </row>
    <row r="28" spans="1:16">
      <c r="A28" s="92"/>
      <c r="H28" s="74">
        <v>0</v>
      </c>
      <c r="I28" s="44">
        <v>25</v>
      </c>
      <c r="J28" s="74"/>
      <c r="K28" s="85">
        <v>34</v>
      </c>
      <c r="N28" s="78"/>
      <c r="O28" s="79"/>
      <c r="P28" s="85"/>
    </row>
    <row r="29" spans="1:16">
      <c r="A29" s="92"/>
      <c r="H29" s="74">
        <v>0</v>
      </c>
      <c r="I29" s="44">
        <v>26</v>
      </c>
      <c r="J29" s="74"/>
      <c r="K29" s="85">
        <v>35</v>
      </c>
      <c r="N29" s="78"/>
      <c r="O29" s="79"/>
      <c r="P29" s="85"/>
    </row>
    <row r="30" spans="1:16">
      <c r="A30" s="92"/>
      <c r="H30" s="74">
        <v>0</v>
      </c>
      <c r="I30" s="44">
        <v>27</v>
      </c>
      <c r="J30" s="74"/>
      <c r="K30" s="85">
        <v>25</v>
      </c>
      <c r="N30" s="78"/>
      <c r="P30" s="85"/>
    </row>
    <row r="31" spans="1:16">
      <c r="A31" s="92"/>
      <c r="H31" s="74">
        <v>0</v>
      </c>
      <c r="I31" s="44">
        <v>28</v>
      </c>
      <c r="J31" s="74"/>
      <c r="K31" s="85">
        <v>26</v>
      </c>
      <c r="N31" s="78"/>
      <c r="P31" s="85"/>
    </row>
    <row r="32" spans="1:16">
      <c r="A32" s="92"/>
      <c r="H32" s="74">
        <v>0</v>
      </c>
      <c r="I32" s="44">
        <v>29</v>
      </c>
      <c r="J32" s="74"/>
      <c r="K32" s="85">
        <v>27</v>
      </c>
      <c r="N32" s="78"/>
      <c r="P32" s="85"/>
    </row>
    <row r="33" spans="1:16">
      <c r="A33" s="92"/>
      <c r="H33" s="74">
        <v>0</v>
      </c>
      <c r="I33" s="44">
        <v>30</v>
      </c>
      <c r="J33" s="74"/>
      <c r="K33" s="85">
        <v>31</v>
      </c>
      <c r="N33" s="78"/>
      <c r="P33" s="85"/>
    </row>
    <row r="34" spans="1:16">
      <c r="A34" s="92"/>
      <c r="H34" s="74">
        <v>0</v>
      </c>
      <c r="I34" s="44">
        <v>31</v>
      </c>
      <c r="J34" s="74"/>
      <c r="K34" s="85">
        <v>35</v>
      </c>
      <c r="N34" s="78"/>
      <c r="P34" s="85"/>
    </row>
    <row r="35" spans="1:16">
      <c r="A35" s="92"/>
      <c r="H35" s="74">
        <v>0</v>
      </c>
      <c r="I35" s="44">
        <v>32</v>
      </c>
      <c r="J35" s="74"/>
      <c r="K35" s="85">
        <v>25</v>
      </c>
      <c r="N35" s="78"/>
      <c r="P35" s="85"/>
    </row>
    <row r="36" spans="1:16">
      <c r="A36" s="92"/>
      <c r="H36" s="74">
        <v>0</v>
      </c>
      <c r="I36" s="44">
        <v>33</v>
      </c>
      <c r="J36" s="74"/>
      <c r="K36" s="85">
        <v>26</v>
      </c>
      <c r="N36" s="78"/>
      <c r="P36" s="85"/>
    </row>
    <row r="37" spans="1:16">
      <c r="A37" s="92"/>
      <c r="H37" s="74">
        <v>0</v>
      </c>
      <c r="I37" s="44">
        <v>34</v>
      </c>
      <c r="J37" s="74"/>
      <c r="K37" s="85">
        <v>27</v>
      </c>
      <c r="N37" s="78"/>
      <c r="P37" s="85"/>
    </row>
    <row r="38" spans="1:16">
      <c r="A38" s="92"/>
      <c r="H38" s="74">
        <v>0</v>
      </c>
      <c r="I38" s="44">
        <v>35</v>
      </c>
      <c r="J38" s="74"/>
      <c r="K38" s="85">
        <v>28</v>
      </c>
      <c r="N38" s="78"/>
      <c r="P38" s="85"/>
    </row>
    <row r="39" spans="1:16">
      <c r="A39" s="92"/>
      <c r="H39" s="74">
        <v>0</v>
      </c>
      <c r="I39" s="44">
        <v>36</v>
      </c>
      <c r="J39" s="74"/>
      <c r="K39" s="85">
        <v>31</v>
      </c>
      <c r="N39" s="78"/>
      <c r="P39" s="85"/>
    </row>
    <row r="40" spans="1:16">
      <c r="A40" s="92"/>
      <c r="H40" s="74">
        <v>0</v>
      </c>
      <c r="I40" s="44">
        <v>37</v>
      </c>
      <c r="J40" s="74"/>
      <c r="K40" s="85">
        <v>32</v>
      </c>
      <c r="N40" s="78"/>
      <c r="P40" s="85"/>
    </row>
    <row r="41" spans="1:16">
      <c r="A41" s="92"/>
      <c r="H41" s="74">
        <v>0</v>
      </c>
      <c r="I41" s="44">
        <v>38</v>
      </c>
      <c r="J41" s="74"/>
      <c r="K41" s="85">
        <v>33</v>
      </c>
      <c r="N41" s="78"/>
      <c r="P41" s="85"/>
    </row>
    <row r="42" spans="1:16">
      <c r="A42" s="92"/>
      <c r="H42" s="74">
        <v>0</v>
      </c>
      <c r="I42" s="44">
        <v>39</v>
      </c>
      <c r="J42" s="74"/>
      <c r="K42" s="85">
        <v>25</v>
      </c>
      <c r="N42" s="78"/>
      <c r="P42" s="85"/>
    </row>
    <row r="43" spans="1:16">
      <c r="A43" s="92"/>
      <c r="H43" s="74">
        <v>0</v>
      </c>
      <c r="I43" s="44">
        <v>40</v>
      </c>
      <c r="J43" s="74"/>
      <c r="K43" s="85">
        <v>27</v>
      </c>
      <c r="N43" s="78"/>
      <c r="P43" s="85"/>
    </row>
    <row r="44" spans="1:16">
      <c r="A44" s="92"/>
      <c r="H44" s="74">
        <v>0</v>
      </c>
      <c r="I44" s="44">
        <v>41</v>
      </c>
      <c r="J44" s="74"/>
      <c r="K44" s="85">
        <v>28</v>
      </c>
      <c r="N44" s="78"/>
      <c r="P44" s="85"/>
    </row>
    <row r="45" spans="1:16">
      <c r="A45" s="92"/>
      <c r="H45" s="74">
        <v>0</v>
      </c>
      <c r="I45" s="44">
        <v>42</v>
      </c>
      <c r="J45" s="74"/>
      <c r="K45" s="85">
        <v>31</v>
      </c>
      <c r="N45" s="78"/>
      <c r="P45" s="85"/>
    </row>
    <row r="46" spans="1:16">
      <c r="A46" s="92"/>
      <c r="H46" s="74">
        <v>0</v>
      </c>
      <c r="I46" s="44">
        <v>43</v>
      </c>
      <c r="J46" s="74"/>
      <c r="K46" s="85">
        <v>32</v>
      </c>
      <c r="N46" s="78"/>
      <c r="P46" s="85"/>
    </row>
    <row r="47" spans="1:16">
      <c r="A47" s="92"/>
      <c r="H47" s="74">
        <v>0</v>
      </c>
      <c r="I47" s="44">
        <v>44</v>
      </c>
      <c r="J47" s="74"/>
      <c r="K47" s="85">
        <v>33</v>
      </c>
      <c r="N47" s="78"/>
      <c r="P47" s="85"/>
    </row>
    <row r="48" spans="1:16">
      <c r="A48" s="92"/>
      <c r="H48" s="74">
        <v>0</v>
      </c>
      <c r="I48" s="44">
        <v>45</v>
      </c>
      <c r="J48" s="74"/>
      <c r="K48" s="85">
        <v>34</v>
      </c>
      <c r="N48" s="78"/>
      <c r="P48" s="85"/>
    </row>
    <row r="49" spans="1:16">
      <c r="A49" s="92"/>
      <c r="H49" s="74">
        <v>0</v>
      </c>
      <c r="I49" s="44">
        <v>46</v>
      </c>
      <c r="J49" s="74"/>
      <c r="K49" s="85">
        <v>35</v>
      </c>
      <c r="N49" s="78"/>
      <c r="P49" s="85"/>
    </row>
    <row r="50" spans="1:16">
      <c r="A50" s="92"/>
      <c r="H50" s="74">
        <v>0</v>
      </c>
      <c r="I50" s="44">
        <v>47</v>
      </c>
      <c r="J50" s="74"/>
      <c r="K50" s="85">
        <v>25</v>
      </c>
      <c r="N50" s="78"/>
      <c r="P50" s="85"/>
    </row>
    <row r="51" spans="1:16">
      <c r="A51" s="92"/>
      <c r="H51" s="74">
        <v>0</v>
      </c>
      <c r="I51" s="44">
        <v>48</v>
      </c>
      <c r="J51" s="74"/>
      <c r="K51" s="85">
        <v>26</v>
      </c>
      <c r="N51" s="78"/>
      <c r="P51" s="85"/>
    </row>
    <row r="52" spans="1:16">
      <c r="A52" s="92"/>
      <c r="H52" s="74">
        <v>0</v>
      </c>
      <c r="I52" s="44">
        <v>49</v>
      </c>
      <c r="J52" s="74"/>
      <c r="K52" s="85">
        <v>28</v>
      </c>
      <c r="N52" s="78"/>
      <c r="P52" s="85"/>
    </row>
    <row r="53" spans="1:16">
      <c r="A53" s="92"/>
      <c r="H53" s="74">
        <v>0</v>
      </c>
      <c r="I53" s="44">
        <v>50</v>
      </c>
      <c r="J53" s="74"/>
      <c r="K53" s="85">
        <v>29</v>
      </c>
      <c r="N53" s="78"/>
      <c r="P53" s="85"/>
    </row>
    <row r="54" spans="1:16">
      <c r="A54" s="92"/>
      <c r="H54" s="74">
        <v>0</v>
      </c>
      <c r="I54" s="44">
        <v>51</v>
      </c>
      <c r="J54" s="74"/>
      <c r="K54" s="85">
        <v>30</v>
      </c>
      <c r="N54" s="78"/>
      <c r="P54" s="85"/>
    </row>
    <row r="55" spans="1:16">
      <c r="A55" s="92"/>
      <c r="H55" s="74">
        <v>0</v>
      </c>
      <c r="I55" s="44">
        <v>52</v>
      </c>
      <c r="J55" s="74"/>
      <c r="K55" s="85">
        <v>32</v>
      </c>
      <c r="N55" s="78"/>
      <c r="P55" s="85"/>
    </row>
    <row r="56" spans="1:16">
      <c r="A56" s="92"/>
      <c r="H56" s="74">
        <v>0</v>
      </c>
      <c r="I56" s="44">
        <v>53</v>
      </c>
      <c r="J56" s="74"/>
      <c r="K56" s="85">
        <v>34</v>
      </c>
      <c r="N56" s="78"/>
      <c r="P56" s="85"/>
    </row>
    <row r="57" spans="1:16">
      <c r="A57" s="92"/>
      <c r="H57" s="74">
        <v>0</v>
      </c>
      <c r="I57" s="44">
        <v>54</v>
      </c>
      <c r="J57" s="74"/>
      <c r="K57" s="85">
        <v>35</v>
      </c>
      <c r="N57" s="78"/>
      <c r="P57" s="85"/>
    </row>
    <row r="58" spans="1:16">
      <c r="A58" s="106"/>
      <c r="H58" s="74">
        <v>0</v>
      </c>
      <c r="I58" s="44">
        <v>55</v>
      </c>
      <c r="J58" s="74"/>
      <c r="K58" s="85">
        <v>25</v>
      </c>
      <c r="N58" s="78"/>
      <c r="P58" s="85"/>
    </row>
    <row r="59" spans="1:16">
      <c r="A59" s="106"/>
      <c r="H59" s="74">
        <v>0</v>
      </c>
      <c r="I59" s="44">
        <v>56</v>
      </c>
      <c r="J59" s="74"/>
      <c r="K59" s="85">
        <v>26</v>
      </c>
      <c r="N59" s="78"/>
      <c r="P59" s="85"/>
    </row>
    <row r="60" spans="1:16">
      <c r="A60" s="106"/>
      <c r="H60" s="74">
        <v>0</v>
      </c>
      <c r="I60" s="44">
        <v>57</v>
      </c>
      <c r="J60" s="74"/>
      <c r="K60" s="85">
        <v>27</v>
      </c>
      <c r="N60" s="78"/>
      <c r="P60" s="85"/>
    </row>
    <row r="61" spans="1:16">
      <c r="A61" s="106"/>
      <c r="H61" s="74">
        <v>0</v>
      </c>
      <c r="I61" s="44">
        <v>58</v>
      </c>
      <c r="J61" s="74"/>
      <c r="K61" s="85">
        <v>28</v>
      </c>
      <c r="N61" s="78"/>
      <c r="P61" s="85"/>
    </row>
    <row r="62" spans="1:16">
      <c r="A62" s="106"/>
      <c r="H62" s="74">
        <v>0</v>
      </c>
      <c r="I62" s="44">
        <v>59</v>
      </c>
      <c r="J62" s="74"/>
      <c r="K62" s="85">
        <v>29</v>
      </c>
      <c r="N62" s="78"/>
      <c r="P62" s="85"/>
    </row>
    <row r="63" spans="1:16">
      <c r="A63" s="106"/>
      <c r="H63" s="74">
        <v>0</v>
      </c>
      <c r="I63" s="44">
        <v>60</v>
      </c>
      <c r="J63" s="74"/>
      <c r="K63" s="85">
        <v>30</v>
      </c>
      <c r="N63" s="78"/>
      <c r="P63" s="85"/>
    </row>
    <row r="64" spans="1:16">
      <c r="A64" s="106"/>
      <c r="H64" s="74">
        <v>0</v>
      </c>
      <c r="I64" s="44">
        <v>61</v>
      </c>
      <c r="J64" s="74"/>
      <c r="K64" s="85">
        <v>31</v>
      </c>
      <c r="N64" s="78"/>
      <c r="P64" s="85"/>
    </row>
    <row r="65" spans="1:16">
      <c r="A65" s="106"/>
      <c r="H65" s="74">
        <v>0</v>
      </c>
      <c r="I65" s="44">
        <v>62</v>
      </c>
      <c r="J65" s="74"/>
      <c r="K65" s="85">
        <v>32</v>
      </c>
      <c r="N65" s="78"/>
      <c r="P65" s="85"/>
    </row>
    <row r="66" spans="1:16">
      <c r="A66" s="106"/>
      <c r="H66" s="74">
        <v>0</v>
      </c>
      <c r="I66" s="44">
        <v>63</v>
      </c>
      <c r="J66" s="74"/>
      <c r="K66" s="85">
        <v>33</v>
      </c>
      <c r="N66" s="78"/>
      <c r="P66" s="85"/>
    </row>
    <row r="67" spans="1:16">
      <c r="A67" s="106"/>
      <c r="H67" s="74">
        <v>0</v>
      </c>
      <c r="I67" s="44">
        <v>64</v>
      </c>
      <c r="J67" s="74"/>
      <c r="K67" s="85">
        <v>34</v>
      </c>
      <c r="N67" s="78"/>
      <c r="P67" s="85"/>
    </row>
    <row r="68" spans="1:16">
      <c r="A68" s="106"/>
      <c r="H68" s="74">
        <v>0</v>
      </c>
      <c r="I68" s="44">
        <v>65</v>
      </c>
      <c r="J68" s="74"/>
      <c r="K68" s="85">
        <v>35</v>
      </c>
      <c r="N68" s="78"/>
      <c r="P68" s="85"/>
    </row>
    <row r="69" spans="1:16">
      <c r="A69" s="106"/>
      <c r="H69" s="74">
        <v>0</v>
      </c>
      <c r="I69" s="44">
        <v>66</v>
      </c>
      <c r="J69" s="74"/>
      <c r="K69" s="85">
        <v>25</v>
      </c>
      <c r="N69" s="78"/>
      <c r="P69" s="85"/>
    </row>
    <row r="70" spans="1:16">
      <c r="A70" s="106"/>
      <c r="H70" s="74">
        <v>0</v>
      </c>
      <c r="I70" s="44">
        <v>67</v>
      </c>
      <c r="J70" s="74"/>
      <c r="K70" s="85">
        <v>26</v>
      </c>
      <c r="N70" s="78"/>
      <c r="P70" s="85"/>
    </row>
    <row r="71" spans="1:16">
      <c r="A71" s="106"/>
      <c r="H71" s="74">
        <v>0</v>
      </c>
      <c r="I71" s="44">
        <v>68</v>
      </c>
      <c r="J71" s="74"/>
      <c r="K71" s="85">
        <v>27</v>
      </c>
      <c r="N71" s="78"/>
      <c r="P71" s="85"/>
    </row>
    <row r="72" spans="1:16">
      <c r="A72" s="106"/>
      <c r="H72" s="74">
        <v>0</v>
      </c>
      <c r="I72" s="44">
        <v>69</v>
      </c>
      <c r="J72" s="74"/>
      <c r="K72" s="85">
        <v>28</v>
      </c>
      <c r="N72" s="78"/>
      <c r="P72" s="85"/>
    </row>
    <row r="73" spans="1:16">
      <c r="A73" s="106"/>
      <c r="H73" s="74">
        <v>0</v>
      </c>
      <c r="I73" s="44">
        <v>70</v>
      </c>
      <c r="J73" s="74"/>
      <c r="K73" s="85">
        <v>29</v>
      </c>
      <c r="N73" s="78"/>
      <c r="P73" s="85"/>
    </row>
    <row r="74" spans="1:16">
      <c r="A74" s="106"/>
      <c r="H74" s="74">
        <v>0</v>
      </c>
      <c r="I74" s="44">
        <v>71</v>
      </c>
      <c r="J74" s="74"/>
      <c r="K74" s="85">
        <v>30</v>
      </c>
      <c r="N74" s="78"/>
      <c r="P74" s="85"/>
    </row>
    <row r="75" spans="1:16">
      <c r="A75" s="106"/>
      <c r="H75" s="74">
        <v>0</v>
      </c>
      <c r="I75" s="44">
        <v>72</v>
      </c>
      <c r="J75" s="74"/>
      <c r="K75" s="85">
        <v>33</v>
      </c>
      <c r="N75" s="78"/>
      <c r="P75" s="85"/>
    </row>
    <row r="76" spans="1:16">
      <c r="A76" s="106"/>
      <c r="H76" s="74">
        <v>0</v>
      </c>
      <c r="I76" s="44">
        <v>73</v>
      </c>
      <c r="J76" s="74"/>
      <c r="K76" s="85">
        <v>34</v>
      </c>
      <c r="N76" s="78"/>
      <c r="P76" s="85"/>
    </row>
    <row r="77" spans="1:16">
      <c r="A77" s="106"/>
      <c r="H77" s="74">
        <v>0</v>
      </c>
      <c r="I77" s="44">
        <v>74</v>
      </c>
      <c r="J77" s="74"/>
      <c r="K77" s="85">
        <v>35</v>
      </c>
      <c r="N77" s="78"/>
      <c r="P77" s="85"/>
    </row>
    <row r="78" spans="1:16">
      <c r="A78" s="106"/>
      <c r="H78" s="74">
        <v>0</v>
      </c>
      <c r="I78" s="44">
        <v>75</v>
      </c>
      <c r="J78" s="74"/>
      <c r="K78" s="85">
        <v>36</v>
      </c>
      <c r="N78" s="78"/>
      <c r="P78" s="85"/>
    </row>
    <row r="79" spans="1:16">
      <c r="A79" s="106"/>
      <c r="H79" s="74">
        <v>0</v>
      </c>
      <c r="I79" s="44">
        <v>76</v>
      </c>
      <c r="J79" s="74"/>
      <c r="K79" s="85">
        <v>25</v>
      </c>
      <c r="N79" s="78"/>
      <c r="P79" s="85"/>
    </row>
    <row r="80" spans="1:16">
      <c r="A80" s="106"/>
      <c r="H80" s="74">
        <v>0</v>
      </c>
      <c r="I80" s="44">
        <v>77</v>
      </c>
      <c r="J80" s="74"/>
      <c r="K80" s="85">
        <v>26</v>
      </c>
      <c r="N80" s="78"/>
      <c r="P80" s="85"/>
    </row>
    <row r="81" spans="1:16">
      <c r="A81" s="106"/>
      <c r="H81" s="74">
        <v>0</v>
      </c>
      <c r="I81" s="44">
        <v>78</v>
      </c>
      <c r="J81" s="74"/>
      <c r="K81" s="85">
        <v>27</v>
      </c>
      <c r="N81" s="78"/>
      <c r="P81" s="85"/>
    </row>
    <row r="82" spans="1:16">
      <c r="A82" s="106"/>
      <c r="H82" s="74">
        <v>0</v>
      </c>
      <c r="I82" s="44">
        <v>79</v>
      </c>
      <c r="J82" s="74"/>
      <c r="K82" s="85">
        <v>28</v>
      </c>
      <c r="N82" s="78"/>
      <c r="P82" s="85"/>
    </row>
    <row r="83" spans="1:16">
      <c r="A83" s="106"/>
      <c r="H83" s="74">
        <v>0</v>
      </c>
      <c r="I83" s="44">
        <v>80</v>
      </c>
      <c r="J83" s="74"/>
      <c r="K83" s="85">
        <v>29</v>
      </c>
      <c r="N83" s="78"/>
      <c r="P83" s="85"/>
    </row>
    <row r="84" spans="1:16">
      <c r="A84" s="106"/>
      <c r="H84" s="74">
        <v>0</v>
      </c>
      <c r="I84" s="44">
        <v>81</v>
      </c>
      <c r="J84" s="74"/>
      <c r="K84" s="85">
        <v>30</v>
      </c>
      <c r="N84" s="78"/>
      <c r="P84" s="85"/>
    </row>
    <row r="85" spans="1:16">
      <c r="A85" s="106"/>
      <c r="H85" s="74">
        <v>0</v>
      </c>
      <c r="I85" s="44">
        <v>82</v>
      </c>
      <c r="J85" s="74"/>
      <c r="K85" s="85">
        <v>31</v>
      </c>
      <c r="N85" s="78"/>
      <c r="P85" s="85"/>
    </row>
    <row r="86" spans="1:16">
      <c r="A86" s="106"/>
      <c r="H86" s="74">
        <v>0</v>
      </c>
      <c r="I86" s="44">
        <v>83</v>
      </c>
      <c r="J86" s="74"/>
      <c r="K86" s="85">
        <v>32</v>
      </c>
      <c r="N86" s="78"/>
      <c r="P86" s="85"/>
    </row>
    <row r="87" spans="1:16">
      <c r="A87" s="106"/>
      <c r="H87" s="74">
        <v>0</v>
      </c>
      <c r="I87" s="44">
        <v>84</v>
      </c>
      <c r="J87" s="74"/>
      <c r="K87" s="85">
        <v>33</v>
      </c>
      <c r="N87" s="78"/>
      <c r="P87" s="85"/>
    </row>
    <row r="88" spans="1:16">
      <c r="A88" s="106"/>
      <c r="H88" s="74">
        <v>0</v>
      </c>
      <c r="I88" s="44">
        <v>85</v>
      </c>
      <c r="J88" s="74"/>
      <c r="K88" s="85">
        <v>34</v>
      </c>
      <c r="N88" s="78"/>
      <c r="P88" s="85"/>
    </row>
    <row r="89" spans="1:16">
      <c r="A89" s="106"/>
      <c r="H89" s="74">
        <v>0</v>
      </c>
      <c r="I89" s="44">
        <v>86</v>
      </c>
      <c r="J89" s="74"/>
      <c r="K89" s="85">
        <v>35</v>
      </c>
      <c r="N89" s="78"/>
      <c r="P89" s="85"/>
    </row>
    <row r="90" spans="1:16">
      <c r="A90" s="106"/>
      <c r="H90" s="74">
        <v>0</v>
      </c>
      <c r="I90" s="44">
        <v>87</v>
      </c>
      <c r="J90" s="74"/>
      <c r="K90" s="85">
        <v>25</v>
      </c>
      <c r="N90" s="78"/>
      <c r="P90" s="85"/>
    </row>
    <row r="91" spans="1:16">
      <c r="A91" s="106"/>
      <c r="H91" s="74">
        <v>0</v>
      </c>
      <c r="I91" s="44">
        <v>88</v>
      </c>
      <c r="J91" s="74"/>
      <c r="K91" s="85">
        <v>26</v>
      </c>
      <c r="N91" s="78"/>
      <c r="P91" s="85"/>
    </row>
    <row r="92" spans="1:16">
      <c r="A92" s="106"/>
      <c r="H92" s="74">
        <v>0</v>
      </c>
      <c r="I92" s="44">
        <v>89</v>
      </c>
      <c r="J92" s="74"/>
      <c r="K92" s="85">
        <v>27</v>
      </c>
      <c r="N92" s="78"/>
      <c r="P92" s="85"/>
    </row>
    <row r="93" spans="1:16">
      <c r="A93" s="106"/>
      <c r="H93" s="74">
        <v>0</v>
      </c>
      <c r="I93" s="44">
        <v>90</v>
      </c>
      <c r="J93" s="74"/>
      <c r="K93" s="85">
        <v>28</v>
      </c>
      <c r="N93" s="78"/>
      <c r="P93" s="85"/>
    </row>
    <row r="94" spans="1:16">
      <c r="A94" s="106"/>
      <c r="H94" s="74">
        <v>0</v>
      </c>
      <c r="I94" s="44">
        <v>91</v>
      </c>
      <c r="J94" s="74"/>
      <c r="K94" s="85">
        <v>32</v>
      </c>
      <c r="N94" s="78"/>
      <c r="P94" s="85"/>
    </row>
    <row r="95" spans="1:16">
      <c r="A95" s="106"/>
      <c r="H95" s="74">
        <v>0</v>
      </c>
      <c r="I95" s="44">
        <v>92</v>
      </c>
      <c r="J95" s="74"/>
      <c r="K95" s="85">
        <v>34</v>
      </c>
      <c r="N95" s="78"/>
      <c r="P95" s="85"/>
    </row>
    <row r="96" spans="1:16">
      <c r="A96" s="106"/>
      <c r="H96" s="74">
        <v>0</v>
      </c>
      <c r="I96" s="44">
        <v>93</v>
      </c>
      <c r="J96" s="74"/>
      <c r="K96" s="85">
        <v>35</v>
      </c>
      <c r="N96" s="78"/>
      <c r="P96" s="85"/>
    </row>
    <row r="97" spans="1:16">
      <c r="A97" s="106"/>
      <c r="H97" s="74">
        <v>0</v>
      </c>
      <c r="I97" s="44">
        <v>94</v>
      </c>
      <c r="J97" s="74"/>
      <c r="K97" s="85">
        <v>25</v>
      </c>
      <c r="N97" s="78"/>
      <c r="P97" s="85"/>
    </row>
    <row r="98" spans="1:16">
      <c r="A98" s="106"/>
      <c r="H98" s="74">
        <v>0</v>
      </c>
      <c r="I98" s="44">
        <v>95</v>
      </c>
      <c r="J98" s="74"/>
      <c r="K98" s="85">
        <v>27</v>
      </c>
      <c r="N98" s="78"/>
      <c r="P98" s="85"/>
    </row>
    <row r="99" spans="1:16">
      <c r="A99" s="106"/>
      <c r="H99" s="74">
        <v>0</v>
      </c>
      <c r="I99" s="44">
        <v>96</v>
      </c>
      <c r="J99" s="74"/>
      <c r="K99" s="85">
        <v>28</v>
      </c>
      <c r="N99" s="78"/>
      <c r="P99" s="85"/>
    </row>
    <row r="100" spans="1:16">
      <c r="A100" s="106"/>
      <c r="H100" s="74">
        <v>0</v>
      </c>
      <c r="I100" s="44">
        <v>97</v>
      </c>
      <c r="J100" s="74"/>
      <c r="K100" s="85">
        <v>31</v>
      </c>
      <c r="N100" s="78"/>
      <c r="P100" s="85"/>
    </row>
    <row r="101" spans="1:16">
      <c r="A101" s="106"/>
      <c r="H101" s="74">
        <v>0</v>
      </c>
      <c r="I101" s="44">
        <v>98</v>
      </c>
      <c r="J101" s="74"/>
      <c r="K101" s="85">
        <v>33</v>
      </c>
      <c r="N101" s="78"/>
      <c r="P101" s="85"/>
    </row>
    <row r="102" spans="1:16">
      <c r="A102" s="106"/>
      <c r="H102" s="74">
        <v>0</v>
      </c>
      <c r="I102" s="44">
        <v>99</v>
      </c>
      <c r="J102" s="74"/>
      <c r="K102" s="85">
        <v>25</v>
      </c>
      <c r="N102" s="78"/>
      <c r="P102" s="85"/>
    </row>
    <row r="103" spans="1:16">
      <c r="A103" s="106"/>
      <c r="H103" s="74">
        <v>0</v>
      </c>
      <c r="I103" s="44" t="s">
        <v>90</v>
      </c>
      <c r="J103" s="74"/>
      <c r="K103" s="85">
        <v>27</v>
      </c>
      <c r="N103" s="78"/>
      <c r="P103" s="85"/>
    </row>
    <row r="104" spans="1:16">
      <c r="J104" s="74"/>
      <c r="K104" s="85">
        <v>31</v>
      </c>
      <c r="N104" s="78"/>
      <c r="P104" s="85"/>
    </row>
    <row r="105" spans="1:16">
      <c r="J105" s="74"/>
      <c r="K105" s="85">
        <v>25</v>
      </c>
      <c r="N105" s="78"/>
      <c r="P105" s="85"/>
    </row>
    <row r="106" spans="1:16">
      <c r="J106" s="74"/>
      <c r="K106" s="85">
        <v>26</v>
      </c>
      <c r="N106" s="78"/>
      <c r="P106" s="85"/>
    </row>
    <row r="107" spans="1:16">
      <c r="J107" s="74"/>
      <c r="K107" s="85">
        <v>28</v>
      </c>
      <c r="N107" s="78"/>
      <c r="P107" s="85"/>
    </row>
    <row r="108" spans="1:16">
      <c r="J108" s="74"/>
      <c r="K108" s="85">
        <v>30</v>
      </c>
      <c r="N108" s="78"/>
      <c r="P108" s="85"/>
    </row>
    <row r="109" spans="1:16">
      <c r="J109" s="74"/>
      <c r="K109" s="85">
        <v>31</v>
      </c>
      <c r="N109" s="78"/>
      <c r="P109" s="85"/>
    </row>
    <row r="110" spans="1:16">
      <c r="J110" s="74"/>
      <c r="K110" s="85">
        <v>34</v>
      </c>
      <c r="N110" s="78"/>
      <c r="P110" s="85"/>
    </row>
    <row r="111" spans="1:16">
      <c r="J111" s="74"/>
      <c r="K111" s="85">
        <v>26</v>
      </c>
      <c r="N111" s="78"/>
      <c r="P111" s="85"/>
    </row>
    <row r="112" spans="1:16">
      <c r="J112" s="74"/>
      <c r="K112" s="85">
        <v>27</v>
      </c>
      <c r="N112" s="78"/>
      <c r="P112" s="85"/>
    </row>
    <row r="113" spans="10:16">
      <c r="J113" s="74"/>
      <c r="K113" s="85">
        <v>30</v>
      </c>
      <c r="N113" s="78"/>
      <c r="P113" s="85"/>
    </row>
    <row r="114" spans="10:16">
      <c r="J114" s="74"/>
      <c r="K114" s="85">
        <v>31</v>
      </c>
      <c r="N114" s="78"/>
      <c r="P114" s="85"/>
    </row>
    <row r="115" spans="10:16">
      <c r="J115" s="74"/>
      <c r="K115" s="85">
        <v>33</v>
      </c>
      <c r="N115" s="78"/>
      <c r="P115" s="85"/>
    </row>
    <row r="116" spans="10:16">
      <c r="J116" s="74"/>
      <c r="K116" s="85">
        <v>25</v>
      </c>
      <c r="N116" s="78"/>
      <c r="P116" s="85"/>
    </row>
    <row r="117" spans="10:16">
      <c r="J117" s="74"/>
      <c r="K117" s="85">
        <v>30</v>
      </c>
      <c r="N117" s="78"/>
      <c r="P117" s="85"/>
    </row>
    <row r="118" spans="10:16">
      <c r="J118" s="74"/>
      <c r="K118" s="85">
        <v>25</v>
      </c>
      <c r="N118" s="78"/>
      <c r="P118" s="85"/>
    </row>
    <row r="119" spans="10:16">
      <c r="J119" s="74"/>
      <c r="K119" s="85">
        <v>26</v>
      </c>
      <c r="N119" s="78"/>
      <c r="P119" s="85"/>
    </row>
    <row r="120" spans="10:16">
      <c r="J120" s="74"/>
      <c r="K120" s="85">
        <v>27</v>
      </c>
      <c r="N120" s="78"/>
      <c r="P120" s="85"/>
    </row>
    <row r="121" spans="10:16">
      <c r="J121" s="74"/>
      <c r="K121" s="85">
        <v>29</v>
      </c>
      <c r="N121" s="78"/>
      <c r="P121" s="85"/>
    </row>
    <row r="122" spans="10:16">
      <c r="J122" s="74"/>
      <c r="K122" s="85">
        <v>30</v>
      </c>
      <c r="N122" s="78"/>
      <c r="P122" s="85"/>
    </row>
    <row r="123" spans="10:16">
      <c r="J123" s="74"/>
      <c r="K123" s="85">
        <v>31</v>
      </c>
      <c r="N123" s="78"/>
      <c r="P123" s="85"/>
    </row>
    <row r="124" spans="10:16">
      <c r="J124" s="74"/>
      <c r="K124" s="85">
        <v>32</v>
      </c>
      <c r="N124" s="78"/>
      <c r="P124" s="85"/>
    </row>
    <row r="125" spans="10:16">
      <c r="J125" s="74"/>
      <c r="K125" s="85">
        <v>33</v>
      </c>
      <c r="N125" s="78"/>
      <c r="P125" s="85"/>
    </row>
    <row r="126" spans="10:16">
      <c r="J126" s="74"/>
      <c r="K126" s="85">
        <v>34</v>
      </c>
      <c r="N126" s="78"/>
      <c r="P126" s="85"/>
    </row>
    <row r="127" spans="10:16">
      <c r="J127" s="74"/>
      <c r="K127" s="85">
        <v>35</v>
      </c>
      <c r="N127" s="78"/>
      <c r="P127" s="85"/>
    </row>
    <row r="128" spans="10:16">
      <c r="J128" s="74"/>
      <c r="K128" s="85">
        <v>36</v>
      </c>
      <c r="N128" s="78"/>
      <c r="P128" s="85"/>
    </row>
    <row r="129" spans="10:16">
      <c r="J129" s="74"/>
      <c r="K129" s="85">
        <v>25</v>
      </c>
      <c r="N129" s="78"/>
      <c r="P129" s="85"/>
    </row>
    <row r="130" spans="10:16">
      <c r="J130" s="74"/>
      <c r="K130" s="85">
        <v>27</v>
      </c>
      <c r="N130" s="78"/>
      <c r="P130" s="85"/>
    </row>
    <row r="131" spans="10:16">
      <c r="J131" s="74"/>
      <c r="K131" s="85">
        <v>28</v>
      </c>
      <c r="N131" s="78"/>
      <c r="P131" s="85"/>
    </row>
    <row r="132" spans="10:16">
      <c r="J132" s="74"/>
      <c r="K132" s="85">
        <v>30</v>
      </c>
      <c r="N132" s="78"/>
      <c r="P132" s="85"/>
    </row>
    <row r="133" spans="10:16">
      <c r="J133" s="74"/>
      <c r="K133" s="85">
        <v>31</v>
      </c>
      <c r="N133" s="78"/>
      <c r="P133" s="85"/>
    </row>
    <row r="134" spans="10:16">
      <c r="J134" s="74"/>
      <c r="K134" s="85">
        <v>32</v>
      </c>
      <c r="N134" s="78"/>
      <c r="P134" s="85"/>
    </row>
    <row r="135" spans="10:16">
      <c r="J135" s="74"/>
      <c r="K135" s="85">
        <v>33</v>
      </c>
      <c r="N135" s="78"/>
      <c r="P135" s="85"/>
    </row>
    <row r="136" spans="10:16">
      <c r="J136" s="74"/>
      <c r="K136" s="85">
        <v>34</v>
      </c>
      <c r="N136" s="78"/>
      <c r="P136" s="85"/>
    </row>
    <row r="137" spans="10:16">
      <c r="J137" s="74"/>
      <c r="K137" s="85">
        <v>35</v>
      </c>
      <c r="N137" s="78"/>
      <c r="P137" s="85"/>
    </row>
    <row r="138" spans="10:16">
      <c r="J138" s="74"/>
      <c r="K138" s="85">
        <v>36</v>
      </c>
      <c r="N138" s="78"/>
      <c r="P138" s="85"/>
    </row>
    <row r="139" spans="10:16">
      <c r="J139" s="74"/>
      <c r="K139" s="85">
        <v>25</v>
      </c>
      <c r="N139" s="78"/>
      <c r="P139" s="85"/>
    </row>
    <row r="140" spans="10:16">
      <c r="J140" s="74"/>
      <c r="K140" s="85">
        <v>26</v>
      </c>
      <c r="N140" s="78"/>
      <c r="P140" s="85"/>
    </row>
    <row r="141" spans="10:16">
      <c r="J141" s="74"/>
      <c r="K141" s="85">
        <v>28</v>
      </c>
      <c r="N141" s="78"/>
      <c r="P141" s="85"/>
    </row>
    <row r="142" spans="10:16">
      <c r="J142" s="74"/>
      <c r="K142" s="85">
        <v>29</v>
      </c>
      <c r="N142" s="78"/>
      <c r="P142" s="85"/>
    </row>
    <row r="143" spans="10:16">
      <c r="J143" s="74"/>
      <c r="K143" s="85">
        <v>30</v>
      </c>
      <c r="N143" s="78"/>
      <c r="P143" s="85"/>
    </row>
    <row r="144" spans="10:16">
      <c r="J144" s="74"/>
      <c r="K144" s="85">
        <v>31</v>
      </c>
      <c r="N144" s="78"/>
      <c r="P144" s="85"/>
    </row>
    <row r="145" spans="10:16">
      <c r="J145" s="74"/>
      <c r="K145" s="85">
        <v>32</v>
      </c>
      <c r="N145" s="78"/>
      <c r="P145" s="85"/>
    </row>
    <row r="146" spans="10:16">
      <c r="J146" s="74"/>
      <c r="K146" s="85">
        <v>34</v>
      </c>
      <c r="N146" s="78"/>
      <c r="P146" s="85"/>
    </row>
    <row r="147" spans="10:16">
      <c r="J147" s="74"/>
      <c r="K147" s="85">
        <v>35</v>
      </c>
      <c r="N147" s="78"/>
      <c r="P147" s="85"/>
    </row>
    <row r="148" spans="10:16">
      <c r="J148" s="74"/>
      <c r="K148" s="85">
        <v>27</v>
      </c>
      <c r="N148" s="78"/>
      <c r="P148" s="85"/>
    </row>
    <row r="149" spans="10:16">
      <c r="J149" s="74"/>
      <c r="K149" s="85">
        <v>31</v>
      </c>
      <c r="N149" s="78"/>
      <c r="P149" s="85"/>
    </row>
    <row r="150" spans="10:16">
      <c r="J150" s="74"/>
      <c r="K150" s="85">
        <v>32</v>
      </c>
      <c r="N150" s="78"/>
      <c r="P150" s="85"/>
    </row>
    <row r="151" spans="10:16">
      <c r="J151" s="74"/>
      <c r="K151" s="85">
        <v>34</v>
      </c>
      <c r="N151" s="78"/>
      <c r="P151" s="85"/>
    </row>
    <row r="152" spans="10:16">
      <c r="J152" s="74"/>
      <c r="K152" s="85">
        <v>35</v>
      </c>
      <c r="N152" s="78"/>
      <c r="P152" s="85"/>
    </row>
    <row r="153" spans="10:16">
      <c r="J153" s="74"/>
      <c r="K153" s="85">
        <v>25</v>
      </c>
      <c r="N153" s="78"/>
      <c r="P153" s="85"/>
    </row>
    <row r="154" spans="10:16">
      <c r="J154" s="74"/>
      <c r="K154" s="85">
        <v>26</v>
      </c>
      <c r="N154" s="78"/>
      <c r="P154" s="85"/>
    </row>
    <row r="155" spans="10:16">
      <c r="J155" s="74"/>
      <c r="K155" s="85">
        <v>27</v>
      </c>
      <c r="N155" s="78"/>
      <c r="P155" s="85"/>
    </row>
    <row r="156" spans="10:16">
      <c r="J156" s="74"/>
      <c r="K156" s="85">
        <v>28</v>
      </c>
      <c r="N156" s="78"/>
      <c r="P156" s="85"/>
    </row>
    <row r="157" spans="10:16">
      <c r="J157" s="74"/>
      <c r="K157" s="85">
        <v>30</v>
      </c>
      <c r="N157" s="78"/>
      <c r="P157" s="85"/>
    </row>
    <row r="158" spans="10:16">
      <c r="J158" s="74"/>
      <c r="K158" s="85">
        <v>31</v>
      </c>
      <c r="N158" s="78"/>
      <c r="P158" s="85"/>
    </row>
    <row r="159" spans="10:16">
      <c r="J159" s="74"/>
      <c r="K159" s="85">
        <v>32</v>
      </c>
      <c r="N159" s="78"/>
      <c r="P159" s="85"/>
    </row>
    <row r="160" spans="10:16">
      <c r="J160" s="74"/>
      <c r="K160" s="85">
        <v>33</v>
      </c>
      <c r="N160" s="78"/>
      <c r="P160" s="85"/>
    </row>
    <row r="161" spans="10:16">
      <c r="J161" s="74"/>
      <c r="K161" s="85">
        <v>35</v>
      </c>
      <c r="N161" s="78"/>
      <c r="P161" s="85"/>
    </row>
    <row r="162" spans="10:16">
      <c r="J162" s="74"/>
      <c r="K162" s="85">
        <v>26</v>
      </c>
      <c r="N162" s="78"/>
      <c r="P162" s="85"/>
    </row>
    <row r="163" spans="10:16">
      <c r="J163" s="74"/>
      <c r="K163" s="85">
        <v>27</v>
      </c>
      <c r="N163" s="78"/>
      <c r="P163" s="85"/>
    </row>
    <row r="164" spans="10:16">
      <c r="J164" s="74"/>
      <c r="K164" s="85">
        <v>31</v>
      </c>
      <c r="N164" s="78"/>
      <c r="P164" s="85"/>
    </row>
    <row r="165" spans="10:16">
      <c r="J165" s="74"/>
      <c r="K165" s="85">
        <v>32</v>
      </c>
      <c r="N165" s="78"/>
      <c r="P165" s="85"/>
    </row>
    <row r="166" spans="10:16">
      <c r="J166" s="74"/>
      <c r="K166" s="85">
        <v>33</v>
      </c>
      <c r="N166" s="78"/>
      <c r="P166" s="85"/>
    </row>
    <row r="167" spans="10:16">
      <c r="J167" s="74"/>
      <c r="K167" s="85">
        <v>26</v>
      </c>
      <c r="N167" s="78"/>
      <c r="P167" s="85"/>
    </row>
    <row r="168" spans="10:16">
      <c r="J168" s="74"/>
      <c r="K168" s="85">
        <v>27</v>
      </c>
      <c r="N168" s="78"/>
      <c r="P168" s="85"/>
    </row>
    <row r="169" spans="10:16">
      <c r="J169" s="74"/>
      <c r="K169" s="85">
        <v>34</v>
      </c>
      <c r="N169" s="78"/>
      <c r="P169" s="85"/>
    </row>
    <row r="170" spans="10:16">
      <c r="J170" s="74"/>
      <c r="K170" s="85">
        <v>35</v>
      </c>
      <c r="N170" s="78"/>
      <c r="P170" s="85"/>
    </row>
    <row r="171" spans="10:16">
      <c r="J171" s="74"/>
      <c r="K171" s="85">
        <v>26</v>
      </c>
      <c r="N171" s="78"/>
      <c r="P171" s="85"/>
    </row>
    <row r="172" spans="10:16">
      <c r="J172" s="74"/>
      <c r="K172" s="85">
        <v>27</v>
      </c>
      <c r="N172" s="78"/>
      <c r="P172" s="85"/>
    </row>
    <row r="173" spans="10:16">
      <c r="J173" s="74"/>
      <c r="K173" s="85">
        <v>30</v>
      </c>
      <c r="N173" s="78"/>
      <c r="P173" s="85"/>
    </row>
    <row r="174" spans="10:16">
      <c r="J174" s="74"/>
      <c r="K174" s="85">
        <v>34</v>
      </c>
      <c r="N174" s="78"/>
      <c r="P174" s="85"/>
    </row>
    <row r="175" spans="10:16">
      <c r="J175" s="74"/>
      <c r="K175" s="85">
        <v>35</v>
      </c>
      <c r="N175" s="78"/>
      <c r="P175" s="85"/>
    </row>
    <row r="176" spans="10:16">
      <c r="J176" s="74"/>
      <c r="K176" s="85">
        <v>36</v>
      </c>
      <c r="N176" s="78"/>
      <c r="P176" s="85"/>
    </row>
    <row r="177" spans="10:16">
      <c r="J177" s="74"/>
      <c r="K177" s="85">
        <v>27</v>
      </c>
      <c r="N177" s="78"/>
      <c r="P177" s="85"/>
    </row>
    <row r="178" spans="10:16">
      <c r="J178" s="74"/>
      <c r="K178" s="85">
        <v>28</v>
      </c>
      <c r="N178" s="78"/>
      <c r="P178" s="85"/>
    </row>
    <row r="179" spans="10:16">
      <c r="J179" s="74"/>
      <c r="K179" s="85">
        <v>29</v>
      </c>
      <c r="N179" s="78"/>
      <c r="P179" s="85"/>
    </row>
    <row r="180" spans="10:16">
      <c r="J180" s="74"/>
      <c r="K180" s="85">
        <v>31</v>
      </c>
      <c r="N180" s="78"/>
      <c r="P180" s="85"/>
    </row>
    <row r="181" spans="10:16">
      <c r="J181" s="74"/>
      <c r="K181" s="85">
        <v>32</v>
      </c>
      <c r="N181" s="78"/>
      <c r="P181" s="85"/>
    </row>
    <row r="182" spans="10:16">
      <c r="J182" s="74"/>
      <c r="K182" s="85">
        <v>33</v>
      </c>
      <c r="N182" s="78"/>
      <c r="P182" s="85"/>
    </row>
    <row r="183" spans="10:16">
      <c r="J183" s="74"/>
      <c r="K183" s="85">
        <v>34</v>
      </c>
      <c r="N183" s="78"/>
      <c r="P183" s="85"/>
    </row>
    <row r="184" spans="10:16">
      <c r="J184" s="74"/>
      <c r="K184" s="85">
        <v>35</v>
      </c>
      <c r="N184" s="78"/>
      <c r="P184" s="85"/>
    </row>
    <row r="185" spans="10:16">
      <c r="J185" s="74"/>
      <c r="K185" s="85">
        <v>36</v>
      </c>
      <c r="N185" s="78"/>
      <c r="P185" s="85"/>
    </row>
    <row r="186" spans="10:16">
      <c r="J186" s="74"/>
      <c r="K186" s="85">
        <v>27</v>
      </c>
      <c r="N186" s="78"/>
      <c r="P186" s="85"/>
    </row>
    <row r="187" spans="10:16">
      <c r="J187" s="74"/>
      <c r="K187" s="85">
        <v>28</v>
      </c>
      <c r="N187" s="78"/>
      <c r="P187" s="85"/>
    </row>
    <row r="188" spans="10:16">
      <c r="J188" s="74"/>
      <c r="K188" s="85">
        <v>34</v>
      </c>
      <c r="N188" s="78"/>
      <c r="P188" s="85"/>
    </row>
    <row r="189" spans="10:16">
      <c r="J189" s="74"/>
      <c r="K189" s="85">
        <v>35</v>
      </c>
      <c r="N189" s="78"/>
      <c r="P189" s="85"/>
    </row>
    <row r="190" spans="10:16">
      <c r="J190" s="74"/>
      <c r="K190" s="85">
        <v>36</v>
      </c>
      <c r="N190" s="78"/>
      <c r="P190" s="85"/>
    </row>
    <row r="191" spans="10:16">
      <c r="J191" s="74"/>
      <c r="K191" s="85">
        <v>26</v>
      </c>
      <c r="N191" s="78"/>
      <c r="P191" s="85"/>
    </row>
    <row r="192" spans="10:16">
      <c r="J192" s="74"/>
      <c r="K192" s="85">
        <v>27</v>
      </c>
      <c r="N192" s="78"/>
      <c r="P192" s="85"/>
    </row>
    <row r="193" spans="10:16">
      <c r="J193" s="74"/>
      <c r="K193" s="85">
        <v>30</v>
      </c>
      <c r="N193" s="78"/>
      <c r="P193" s="85"/>
    </row>
    <row r="194" spans="10:16">
      <c r="J194" s="74"/>
      <c r="K194" s="85">
        <v>31</v>
      </c>
      <c r="N194" s="78"/>
      <c r="P194" s="85"/>
    </row>
    <row r="195" spans="10:16">
      <c r="J195" s="74"/>
      <c r="K195" s="85">
        <v>32</v>
      </c>
      <c r="N195" s="78"/>
      <c r="P195" s="85"/>
    </row>
    <row r="196" spans="10:16">
      <c r="J196" s="74"/>
      <c r="K196" s="85">
        <v>33</v>
      </c>
      <c r="N196" s="78"/>
      <c r="P196" s="85"/>
    </row>
    <row r="197" spans="10:16">
      <c r="J197" s="74"/>
      <c r="K197" s="85">
        <v>34</v>
      </c>
      <c r="N197" s="78"/>
      <c r="P197" s="85"/>
    </row>
    <row r="198" spans="10:16">
      <c r="J198" s="74"/>
      <c r="K198" s="85">
        <v>35</v>
      </c>
      <c r="N198" s="78"/>
      <c r="P198" s="85"/>
    </row>
    <row r="199" spans="10:16">
      <c r="J199" s="74"/>
      <c r="K199" s="85">
        <v>25</v>
      </c>
      <c r="N199" s="78"/>
      <c r="P199" s="85"/>
    </row>
    <row r="200" spans="10:16">
      <c r="J200" s="74"/>
      <c r="K200" s="85">
        <v>26</v>
      </c>
      <c r="N200" s="78"/>
      <c r="P200" s="85"/>
    </row>
    <row r="201" spans="10:16">
      <c r="J201" s="74"/>
      <c r="K201" s="85">
        <v>27</v>
      </c>
      <c r="N201" s="78"/>
      <c r="P201" s="85"/>
    </row>
    <row r="202" spans="10:16">
      <c r="J202" s="74"/>
      <c r="K202" s="85">
        <v>28</v>
      </c>
      <c r="N202" s="78"/>
      <c r="P202" s="85"/>
    </row>
    <row r="203" spans="10:16">
      <c r="J203" s="74"/>
      <c r="K203" s="85">
        <v>29</v>
      </c>
      <c r="N203" s="78"/>
      <c r="P203" s="85"/>
    </row>
    <row r="204" spans="10:16">
      <c r="J204" s="74"/>
      <c r="K204" s="85">
        <v>31</v>
      </c>
      <c r="N204" s="78"/>
      <c r="P204" s="85"/>
    </row>
    <row r="205" spans="10:16">
      <c r="J205" s="74"/>
      <c r="K205" s="85">
        <v>32</v>
      </c>
      <c r="N205" s="78"/>
      <c r="P205" s="85"/>
    </row>
    <row r="206" spans="10:16">
      <c r="J206" s="74"/>
      <c r="K206" s="85">
        <v>33</v>
      </c>
      <c r="N206" s="78"/>
      <c r="P206" s="85"/>
    </row>
    <row r="207" spans="10:16">
      <c r="J207" s="74"/>
      <c r="K207" s="85">
        <v>34</v>
      </c>
      <c r="N207" s="78"/>
      <c r="P207" s="85"/>
    </row>
    <row r="208" spans="10:16">
      <c r="J208" s="74"/>
      <c r="K208" s="85">
        <v>35</v>
      </c>
      <c r="N208" s="78"/>
      <c r="P208" s="85"/>
    </row>
    <row r="209" spans="10:16">
      <c r="J209" s="74"/>
      <c r="K209" s="85">
        <v>36</v>
      </c>
      <c r="N209" s="78"/>
      <c r="P209" s="85"/>
    </row>
    <row r="210" spans="10:16">
      <c r="J210" s="74"/>
      <c r="K210" s="85">
        <v>25</v>
      </c>
      <c r="N210" s="78"/>
      <c r="P210" s="85"/>
    </row>
    <row r="211" spans="10:16">
      <c r="J211" s="74"/>
      <c r="K211" s="85">
        <v>26</v>
      </c>
      <c r="N211" s="78"/>
      <c r="P211" s="85"/>
    </row>
    <row r="212" spans="10:16">
      <c r="J212" s="74"/>
      <c r="K212" s="85">
        <v>27</v>
      </c>
      <c r="N212" s="78"/>
      <c r="P212" s="85"/>
    </row>
    <row r="213" spans="10:16">
      <c r="J213" s="74"/>
      <c r="K213" s="85">
        <v>28</v>
      </c>
      <c r="N213" s="78"/>
      <c r="P213" s="85"/>
    </row>
    <row r="214" spans="10:16">
      <c r="J214" s="74"/>
      <c r="K214" s="85">
        <v>29</v>
      </c>
      <c r="N214" s="78"/>
      <c r="P214" s="85"/>
    </row>
    <row r="215" spans="10:16">
      <c r="J215" s="74"/>
      <c r="K215" s="85">
        <v>30</v>
      </c>
      <c r="N215" s="78"/>
      <c r="P215" s="85"/>
    </row>
    <row r="216" spans="10:16">
      <c r="J216" s="74"/>
      <c r="K216" s="85">
        <v>31</v>
      </c>
      <c r="N216" s="78"/>
      <c r="P216" s="85"/>
    </row>
    <row r="217" spans="10:16">
      <c r="J217" s="74"/>
      <c r="K217" s="85">
        <v>32</v>
      </c>
      <c r="N217" s="78"/>
      <c r="P217" s="85"/>
    </row>
    <row r="218" spans="10:16">
      <c r="J218" s="74"/>
      <c r="K218" s="85">
        <v>33</v>
      </c>
      <c r="N218" s="78"/>
      <c r="P218" s="85"/>
    </row>
    <row r="219" spans="10:16">
      <c r="J219" s="74"/>
      <c r="K219" s="85">
        <v>34</v>
      </c>
      <c r="N219" s="78"/>
      <c r="P219" s="85"/>
    </row>
    <row r="220" spans="10:16">
      <c r="J220" s="74"/>
      <c r="K220" s="85">
        <v>35</v>
      </c>
      <c r="N220" s="78"/>
      <c r="P220" s="85"/>
    </row>
    <row r="221" spans="10:16">
      <c r="J221" s="74"/>
      <c r="K221" s="85">
        <v>36</v>
      </c>
      <c r="N221" s="78"/>
      <c r="P221" s="85"/>
    </row>
    <row r="222" spans="10:16">
      <c r="J222" s="74"/>
      <c r="K222" s="85">
        <v>25</v>
      </c>
      <c r="N222" s="78"/>
      <c r="P222" s="85"/>
    </row>
    <row r="223" spans="10:16">
      <c r="J223" s="74"/>
      <c r="K223" s="85">
        <v>26</v>
      </c>
      <c r="N223" s="78"/>
      <c r="P223" s="85"/>
    </row>
    <row r="224" spans="10:16">
      <c r="J224" s="74"/>
      <c r="K224" s="85">
        <v>27</v>
      </c>
      <c r="N224" s="78"/>
      <c r="P224" s="85"/>
    </row>
    <row r="225" spans="10:16">
      <c r="J225" s="74"/>
      <c r="K225" s="85">
        <v>28</v>
      </c>
      <c r="N225" s="78"/>
      <c r="P225" s="85"/>
    </row>
    <row r="226" spans="10:16">
      <c r="J226" s="74"/>
      <c r="K226" s="85">
        <v>29</v>
      </c>
      <c r="N226" s="78"/>
      <c r="P226" s="85"/>
    </row>
    <row r="227" spans="10:16">
      <c r="J227" s="74"/>
      <c r="K227" s="85">
        <v>30</v>
      </c>
      <c r="N227" s="78"/>
      <c r="P227" s="85"/>
    </row>
    <row r="228" spans="10:16">
      <c r="J228" s="74"/>
      <c r="K228" s="85">
        <v>31</v>
      </c>
      <c r="N228" s="78"/>
      <c r="P228" s="85"/>
    </row>
    <row r="229" spans="10:16">
      <c r="J229" s="74"/>
      <c r="K229" s="85">
        <v>34</v>
      </c>
      <c r="N229" s="78"/>
      <c r="P229" s="85"/>
    </row>
    <row r="230" spans="10:16">
      <c r="J230" s="74"/>
      <c r="K230" s="85">
        <v>35</v>
      </c>
      <c r="N230" s="78"/>
      <c r="P230" s="85"/>
    </row>
    <row r="231" spans="10:16">
      <c r="J231" s="74"/>
      <c r="K231" s="85">
        <v>25</v>
      </c>
      <c r="N231" s="78"/>
      <c r="P231" s="85"/>
    </row>
    <row r="232" spans="10:16">
      <c r="J232" s="74"/>
      <c r="K232" s="85">
        <v>26</v>
      </c>
      <c r="N232" s="78"/>
      <c r="P232" s="85"/>
    </row>
    <row r="233" spans="10:16">
      <c r="J233" s="74"/>
      <c r="K233" s="85">
        <v>27</v>
      </c>
      <c r="N233" s="78"/>
      <c r="P233" s="85"/>
    </row>
    <row r="234" spans="10:16">
      <c r="J234" s="74"/>
      <c r="K234" s="85">
        <v>28</v>
      </c>
      <c r="N234" s="78"/>
      <c r="P234" s="85"/>
    </row>
    <row r="235" spans="10:16">
      <c r="J235" s="74"/>
      <c r="K235" s="85">
        <v>29</v>
      </c>
      <c r="N235" s="78"/>
      <c r="P235" s="85"/>
    </row>
    <row r="236" spans="10:16">
      <c r="J236" s="74"/>
      <c r="K236" s="85">
        <v>30</v>
      </c>
      <c r="N236" s="78"/>
      <c r="P236" s="85"/>
    </row>
    <row r="237" spans="10:16">
      <c r="J237" s="74"/>
      <c r="K237" s="85">
        <v>31</v>
      </c>
      <c r="N237" s="78"/>
      <c r="P237" s="85"/>
    </row>
    <row r="238" spans="10:16">
      <c r="J238" s="74"/>
      <c r="K238" s="85">
        <v>32</v>
      </c>
      <c r="N238" s="78"/>
      <c r="P238" s="85"/>
    </row>
    <row r="239" spans="10:16">
      <c r="J239" s="74"/>
      <c r="K239" s="85">
        <v>33</v>
      </c>
      <c r="N239" s="78"/>
      <c r="P239" s="85"/>
    </row>
    <row r="240" spans="10:16">
      <c r="J240" s="74"/>
      <c r="K240" s="85">
        <v>34</v>
      </c>
      <c r="N240" s="78"/>
      <c r="P240" s="85"/>
    </row>
    <row r="241" spans="10:16">
      <c r="J241" s="74"/>
      <c r="K241" s="85">
        <v>35</v>
      </c>
      <c r="N241" s="78"/>
      <c r="P241" s="85"/>
    </row>
    <row r="242" spans="10:16">
      <c r="J242" s="74"/>
      <c r="K242" s="85">
        <v>36</v>
      </c>
      <c r="N242" s="78"/>
      <c r="P242" s="85"/>
    </row>
    <row r="243" spans="10:16">
      <c r="J243" s="74"/>
      <c r="K243" s="85">
        <v>25</v>
      </c>
      <c r="N243" s="78"/>
      <c r="P243" s="85"/>
    </row>
    <row r="244" spans="10:16">
      <c r="J244" s="74"/>
      <c r="K244" s="85">
        <v>26</v>
      </c>
      <c r="N244" s="78"/>
      <c r="P244" s="85"/>
    </row>
    <row r="245" spans="10:16">
      <c r="J245" s="74"/>
      <c r="K245" s="85">
        <v>27</v>
      </c>
      <c r="N245" s="78"/>
      <c r="P245" s="85"/>
    </row>
    <row r="246" spans="10:16">
      <c r="J246" s="74"/>
      <c r="K246" s="85">
        <v>28</v>
      </c>
      <c r="N246" s="78"/>
      <c r="P246" s="85"/>
    </row>
    <row r="247" spans="10:16">
      <c r="J247" s="74"/>
      <c r="K247" s="85">
        <v>30</v>
      </c>
      <c r="N247" s="78"/>
      <c r="P247" s="85"/>
    </row>
    <row r="248" spans="10:16">
      <c r="J248" s="74"/>
      <c r="K248" s="85">
        <v>31</v>
      </c>
      <c r="N248" s="78"/>
      <c r="P248" s="85"/>
    </row>
    <row r="249" spans="10:16">
      <c r="J249" s="74"/>
      <c r="K249" s="85">
        <v>32</v>
      </c>
      <c r="N249" s="78"/>
      <c r="P249" s="85"/>
    </row>
    <row r="250" spans="10:16">
      <c r="J250" s="74"/>
      <c r="K250" s="85">
        <v>33</v>
      </c>
      <c r="N250" s="78"/>
      <c r="P250" s="85"/>
    </row>
    <row r="251" spans="10:16">
      <c r="J251" s="74"/>
      <c r="K251" s="85">
        <v>34</v>
      </c>
      <c r="N251" s="78"/>
      <c r="P251" s="85"/>
    </row>
    <row r="252" spans="10:16">
      <c r="J252" s="74"/>
      <c r="K252" s="85">
        <v>35</v>
      </c>
      <c r="N252" s="78"/>
      <c r="P252" s="85"/>
    </row>
    <row r="253" spans="10:16">
      <c r="J253" s="74"/>
      <c r="K253" s="85">
        <v>36</v>
      </c>
      <c r="N253" s="78"/>
      <c r="P253" s="85"/>
    </row>
    <row r="254" spans="10:16">
      <c r="K254" s="85">
        <v>31</v>
      </c>
      <c r="N254" s="78"/>
      <c r="P254" s="85"/>
    </row>
    <row r="255" spans="10:16">
      <c r="K255" s="85">
        <v>34</v>
      </c>
      <c r="N255" s="78"/>
      <c r="P255" s="85"/>
    </row>
    <row r="256" spans="10:16">
      <c r="K256" s="85">
        <v>35</v>
      </c>
      <c r="N256" s="78"/>
      <c r="P256" s="85"/>
    </row>
    <row r="257" spans="11:16">
      <c r="K257" s="85">
        <v>28</v>
      </c>
      <c r="N257" s="78"/>
      <c r="P257" s="85"/>
    </row>
    <row r="258" spans="11:16">
      <c r="K258" s="85">
        <v>34</v>
      </c>
      <c r="N258" s="78"/>
      <c r="P258" s="85"/>
    </row>
    <row r="259" spans="11:16">
      <c r="K259" s="85">
        <v>35</v>
      </c>
      <c r="N259" s="78"/>
      <c r="P259" s="85"/>
    </row>
    <row r="260" spans="11:16">
      <c r="K260" s="85">
        <v>36</v>
      </c>
      <c r="N260" s="78"/>
      <c r="P260" s="85"/>
    </row>
    <row r="261" spans="11:16">
      <c r="K261" s="85">
        <v>25</v>
      </c>
      <c r="N261" s="78"/>
      <c r="P261" s="85"/>
    </row>
    <row r="262" spans="11:16">
      <c r="K262" s="85">
        <v>26</v>
      </c>
      <c r="N262" s="78"/>
      <c r="P262" s="85"/>
    </row>
    <row r="263" spans="11:16">
      <c r="K263" s="85">
        <v>27</v>
      </c>
      <c r="N263" s="78"/>
      <c r="P263" s="85"/>
    </row>
    <row r="264" spans="11:16">
      <c r="K264" s="85">
        <v>28</v>
      </c>
      <c r="N264" s="78"/>
      <c r="P264" s="85"/>
    </row>
    <row r="265" spans="11:16">
      <c r="K265" s="85">
        <v>30</v>
      </c>
      <c r="N265" s="78"/>
      <c r="P265" s="85"/>
    </row>
    <row r="266" spans="11:16">
      <c r="K266" s="85">
        <v>31</v>
      </c>
      <c r="N266" s="78"/>
      <c r="P266" s="85"/>
    </row>
    <row r="267" spans="11:16">
      <c r="K267" s="85">
        <v>32</v>
      </c>
      <c r="N267" s="78"/>
      <c r="P267" s="85"/>
    </row>
    <row r="268" spans="11:16">
      <c r="K268" s="85">
        <v>33</v>
      </c>
      <c r="N268" s="78"/>
      <c r="P268" s="85"/>
    </row>
    <row r="269" spans="11:16">
      <c r="K269" s="85">
        <v>35</v>
      </c>
      <c r="N269" s="78"/>
      <c r="P269" s="85"/>
    </row>
    <row r="270" spans="11:16">
      <c r="K270" s="85">
        <v>36</v>
      </c>
      <c r="N270" s="78"/>
      <c r="P270" s="85"/>
    </row>
    <row r="271" spans="11:16">
      <c r="K271" s="85">
        <v>25</v>
      </c>
      <c r="N271" s="78"/>
      <c r="P271" s="85"/>
    </row>
    <row r="272" spans="11:16">
      <c r="K272" s="85">
        <v>27</v>
      </c>
      <c r="N272" s="78"/>
      <c r="P272" s="85"/>
    </row>
    <row r="273" spans="11:16">
      <c r="K273" s="85">
        <v>28</v>
      </c>
      <c r="N273" s="78"/>
      <c r="P273" s="85"/>
    </row>
    <row r="274" spans="11:16">
      <c r="K274" s="85">
        <v>31</v>
      </c>
      <c r="N274" s="78"/>
      <c r="P274" s="85"/>
    </row>
    <row r="275" spans="11:16">
      <c r="K275" s="85">
        <v>32</v>
      </c>
      <c r="N275" s="78"/>
      <c r="P275" s="85"/>
    </row>
    <row r="276" spans="11:16">
      <c r="K276" s="85">
        <v>33</v>
      </c>
      <c r="N276" s="78"/>
      <c r="P276" s="85"/>
    </row>
    <row r="277" spans="11:16">
      <c r="K277" s="85">
        <v>34</v>
      </c>
      <c r="N277" s="78"/>
      <c r="P277" s="85"/>
    </row>
    <row r="278" spans="11:16">
      <c r="K278" s="85">
        <v>35</v>
      </c>
      <c r="N278" s="78"/>
      <c r="P278" s="85"/>
    </row>
    <row r="279" spans="11:16">
      <c r="K279" s="85">
        <v>27</v>
      </c>
      <c r="N279" s="78"/>
      <c r="P279" s="85"/>
    </row>
    <row r="280" spans="11:16">
      <c r="K280" s="85">
        <v>28</v>
      </c>
      <c r="N280" s="78"/>
      <c r="P280" s="85"/>
    </row>
    <row r="281" spans="11:16">
      <c r="K281" s="85">
        <v>30</v>
      </c>
      <c r="N281" s="78"/>
      <c r="P281" s="85"/>
    </row>
    <row r="282" spans="11:16">
      <c r="K282" s="85">
        <v>31</v>
      </c>
      <c r="N282" s="78"/>
      <c r="P282" s="85"/>
    </row>
    <row r="283" spans="11:16">
      <c r="K283" s="85">
        <v>33</v>
      </c>
      <c r="N283" s="78"/>
      <c r="P283" s="85"/>
    </row>
    <row r="284" spans="11:16">
      <c r="K284" s="85">
        <v>34</v>
      </c>
      <c r="N284" s="78"/>
      <c r="P284" s="85"/>
    </row>
    <row r="285" spans="11:16">
      <c r="K285" s="85">
        <v>35</v>
      </c>
      <c r="N285" s="78"/>
      <c r="P285" s="85"/>
    </row>
    <row r="286" spans="11:16">
      <c r="K286" s="85">
        <v>25</v>
      </c>
      <c r="N286" s="78"/>
      <c r="P286" s="85"/>
    </row>
    <row r="287" spans="11:16">
      <c r="K287" s="85">
        <v>26</v>
      </c>
      <c r="N287" s="78"/>
      <c r="P287" s="85"/>
    </row>
    <row r="288" spans="11:16">
      <c r="K288" s="85">
        <v>27</v>
      </c>
      <c r="N288" s="78"/>
      <c r="P288" s="85"/>
    </row>
    <row r="289" spans="11:16">
      <c r="K289" s="85">
        <v>28</v>
      </c>
      <c r="N289" s="78"/>
      <c r="P289" s="85"/>
    </row>
    <row r="290" spans="11:16">
      <c r="K290" s="85">
        <v>29</v>
      </c>
      <c r="N290" s="78"/>
      <c r="P290" s="85"/>
    </row>
    <row r="291" spans="11:16">
      <c r="K291" s="85">
        <v>30</v>
      </c>
      <c r="N291" s="78"/>
      <c r="P291" s="85"/>
    </row>
    <row r="292" spans="11:16">
      <c r="K292" s="85">
        <v>31</v>
      </c>
      <c r="N292" s="78"/>
      <c r="P292" s="85"/>
    </row>
    <row r="293" spans="11:16">
      <c r="K293" s="85">
        <v>32</v>
      </c>
      <c r="N293" s="78"/>
      <c r="P293" s="85"/>
    </row>
    <row r="294" spans="11:16">
      <c r="K294" s="85">
        <v>34</v>
      </c>
      <c r="N294" s="78"/>
      <c r="P294" s="85"/>
    </row>
    <row r="295" spans="11:16">
      <c r="K295" s="85">
        <v>35</v>
      </c>
      <c r="N295" s="78"/>
      <c r="P295" s="85"/>
    </row>
    <row r="296" spans="11:16">
      <c r="K296" s="85">
        <v>36</v>
      </c>
      <c r="N296" s="78"/>
      <c r="P296" s="85"/>
    </row>
    <row r="297" spans="11:16">
      <c r="K297" s="85">
        <v>25</v>
      </c>
      <c r="N297" s="78"/>
      <c r="P297" s="85"/>
    </row>
    <row r="298" spans="11:16">
      <c r="K298" s="85">
        <v>26</v>
      </c>
      <c r="N298" s="78"/>
      <c r="P298" s="85"/>
    </row>
    <row r="299" spans="11:16">
      <c r="K299" s="85">
        <v>27</v>
      </c>
      <c r="N299" s="78"/>
      <c r="P299" s="85"/>
    </row>
    <row r="300" spans="11:16">
      <c r="K300" s="85">
        <v>28</v>
      </c>
      <c r="N300" s="78"/>
      <c r="P300" s="85"/>
    </row>
    <row r="301" spans="11:16">
      <c r="K301" s="85">
        <v>29</v>
      </c>
      <c r="N301" s="78"/>
      <c r="P301" s="85"/>
    </row>
    <row r="302" spans="11:16">
      <c r="K302" s="85">
        <v>30</v>
      </c>
      <c r="N302" s="78"/>
      <c r="P302" s="85"/>
    </row>
    <row r="303" spans="11:16">
      <c r="K303" s="85">
        <v>31</v>
      </c>
      <c r="N303" s="78"/>
      <c r="P303" s="85"/>
    </row>
    <row r="304" spans="11:16">
      <c r="K304" s="85">
        <v>32</v>
      </c>
      <c r="N304" s="78"/>
      <c r="P304" s="85"/>
    </row>
    <row r="305" spans="11:16">
      <c r="K305" s="85">
        <v>33</v>
      </c>
      <c r="N305" s="78"/>
      <c r="P305" s="85"/>
    </row>
    <row r="306" spans="11:16">
      <c r="K306" s="85">
        <v>34</v>
      </c>
      <c r="N306" s="78"/>
      <c r="P306" s="85"/>
    </row>
    <row r="307" spans="11:16">
      <c r="K307" s="85">
        <v>35</v>
      </c>
      <c r="N307" s="78"/>
      <c r="P307" s="85"/>
    </row>
    <row r="308" spans="11:16">
      <c r="K308" s="85">
        <v>25</v>
      </c>
      <c r="N308" s="78"/>
      <c r="P308" s="85"/>
    </row>
    <row r="309" spans="11:16">
      <c r="K309" s="85">
        <v>26</v>
      </c>
      <c r="N309" s="78"/>
      <c r="P309" s="85"/>
    </row>
    <row r="310" spans="11:16">
      <c r="K310" s="85">
        <v>27</v>
      </c>
      <c r="N310" s="78"/>
      <c r="P310" s="85"/>
    </row>
    <row r="311" spans="11:16">
      <c r="K311" s="85">
        <v>28</v>
      </c>
      <c r="N311" s="78"/>
      <c r="P311" s="85"/>
    </row>
    <row r="312" spans="11:16">
      <c r="K312" s="85">
        <v>29</v>
      </c>
      <c r="N312" s="78"/>
      <c r="P312" s="85"/>
    </row>
    <row r="313" spans="11:16">
      <c r="K313" s="85">
        <v>30</v>
      </c>
      <c r="N313" s="78"/>
      <c r="P313" s="85"/>
    </row>
    <row r="314" spans="11:16">
      <c r="K314" s="85">
        <v>31</v>
      </c>
      <c r="N314" s="78"/>
      <c r="P314" s="85"/>
    </row>
    <row r="315" spans="11:16">
      <c r="K315" s="85">
        <v>32</v>
      </c>
      <c r="N315" s="78"/>
      <c r="P315" s="85"/>
    </row>
    <row r="316" spans="11:16">
      <c r="K316" s="85">
        <v>33</v>
      </c>
      <c r="N316" s="78"/>
      <c r="P316" s="85"/>
    </row>
    <row r="317" spans="11:16">
      <c r="K317" s="85">
        <v>34</v>
      </c>
      <c r="N317" s="78"/>
      <c r="P317" s="85"/>
    </row>
    <row r="318" spans="11:16">
      <c r="K318" s="85">
        <v>35</v>
      </c>
      <c r="N318" s="78"/>
      <c r="P318" s="85"/>
    </row>
    <row r="319" spans="11:16">
      <c r="K319" s="85">
        <v>25</v>
      </c>
      <c r="N319" s="78"/>
      <c r="P319" s="85"/>
    </row>
    <row r="320" spans="11:16">
      <c r="K320" s="85">
        <v>26</v>
      </c>
      <c r="N320" s="78"/>
      <c r="P320" s="85"/>
    </row>
    <row r="321" spans="11:16">
      <c r="K321" s="85">
        <v>27</v>
      </c>
      <c r="N321" s="78"/>
      <c r="P321" s="85"/>
    </row>
    <row r="322" spans="11:16">
      <c r="K322" s="85">
        <v>29</v>
      </c>
      <c r="N322" s="78"/>
      <c r="P322" s="85"/>
    </row>
    <row r="323" spans="11:16">
      <c r="K323" s="85">
        <v>31</v>
      </c>
      <c r="N323" s="78"/>
      <c r="P323" s="85"/>
    </row>
    <row r="324" spans="11:16">
      <c r="K324" s="85">
        <v>32</v>
      </c>
      <c r="N324" s="78"/>
      <c r="P324" s="85"/>
    </row>
    <row r="325" spans="11:16">
      <c r="K325" s="85">
        <v>34</v>
      </c>
      <c r="N325" s="78"/>
      <c r="P325" s="85"/>
    </row>
    <row r="326" spans="11:16">
      <c r="K326" s="85">
        <v>35</v>
      </c>
      <c r="N326" s="78"/>
      <c r="P326" s="85"/>
    </row>
    <row r="327" spans="11:16">
      <c r="K327" s="85">
        <v>36</v>
      </c>
      <c r="N327" s="78"/>
      <c r="P327" s="85"/>
    </row>
    <row r="328" spans="11:16">
      <c r="K328" s="85">
        <v>26</v>
      </c>
      <c r="N328" s="78"/>
      <c r="P328" s="85"/>
    </row>
    <row r="329" spans="11:16">
      <c r="K329" s="85">
        <v>28</v>
      </c>
      <c r="N329" s="78"/>
      <c r="P329" s="85"/>
    </row>
    <row r="330" spans="11:16">
      <c r="K330" s="85">
        <v>29</v>
      </c>
      <c r="N330" s="78"/>
      <c r="P330" s="85"/>
    </row>
    <row r="331" spans="11:16">
      <c r="K331" s="85">
        <v>31</v>
      </c>
      <c r="N331" s="78"/>
      <c r="P331" s="85"/>
    </row>
    <row r="332" spans="11:16">
      <c r="K332" s="85">
        <v>33</v>
      </c>
      <c r="N332" s="78"/>
      <c r="P332" s="85"/>
    </row>
    <row r="333" spans="11:16">
      <c r="K333" s="85">
        <v>36</v>
      </c>
      <c r="N333" s="78"/>
      <c r="P333" s="85"/>
    </row>
    <row r="334" spans="11:16">
      <c r="K334" s="85">
        <v>25</v>
      </c>
      <c r="N334" s="78"/>
      <c r="P334" s="85"/>
    </row>
    <row r="335" spans="11:16">
      <c r="K335" s="85">
        <v>26</v>
      </c>
      <c r="N335" s="78"/>
      <c r="P335" s="85"/>
    </row>
    <row r="336" spans="11:16">
      <c r="K336" s="85">
        <v>27</v>
      </c>
      <c r="N336" s="78"/>
      <c r="P336" s="85"/>
    </row>
    <row r="337" spans="11:16">
      <c r="K337" s="85">
        <v>28</v>
      </c>
      <c r="N337" s="78"/>
      <c r="P337" s="85"/>
    </row>
    <row r="338" spans="11:16">
      <c r="K338" s="85">
        <v>31</v>
      </c>
      <c r="N338" s="78"/>
      <c r="P338" s="85"/>
    </row>
    <row r="339" spans="11:16">
      <c r="K339" s="85">
        <v>32</v>
      </c>
      <c r="N339" s="78"/>
      <c r="P339" s="85"/>
    </row>
    <row r="340" spans="11:16">
      <c r="K340" s="85">
        <v>33</v>
      </c>
      <c r="N340" s="78"/>
      <c r="P340" s="85"/>
    </row>
    <row r="341" spans="11:16">
      <c r="K341" s="85">
        <v>34</v>
      </c>
      <c r="N341" s="78"/>
      <c r="P341" s="85"/>
    </row>
    <row r="342" spans="11:16">
      <c r="K342" s="85">
        <v>35</v>
      </c>
      <c r="N342" s="78"/>
      <c r="P342" s="85"/>
    </row>
    <row r="343" spans="11:16">
      <c r="K343" s="85">
        <v>36</v>
      </c>
      <c r="N343" s="78"/>
      <c r="P343" s="85"/>
    </row>
    <row r="344" spans="11:16">
      <c r="K344" s="85">
        <v>25</v>
      </c>
      <c r="N344" s="78"/>
      <c r="P344" s="85"/>
    </row>
    <row r="345" spans="11:16">
      <c r="K345" s="85">
        <v>26</v>
      </c>
      <c r="N345" s="78"/>
      <c r="P345" s="85"/>
    </row>
    <row r="346" spans="11:16">
      <c r="K346" s="85">
        <v>27</v>
      </c>
      <c r="N346" s="78"/>
      <c r="P346" s="85"/>
    </row>
    <row r="347" spans="11:16">
      <c r="K347" s="85">
        <v>28</v>
      </c>
      <c r="N347" s="78"/>
      <c r="P347" s="85"/>
    </row>
    <row r="348" spans="11:16">
      <c r="K348" s="85">
        <v>29</v>
      </c>
      <c r="N348" s="78"/>
      <c r="P348" s="85"/>
    </row>
    <row r="349" spans="11:16">
      <c r="K349" s="85">
        <v>30</v>
      </c>
      <c r="N349" s="78"/>
      <c r="P349" s="85"/>
    </row>
    <row r="350" spans="11:16">
      <c r="K350" s="85">
        <v>31</v>
      </c>
      <c r="N350" s="78"/>
      <c r="P350" s="85"/>
    </row>
    <row r="351" spans="11:16">
      <c r="K351" s="85">
        <v>32</v>
      </c>
      <c r="N351" s="78"/>
      <c r="P351" s="85"/>
    </row>
    <row r="352" spans="11:16">
      <c r="K352" s="85">
        <v>33</v>
      </c>
      <c r="N352" s="78"/>
      <c r="P352" s="85"/>
    </row>
    <row r="353" spans="11:16">
      <c r="K353" s="85">
        <v>34</v>
      </c>
      <c r="N353" s="78"/>
      <c r="P353" s="85"/>
    </row>
    <row r="354" spans="11:16">
      <c r="K354" s="85">
        <v>35</v>
      </c>
      <c r="N354" s="78"/>
      <c r="P354" s="85"/>
    </row>
    <row r="355" spans="11:16">
      <c r="K355" s="85">
        <v>36</v>
      </c>
      <c r="N355" s="78"/>
      <c r="P355" s="85"/>
    </row>
    <row r="356" spans="11:16">
      <c r="K356" s="85">
        <v>25</v>
      </c>
      <c r="N356" s="78"/>
      <c r="P356" s="85"/>
    </row>
    <row r="357" spans="11:16">
      <c r="K357" s="85">
        <v>26</v>
      </c>
      <c r="N357" s="78"/>
      <c r="P357" s="85"/>
    </row>
    <row r="358" spans="11:16">
      <c r="K358" s="85">
        <v>31</v>
      </c>
      <c r="N358" s="78"/>
      <c r="P358" s="85"/>
    </row>
    <row r="359" spans="11:16">
      <c r="K359" s="85">
        <v>35</v>
      </c>
      <c r="N359" s="78"/>
      <c r="P359" s="85"/>
    </row>
    <row r="360" spans="11:16">
      <c r="K360" s="85">
        <v>25</v>
      </c>
      <c r="N360" s="78"/>
      <c r="P360" s="85"/>
    </row>
    <row r="361" spans="11:16">
      <c r="K361" s="85">
        <v>26</v>
      </c>
      <c r="N361" s="78"/>
      <c r="P361" s="85"/>
    </row>
    <row r="362" spans="11:16">
      <c r="K362" s="85">
        <v>27</v>
      </c>
      <c r="N362" s="78"/>
      <c r="P362" s="85"/>
    </row>
    <row r="363" spans="11:16">
      <c r="K363" s="85">
        <v>31</v>
      </c>
      <c r="N363" s="78"/>
      <c r="P363" s="85"/>
    </row>
    <row r="364" spans="11:16">
      <c r="K364" s="85">
        <v>34</v>
      </c>
      <c r="N364" s="78"/>
      <c r="P364" s="85"/>
    </row>
    <row r="365" spans="11:16">
      <c r="K365" s="85">
        <v>35</v>
      </c>
      <c r="N365" s="78"/>
      <c r="P365" s="85"/>
    </row>
    <row r="366" spans="11:16">
      <c r="K366" s="85">
        <v>25</v>
      </c>
      <c r="N366" s="78"/>
      <c r="P366" s="85"/>
    </row>
    <row r="367" spans="11:16">
      <c r="K367" s="85">
        <v>26</v>
      </c>
      <c r="N367" s="78"/>
      <c r="P367" s="85"/>
    </row>
    <row r="368" spans="11:16">
      <c r="K368" s="85">
        <v>27</v>
      </c>
      <c r="N368" s="78"/>
      <c r="P368" s="85"/>
    </row>
    <row r="369" spans="11:16">
      <c r="K369" s="85">
        <v>28</v>
      </c>
      <c r="N369" s="78"/>
      <c r="P369" s="85"/>
    </row>
    <row r="370" spans="11:16">
      <c r="K370" s="85">
        <v>29</v>
      </c>
      <c r="N370" s="78"/>
      <c r="P370" s="85"/>
    </row>
    <row r="371" spans="11:16">
      <c r="K371" s="85">
        <v>31</v>
      </c>
      <c r="N371" s="78"/>
      <c r="P371" s="85"/>
    </row>
    <row r="372" spans="11:16">
      <c r="K372" s="85">
        <v>32</v>
      </c>
      <c r="N372" s="78"/>
      <c r="P372" s="85"/>
    </row>
    <row r="373" spans="11:16">
      <c r="K373" s="85">
        <v>35</v>
      </c>
      <c r="N373" s="78"/>
      <c r="P373" s="85"/>
    </row>
    <row r="374" spans="11:16">
      <c r="K374" s="85">
        <v>25</v>
      </c>
      <c r="N374" s="78"/>
      <c r="P374" s="85"/>
    </row>
    <row r="375" spans="11:16">
      <c r="K375" s="85">
        <v>26</v>
      </c>
      <c r="N375" s="78"/>
      <c r="P375" s="85"/>
    </row>
    <row r="376" spans="11:16">
      <c r="K376" s="85">
        <v>27</v>
      </c>
      <c r="N376" s="78"/>
      <c r="P376" s="85"/>
    </row>
    <row r="377" spans="11:16">
      <c r="K377" s="85">
        <v>29</v>
      </c>
      <c r="N377" s="78"/>
      <c r="P377" s="85"/>
    </row>
    <row r="378" spans="11:16">
      <c r="K378" s="85">
        <v>30</v>
      </c>
      <c r="N378" s="78"/>
      <c r="P378" s="85"/>
    </row>
    <row r="379" spans="11:16">
      <c r="K379" s="85">
        <v>31</v>
      </c>
      <c r="N379" s="78"/>
      <c r="P379" s="85"/>
    </row>
    <row r="380" spans="11:16">
      <c r="K380" s="85">
        <v>32</v>
      </c>
      <c r="N380" s="78"/>
      <c r="P380" s="85"/>
    </row>
    <row r="381" spans="11:16">
      <c r="K381" s="85">
        <v>34</v>
      </c>
      <c r="N381" s="78"/>
      <c r="P381" s="85"/>
    </row>
    <row r="382" spans="11:16">
      <c r="K382" s="85">
        <v>35</v>
      </c>
      <c r="N382" s="78"/>
      <c r="P382" s="85"/>
    </row>
    <row r="383" spans="11:16">
      <c r="K383" s="85">
        <v>25</v>
      </c>
      <c r="N383" s="78"/>
      <c r="P383" s="85"/>
    </row>
    <row r="384" spans="11:16">
      <c r="K384" s="85">
        <v>26</v>
      </c>
      <c r="N384" s="78"/>
      <c r="P384" s="85"/>
    </row>
    <row r="385" spans="11:16">
      <c r="K385" s="85">
        <v>27</v>
      </c>
      <c r="N385" s="78"/>
      <c r="P385" s="85"/>
    </row>
    <row r="386" spans="11:16">
      <c r="K386" s="85">
        <v>28</v>
      </c>
      <c r="N386" s="78"/>
      <c r="P386" s="85"/>
    </row>
    <row r="387" spans="11:16">
      <c r="K387" s="85">
        <v>29</v>
      </c>
      <c r="N387" s="78"/>
      <c r="P387" s="85"/>
    </row>
    <row r="388" spans="11:16">
      <c r="K388" s="85">
        <v>31</v>
      </c>
      <c r="N388" s="78"/>
      <c r="P388" s="85"/>
    </row>
    <row r="389" spans="11:16">
      <c r="K389" s="85">
        <v>32</v>
      </c>
      <c r="N389" s="78"/>
      <c r="P389" s="85"/>
    </row>
    <row r="390" spans="11:16">
      <c r="K390" s="85">
        <v>33</v>
      </c>
      <c r="N390" s="78"/>
      <c r="P390" s="85"/>
    </row>
    <row r="391" spans="11:16">
      <c r="K391" s="85">
        <v>25</v>
      </c>
      <c r="N391" s="78"/>
      <c r="P391" s="85"/>
    </row>
    <row r="392" spans="11:16">
      <c r="K392" s="85">
        <v>26</v>
      </c>
      <c r="N392" s="78"/>
      <c r="P392" s="85"/>
    </row>
    <row r="393" spans="11:16">
      <c r="K393" s="85">
        <v>27</v>
      </c>
      <c r="N393" s="78"/>
      <c r="P393" s="85"/>
    </row>
    <row r="394" spans="11:16">
      <c r="K394" s="85">
        <v>29</v>
      </c>
      <c r="N394" s="78"/>
      <c r="P394" s="85"/>
    </row>
    <row r="395" spans="11:16">
      <c r="K395" s="85">
        <v>31</v>
      </c>
      <c r="N395" s="78"/>
      <c r="P395" s="85"/>
    </row>
    <row r="396" spans="11:16">
      <c r="K396" s="85">
        <v>32</v>
      </c>
      <c r="N396" s="78"/>
      <c r="P396" s="85"/>
    </row>
    <row r="397" spans="11:16">
      <c r="K397" s="85">
        <v>34</v>
      </c>
      <c r="N397" s="78"/>
      <c r="P397" s="85"/>
    </row>
    <row r="398" spans="11:16">
      <c r="K398" s="85">
        <v>35</v>
      </c>
      <c r="N398" s="78"/>
      <c r="P398" s="85"/>
    </row>
    <row r="399" spans="11:16">
      <c r="K399" s="85">
        <v>25</v>
      </c>
      <c r="N399" s="78"/>
      <c r="P399" s="85"/>
    </row>
    <row r="400" spans="11:16">
      <c r="K400" s="85">
        <v>26</v>
      </c>
      <c r="N400" s="78"/>
      <c r="P400" s="85"/>
    </row>
    <row r="401" spans="11:16">
      <c r="K401" s="85">
        <v>27</v>
      </c>
      <c r="N401" s="78"/>
      <c r="P401" s="85"/>
    </row>
    <row r="402" spans="11:16">
      <c r="K402" s="85">
        <v>28</v>
      </c>
      <c r="N402" s="78"/>
      <c r="P402" s="85"/>
    </row>
    <row r="403" spans="11:16">
      <c r="K403" s="85">
        <v>29</v>
      </c>
      <c r="N403" s="78"/>
      <c r="P403" s="85"/>
    </row>
    <row r="404" spans="11:16">
      <c r="K404" s="85">
        <v>30</v>
      </c>
      <c r="N404" s="78"/>
      <c r="P404" s="85"/>
    </row>
    <row r="405" spans="11:16">
      <c r="K405" s="85">
        <v>31</v>
      </c>
      <c r="N405" s="78"/>
      <c r="P405" s="85"/>
    </row>
    <row r="406" spans="11:16">
      <c r="K406" s="85">
        <v>32</v>
      </c>
      <c r="N406" s="78"/>
      <c r="P406" s="85"/>
    </row>
    <row r="407" spans="11:16">
      <c r="K407" s="85">
        <v>34</v>
      </c>
      <c r="N407" s="78"/>
      <c r="P407" s="85"/>
    </row>
    <row r="408" spans="11:16">
      <c r="K408" s="85">
        <v>35</v>
      </c>
      <c r="N408" s="78"/>
      <c r="P408" s="85"/>
    </row>
    <row r="409" spans="11:16">
      <c r="K409" s="85">
        <v>36</v>
      </c>
      <c r="N409" s="78"/>
      <c r="P409" s="85"/>
    </row>
    <row r="410" spans="11:16">
      <c r="K410" s="85">
        <v>25</v>
      </c>
      <c r="N410" s="78"/>
      <c r="P410" s="85"/>
    </row>
    <row r="411" spans="11:16">
      <c r="K411" s="85">
        <v>26</v>
      </c>
      <c r="N411" s="78"/>
      <c r="P411" s="85"/>
    </row>
    <row r="412" spans="11:16">
      <c r="K412" s="85">
        <v>27</v>
      </c>
      <c r="N412" s="78"/>
      <c r="P412" s="85"/>
    </row>
    <row r="413" spans="11:16">
      <c r="K413" s="85">
        <v>28</v>
      </c>
      <c r="N413" s="78"/>
      <c r="P413" s="85"/>
    </row>
    <row r="414" spans="11:16">
      <c r="K414" s="85">
        <v>29</v>
      </c>
      <c r="N414" s="78"/>
      <c r="P414" s="85"/>
    </row>
    <row r="415" spans="11:16">
      <c r="K415" s="85">
        <v>30</v>
      </c>
      <c r="N415" s="78"/>
      <c r="P415" s="85"/>
    </row>
    <row r="416" spans="11:16">
      <c r="K416" s="85">
        <v>31</v>
      </c>
      <c r="N416" s="78"/>
      <c r="P416" s="85"/>
    </row>
    <row r="417" spans="11:16">
      <c r="K417" s="85">
        <v>32</v>
      </c>
      <c r="N417" s="78"/>
      <c r="P417" s="85"/>
    </row>
    <row r="418" spans="11:16">
      <c r="K418" s="85">
        <v>33</v>
      </c>
      <c r="N418" s="78"/>
      <c r="P418" s="85"/>
    </row>
    <row r="419" spans="11:16">
      <c r="K419" s="85">
        <v>36</v>
      </c>
      <c r="N419" s="78"/>
      <c r="P419" s="85"/>
    </row>
    <row r="420" spans="11:16">
      <c r="K420" s="85">
        <v>25</v>
      </c>
      <c r="N420" s="78"/>
      <c r="P420" s="85"/>
    </row>
    <row r="421" spans="11:16">
      <c r="K421" s="85">
        <v>26</v>
      </c>
      <c r="N421" s="78"/>
      <c r="P421" s="85"/>
    </row>
    <row r="422" spans="11:16">
      <c r="K422" s="85">
        <v>27</v>
      </c>
      <c r="N422" s="78"/>
      <c r="P422" s="85"/>
    </row>
    <row r="423" spans="11:16">
      <c r="K423" s="85">
        <v>28</v>
      </c>
      <c r="N423" s="78"/>
      <c r="P423" s="85"/>
    </row>
    <row r="424" spans="11:16">
      <c r="K424" s="85">
        <v>29</v>
      </c>
      <c r="N424" s="78"/>
      <c r="P424" s="85"/>
    </row>
    <row r="425" spans="11:16">
      <c r="K425" s="85">
        <v>30</v>
      </c>
      <c r="N425" s="78"/>
      <c r="P425" s="85"/>
    </row>
    <row r="426" spans="11:16">
      <c r="K426" s="85">
        <v>31</v>
      </c>
      <c r="N426" s="78"/>
      <c r="P426" s="85"/>
    </row>
    <row r="427" spans="11:16">
      <c r="K427" s="85">
        <v>32</v>
      </c>
      <c r="N427" s="78"/>
      <c r="P427" s="85"/>
    </row>
    <row r="428" spans="11:16">
      <c r="K428" s="85">
        <v>33</v>
      </c>
      <c r="N428" s="78"/>
      <c r="P428" s="85"/>
    </row>
    <row r="429" spans="11:16">
      <c r="K429" s="85">
        <v>35</v>
      </c>
      <c r="N429" s="78"/>
      <c r="P429" s="85"/>
    </row>
    <row r="430" spans="11:16">
      <c r="K430" s="85">
        <v>25</v>
      </c>
      <c r="N430" s="78"/>
      <c r="P430" s="85"/>
    </row>
    <row r="431" spans="11:16">
      <c r="K431" s="85">
        <v>27</v>
      </c>
      <c r="N431" s="78"/>
      <c r="P431" s="85"/>
    </row>
    <row r="432" spans="11:16">
      <c r="K432" s="85">
        <v>31</v>
      </c>
      <c r="N432" s="78"/>
      <c r="P432" s="85"/>
    </row>
    <row r="433" spans="11:16">
      <c r="K433" s="85">
        <v>32</v>
      </c>
      <c r="N433" s="78"/>
      <c r="P433" s="85"/>
    </row>
    <row r="434" spans="11:16">
      <c r="K434" s="85">
        <v>34</v>
      </c>
      <c r="N434" s="78"/>
      <c r="P434" s="85"/>
    </row>
    <row r="435" spans="11:16">
      <c r="K435" s="85">
        <v>35</v>
      </c>
      <c r="N435" s="78"/>
      <c r="P435" s="85"/>
    </row>
    <row r="436" spans="11:16">
      <c r="K436" s="85">
        <v>36</v>
      </c>
      <c r="N436" s="78"/>
      <c r="P436" s="85"/>
    </row>
    <row r="437" spans="11:16">
      <c r="K437" s="85">
        <v>25</v>
      </c>
      <c r="N437" s="78"/>
      <c r="P437" s="85"/>
    </row>
    <row r="438" spans="11:16">
      <c r="K438" s="85">
        <v>26</v>
      </c>
      <c r="N438" s="78"/>
      <c r="P438" s="85"/>
    </row>
    <row r="439" spans="11:16">
      <c r="K439" s="85">
        <v>27</v>
      </c>
      <c r="N439" s="78"/>
      <c r="P439" s="85"/>
    </row>
    <row r="440" spans="11:16">
      <c r="K440" s="85">
        <v>28</v>
      </c>
      <c r="N440" s="78"/>
      <c r="P440" s="85"/>
    </row>
    <row r="441" spans="11:16">
      <c r="K441" s="85">
        <v>29</v>
      </c>
      <c r="N441" s="78"/>
      <c r="P441" s="85"/>
    </row>
    <row r="442" spans="11:16">
      <c r="K442" s="85">
        <v>30</v>
      </c>
      <c r="N442" s="78"/>
      <c r="P442" s="85"/>
    </row>
    <row r="443" spans="11:16">
      <c r="K443" s="85">
        <v>31</v>
      </c>
      <c r="N443" s="78"/>
      <c r="P443" s="85"/>
    </row>
    <row r="444" spans="11:16">
      <c r="K444" s="85">
        <v>34</v>
      </c>
      <c r="N444" s="78"/>
      <c r="P444" s="85"/>
    </row>
    <row r="445" spans="11:16">
      <c r="K445" s="85">
        <v>35</v>
      </c>
      <c r="N445" s="78"/>
      <c r="P445" s="85"/>
    </row>
    <row r="446" spans="11:16">
      <c r="K446" s="85">
        <v>25</v>
      </c>
      <c r="N446" s="78"/>
      <c r="P446" s="85"/>
    </row>
    <row r="447" spans="11:16">
      <c r="K447" s="85">
        <v>26</v>
      </c>
      <c r="N447" s="78"/>
      <c r="P447" s="85"/>
    </row>
    <row r="448" spans="11:16">
      <c r="K448" s="85">
        <v>27</v>
      </c>
      <c r="N448" s="78"/>
      <c r="P448" s="85"/>
    </row>
    <row r="449" spans="11:16">
      <c r="K449" s="85">
        <v>28</v>
      </c>
      <c r="N449" s="78"/>
      <c r="P449" s="85"/>
    </row>
    <row r="450" spans="11:16">
      <c r="K450" s="85">
        <v>29</v>
      </c>
      <c r="N450" s="78"/>
      <c r="P450" s="85"/>
    </row>
    <row r="451" spans="11:16">
      <c r="K451" s="85">
        <v>30</v>
      </c>
      <c r="N451" s="78"/>
      <c r="P451" s="85"/>
    </row>
    <row r="452" spans="11:16">
      <c r="K452" s="85">
        <v>31</v>
      </c>
      <c r="N452" s="78"/>
      <c r="P452" s="85"/>
    </row>
    <row r="453" spans="11:16">
      <c r="K453" s="85">
        <v>32</v>
      </c>
      <c r="N453" s="78"/>
      <c r="P453" s="85"/>
    </row>
    <row r="454" spans="11:16">
      <c r="K454" s="85">
        <v>34</v>
      </c>
      <c r="N454" s="78"/>
      <c r="P454" s="85"/>
    </row>
    <row r="455" spans="11:16">
      <c r="K455" s="85">
        <v>35</v>
      </c>
      <c r="N455" s="78"/>
      <c r="P455" s="85"/>
    </row>
    <row r="456" spans="11:16">
      <c r="K456" s="85">
        <v>25</v>
      </c>
      <c r="N456" s="78"/>
      <c r="P456" s="85"/>
    </row>
    <row r="457" spans="11:16">
      <c r="K457" s="85">
        <v>26</v>
      </c>
      <c r="N457" s="78"/>
      <c r="P457" s="85"/>
    </row>
    <row r="458" spans="11:16">
      <c r="K458" s="85">
        <v>31</v>
      </c>
      <c r="N458" s="78"/>
      <c r="P458" s="85"/>
    </row>
    <row r="459" spans="11:16">
      <c r="K459" s="85">
        <v>34</v>
      </c>
      <c r="N459" s="78"/>
      <c r="P459" s="85"/>
    </row>
    <row r="460" spans="11:16">
      <c r="K460" s="85">
        <v>35</v>
      </c>
      <c r="N460" s="78"/>
      <c r="P460" s="85"/>
    </row>
    <row r="461" spans="11:16">
      <c r="K461" s="85">
        <v>26</v>
      </c>
      <c r="N461" s="78"/>
      <c r="P461" s="85"/>
    </row>
    <row r="462" spans="11:16">
      <c r="K462" s="85">
        <v>27</v>
      </c>
      <c r="N462" s="78"/>
      <c r="P462" s="85"/>
    </row>
    <row r="463" spans="11:16">
      <c r="K463" s="85">
        <v>28</v>
      </c>
      <c r="N463" s="78"/>
      <c r="P463" s="85"/>
    </row>
    <row r="464" spans="11:16">
      <c r="K464" s="85">
        <v>30</v>
      </c>
      <c r="N464" s="78"/>
      <c r="P464" s="85"/>
    </row>
    <row r="465" spans="11:16">
      <c r="K465" s="85">
        <v>31</v>
      </c>
      <c r="N465" s="78"/>
      <c r="P465" s="85"/>
    </row>
    <row r="466" spans="11:16">
      <c r="K466" s="85">
        <v>32</v>
      </c>
      <c r="N466" s="78"/>
      <c r="P466" s="85"/>
    </row>
    <row r="467" spans="11:16">
      <c r="K467" s="85">
        <v>34</v>
      </c>
      <c r="N467" s="78"/>
      <c r="P467" s="85"/>
    </row>
    <row r="468" spans="11:16">
      <c r="K468" s="85">
        <v>35</v>
      </c>
      <c r="N468" s="78"/>
      <c r="P468" s="85"/>
    </row>
    <row r="469" spans="11:16">
      <c r="K469" s="85">
        <v>25</v>
      </c>
      <c r="N469" s="78"/>
      <c r="P469" s="85"/>
    </row>
    <row r="470" spans="11:16">
      <c r="K470" s="85">
        <v>27</v>
      </c>
      <c r="N470" s="78"/>
      <c r="P470" s="85"/>
    </row>
    <row r="471" spans="11:16">
      <c r="K471" s="85">
        <v>30</v>
      </c>
      <c r="N471" s="78"/>
      <c r="P471" s="85"/>
    </row>
    <row r="472" spans="11:16">
      <c r="K472" s="85">
        <v>31</v>
      </c>
      <c r="N472" s="78"/>
      <c r="P472" s="85"/>
    </row>
    <row r="473" spans="11:16">
      <c r="K473" s="85">
        <v>35</v>
      </c>
      <c r="N473" s="78"/>
      <c r="P473" s="85"/>
    </row>
    <row r="474" spans="11:16">
      <c r="K474" s="85">
        <v>32</v>
      </c>
      <c r="N474" s="78"/>
      <c r="P474" s="85"/>
    </row>
    <row r="475" spans="11:16">
      <c r="K475" s="85">
        <v>33</v>
      </c>
      <c r="N475" s="78"/>
      <c r="P475" s="85"/>
    </row>
    <row r="476" spans="11:16">
      <c r="K476" s="85">
        <v>36</v>
      </c>
      <c r="N476" s="78"/>
      <c r="P476" s="85"/>
    </row>
    <row r="477" spans="11:16">
      <c r="K477" s="85">
        <v>27</v>
      </c>
      <c r="N477" s="78"/>
      <c r="P477" s="85"/>
    </row>
    <row r="478" spans="11:16">
      <c r="K478" s="85">
        <v>28</v>
      </c>
      <c r="N478" s="78"/>
      <c r="P478" s="85"/>
    </row>
    <row r="479" spans="11:16">
      <c r="K479" s="85">
        <v>36</v>
      </c>
      <c r="N479" s="78"/>
      <c r="P479" s="85"/>
    </row>
    <row r="480" spans="11:16">
      <c r="K480" s="85">
        <v>27</v>
      </c>
      <c r="N480" s="78"/>
      <c r="P480" s="85"/>
    </row>
    <row r="481" spans="11:16">
      <c r="K481" s="85">
        <v>31</v>
      </c>
      <c r="N481" s="78"/>
      <c r="P481" s="85"/>
    </row>
    <row r="482" spans="11:16">
      <c r="K482" s="85">
        <v>32</v>
      </c>
      <c r="N482" s="78"/>
      <c r="P482" s="85"/>
    </row>
    <row r="483" spans="11:16">
      <c r="K483" s="85">
        <v>34</v>
      </c>
      <c r="N483" s="78"/>
      <c r="P483" s="85"/>
    </row>
    <row r="484" spans="11:16">
      <c r="K484" s="85">
        <v>35</v>
      </c>
      <c r="N484" s="78"/>
      <c r="P484" s="85"/>
    </row>
    <row r="485" spans="11:16">
      <c r="K485" s="85">
        <v>25</v>
      </c>
      <c r="N485" s="78"/>
      <c r="P485" s="85"/>
    </row>
    <row r="486" spans="11:16">
      <c r="K486" s="85">
        <v>26</v>
      </c>
      <c r="N486" s="78"/>
      <c r="P486" s="85"/>
    </row>
    <row r="487" spans="11:16">
      <c r="K487" s="85">
        <v>27</v>
      </c>
      <c r="N487" s="78"/>
      <c r="P487" s="85"/>
    </row>
    <row r="488" spans="11:16">
      <c r="K488" s="85">
        <v>28</v>
      </c>
      <c r="N488" s="78"/>
      <c r="P488" s="85"/>
    </row>
    <row r="489" spans="11:16">
      <c r="K489" s="85">
        <v>29</v>
      </c>
      <c r="N489" s="78"/>
      <c r="P489" s="85"/>
    </row>
    <row r="490" spans="11:16">
      <c r="K490" s="85">
        <v>30</v>
      </c>
      <c r="N490" s="78"/>
      <c r="P490" s="85"/>
    </row>
    <row r="491" spans="11:16">
      <c r="K491" s="85">
        <v>31</v>
      </c>
      <c r="N491" s="78"/>
      <c r="P491" s="85"/>
    </row>
    <row r="492" spans="11:16">
      <c r="K492" s="85">
        <v>34</v>
      </c>
      <c r="N492" s="78"/>
      <c r="P492" s="85"/>
    </row>
    <row r="493" spans="11:16">
      <c r="K493" s="85">
        <v>35</v>
      </c>
      <c r="N493" s="78"/>
      <c r="P493" s="85"/>
    </row>
    <row r="494" spans="11:16">
      <c r="K494" s="85">
        <v>36</v>
      </c>
      <c r="N494" s="78"/>
      <c r="P494" s="85"/>
    </row>
    <row r="495" spans="11:16">
      <c r="K495" s="85">
        <v>25</v>
      </c>
      <c r="N495" s="78"/>
      <c r="P495" s="85"/>
    </row>
    <row r="496" spans="11:16">
      <c r="K496" s="85">
        <v>26</v>
      </c>
      <c r="N496" s="78"/>
      <c r="P496" s="85"/>
    </row>
    <row r="497" spans="11:16">
      <c r="K497" s="85">
        <v>27</v>
      </c>
      <c r="N497" s="78"/>
      <c r="P497" s="85"/>
    </row>
    <row r="498" spans="11:16">
      <c r="K498" s="85">
        <v>28</v>
      </c>
      <c r="N498" s="78"/>
      <c r="P498" s="85"/>
    </row>
    <row r="499" spans="11:16">
      <c r="K499" s="85">
        <v>29</v>
      </c>
      <c r="N499" s="78"/>
      <c r="P499" s="85"/>
    </row>
    <row r="500" spans="11:16">
      <c r="K500" s="85">
        <v>30</v>
      </c>
      <c r="N500" s="78"/>
      <c r="P500" s="85"/>
    </row>
    <row r="501" spans="11:16">
      <c r="K501" s="85">
        <v>31</v>
      </c>
      <c r="N501" s="78"/>
      <c r="P501" s="85"/>
    </row>
    <row r="502" spans="11:16">
      <c r="K502" s="85">
        <v>32</v>
      </c>
      <c r="N502" s="78"/>
      <c r="P502" s="85"/>
    </row>
    <row r="503" spans="11:16">
      <c r="K503" s="85">
        <v>33</v>
      </c>
      <c r="N503" s="78"/>
      <c r="P503" s="85"/>
    </row>
    <row r="504" spans="11:16">
      <c r="K504" s="85">
        <v>34</v>
      </c>
      <c r="N504" s="78"/>
      <c r="P504" s="85"/>
    </row>
    <row r="505" spans="11:16">
      <c r="K505" s="85">
        <v>35</v>
      </c>
      <c r="N505" s="78"/>
      <c r="P505" s="85"/>
    </row>
    <row r="506" spans="11:16">
      <c r="K506" s="85">
        <v>25</v>
      </c>
      <c r="N506" s="78"/>
      <c r="P506" s="85"/>
    </row>
    <row r="507" spans="11:16">
      <c r="K507" s="85">
        <v>26</v>
      </c>
      <c r="N507" s="78"/>
      <c r="P507" s="85"/>
    </row>
    <row r="508" spans="11:16">
      <c r="K508" s="85">
        <v>27</v>
      </c>
      <c r="N508" s="78"/>
      <c r="P508" s="85"/>
    </row>
    <row r="509" spans="11:16">
      <c r="K509" s="85">
        <v>28</v>
      </c>
      <c r="N509" s="78"/>
      <c r="P509" s="85"/>
    </row>
    <row r="510" spans="11:16">
      <c r="K510" s="85">
        <v>29</v>
      </c>
      <c r="N510" s="78"/>
      <c r="P510" s="85"/>
    </row>
    <row r="511" spans="11:16">
      <c r="K511" s="85">
        <v>30</v>
      </c>
      <c r="N511" s="78"/>
      <c r="P511" s="85"/>
    </row>
    <row r="512" spans="11:16">
      <c r="K512" s="85">
        <v>31</v>
      </c>
      <c r="N512" s="78"/>
      <c r="P512" s="85"/>
    </row>
    <row r="513" spans="11:16">
      <c r="K513" s="85">
        <v>32</v>
      </c>
      <c r="N513" s="78"/>
      <c r="P513" s="85"/>
    </row>
    <row r="514" spans="11:16">
      <c r="K514" s="85">
        <v>33</v>
      </c>
      <c r="N514" s="78"/>
      <c r="P514" s="85"/>
    </row>
    <row r="515" spans="11:16">
      <c r="K515" s="85">
        <v>34</v>
      </c>
      <c r="N515" s="78"/>
      <c r="P515" s="85"/>
    </row>
    <row r="516" spans="11:16">
      <c r="K516" s="85">
        <v>35</v>
      </c>
      <c r="N516" s="78"/>
      <c r="P516" s="85"/>
    </row>
    <row r="517" spans="11:16">
      <c r="K517" s="85">
        <v>36</v>
      </c>
      <c r="N517" s="78"/>
      <c r="P517" s="85"/>
    </row>
    <row r="518" spans="11:16">
      <c r="K518" s="85">
        <v>27</v>
      </c>
      <c r="N518" s="78"/>
      <c r="P518" s="85"/>
    </row>
    <row r="519" spans="11:16">
      <c r="K519" s="85">
        <v>31</v>
      </c>
      <c r="N519" s="78"/>
      <c r="P519" s="85"/>
    </row>
    <row r="520" spans="11:16">
      <c r="K520" s="85">
        <v>35</v>
      </c>
      <c r="N520" s="78"/>
      <c r="P520" s="85"/>
    </row>
    <row r="521" spans="11:16">
      <c r="K521" s="85">
        <v>25</v>
      </c>
      <c r="N521" s="78"/>
      <c r="P521" s="85"/>
    </row>
    <row r="522" spans="11:16">
      <c r="K522" s="85">
        <v>26</v>
      </c>
      <c r="N522" s="78"/>
      <c r="P522" s="85"/>
    </row>
    <row r="523" spans="11:16">
      <c r="K523" s="85">
        <v>27</v>
      </c>
      <c r="N523" s="78"/>
      <c r="P523" s="85"/>
    </row>
    <row r="524" spans="11:16">
      <c r="K524" s="85">
        <v>28</v>
      </c>
      <c r="N524" s="78"/>
      <c r="P524" s="85"/>
    </row>
    <row r="525" spans="11:16">
      <c r="K525" s="85">
        <v>29</v>
      </c>
      <c r="N525" s="78"/>
      <c r="P525" s="85"/>
    </row>
    <row r="526" spans="11:16">
      <c r="K526" s="85">
        <v>30</v>
      </c>
      <c r="N526" s="78"/>
      <c r="P526" s="85"/>
    </row>
    <row r="527" spans="11:16">
      <c r="K527" s="85">
        <v>31</v>
      </c>
      <c r="N527" s="78"/>
      <c r="P527" s="85"/>
    </row>
    <row r="528" spans="11:16">
      <c r="K528" s="85">
        <v>32</v>
      </c>
      <c r="N528" s="78"/>
      <c r="P528" s="85"/>
    </row>
    <row r="529" spans="11:16">
      <c r="K529" s="85">
        <v>34</v>
      </c>
      <c r="N529" s="78"/>
      <c r="P529" s="85"/>
    </row>
    <row r="530" spans="11:16">
      <c r="K530" s="85">
        <v>35</v>
      </c>
      <c r="N530" s="78"/>
      <c r="P530" s="85"/>
    </row>
    <row r="531" spans="11:16">
      <c r="K531" s="85">
        <v>36</v>
      </c>
      <c r="N531" s="78"/>
      <c r="P531" s="85"/>
    </row>
    <row r="532" spans="11:16">
      <c r="K532" s="85">
        <v>25</v>
      </c>
      <c r="N532" s="78"/>
      <c r="P532" s="85"/>
    </row>
    <row r="533" spans="11:16">
      <c r="K533" s="85">
        <v>26</v>
      </c>
      <c r="N533" s="78"/>
      <c r="P533" s="85"/>
    </row>
    <row r="534" spans="11:16">
      <c r="K534" s="85">
        <v>27</v>
      </c>
      <c r="N534" s="78"/>
      <c r="P534" s="85"/>
    </row>
    <row r="535" spans="11:16">
      <c r="K535" s="85">
        <v>28</v>
      </c>
      <c r="N535" s="78"/>
      <c r="P535" s="85"/>
    </row>
    <row r="536" spans="11:16">
      <c r="K536" s="85">
        <v>29</v>
      </c>
      <c r="N536" s="78"/>
      <c r="P536" s="85"/>
    </row>
    <row r="537" spans="11:16">
      <c r="K537" s="85">
        <v>30</v>
      </c>
      <c r="N537" s="78"/>
      <c r="P537" s="85"/>
    </row>
    <row r="538" spans="11:16">
      <c r="K538" s="85">
        <v>31</v>
      </c>
      <c r="N538" s="78"/>
      <c r="P538" s="85"/>
    </row>
    <row r="539" spans="11:16">
      <c r="K539" s="85">
        <v>32</v>
      </c>
      <c r="N539" s="78"/>
      <c r="P539" s="85"/>
    </row>
    <row r="540" spans="11:16">
      <c r="K540" s="85">
        <v>33</v>
      </c>
      <c r="N540" s="78"/>
      <c r="P540" s="85"/>
    </row>
    <row r="541" spans="11:16">
      <c r="K541" s="85">
        <v>34</v>
      </c>
      <c r="N541" s="78"/>
      <c r="P541" s="85"/>
    </row>
    <row r="542" spans="11:16">
      <c r="K542" s="85">
        <v>35</v>
      </c>
      <c r="N542" s="78"/>
      <c r="P542" s="85"/>
    </row>
    <row r="543" spans="11:16">
      <c r="K543" s="85">
        <v>25</v>
      </c>
      <c r="N543" s="78"/>
      <c r="P543" s="85"/>
    </row>
    <row r="544" spans="11:16">
      <c r="K544" s="85">
        <v>27</v>
      </c>
      <c r="N544" s="78"/>
      <c r="P544" s="85"/>
    </row>
    <row r="545" spans="11:16">
      <c r="K545" s="85">
        <v>28</v>
      </c>
      <c r="N545" s="78"/>
      <c r="P545" s="85"/>
    </row>
    <row r="546" spans="11:16">
      <c r="K546" s="85">
        <v>29</v>
      </c>
      <c r="N546" s="78"/>
      <c r="P546" s="85"/>
    </row>
    <row r="547" spans="11:16">
      <c r="K547" s="85">
        <v>30</v>
      </c>
      <c r="N547" s="78"/>
      <c r="P547" s="85"/>
    </row>
    <row r="548" spans="11:16">
      <c r="K548" s="85">
        <v>31</v>
      </c>
      <c r="N548" s="78"/>
      <c r="P548" s="85"/>
    </row>
    <row r="549" spans="11:16">
      <c r="K549" s="85">
        <v>32</v>
      </c>
      <c r="N549" s="78"/>
      <c r="P549" s="85"/>
    </row>
    <row r="550" spans="11:16">
      <c r="K550" s="85">
        <v>35</v>
      </c>
      <c r="N550" s="78"/>
      <c r="P550" s="85"/>
    </row>
    <row r="551" spans="11:16">
      <c r="K551" s="85">
        <v>26</v>
      </c>
      <c r="N551" s="78"/>
      <c r="P551" s="85"/>
    </row>
    <row r="552" spans="11:16">
      <c r="K552" s="85">
        <v>27</v>
      </c>
      <c r="N552" s="78"/>
      <c r="P552" s="85"/>
    </row>
    <row r="553" spans="11:16">
      <c r="K553" s="85">
        <v>31</v>
      </c>
      <c r="N553" s="78"/>
      <c r="P553" s="85"/>
    </row>
    <row r="554" spans="11:16">
      <c r="K554" s="85">
        <v>32</v>
      </c>
      <c r="N554" s="78"/>
      <c r="P554" s="85"/>
    </row>
    <row r="555" spans="11:16">
      <c r="K555" s="85">
        <v>33</v>
      </c>
      <c r="N555" s="78"/>
      <c r="P555" s="85"/>
    </row>
    <row r="556" spans="11:16">
      <c r="K556" s="85">
        <v>27</v>
      </c>
      <c r="N556" s="78"/>
      <c r="P556" s="85"/>
    </row>
    <row r="557" spans="11:16">
      <c r="K557" s="85">
        <v>31</v>
      </c>
      <c r="N557" s="78"/>
      <c r="P557" s="85"/>
    </row>
    <row r="558" spans="11:16">
      <c r="K558" s="85">
        <v>32</v>
      </c>
      <c r="N558" s="78"/>
      <c r="P558" s="85"/>
    </row>
    <row r="559" spans="11:16">
      <c r="K559" s="85">
        <v>33</v>
      </c>
      <c r="N559" s="78"/>
      <c r="P559" s="85"/>
    </row>
    <row r="560" spans="11:16">
      <c r="K560" s="85">
        <v>34</v>
      </c>
      <c r="N560" s="78"/>
      <c r="P560" s="85"/>
    </row>
    <row r="561" spans="11:16">
      <c r="K561" s="85">
        <v>35</v>
      </c>
      <c r="N561" s="78"/>
      <c r="P561" s="85"/>
    </row>
    <row r="562" spans="11:16">
      <c r="K562" s="85">
        <v>26</v>
      </c>
      <c r="N562" s="78"/>
      <c r="P562" s="85"/>
    </row>
    <row r="563" spans="11:16">
      <c r="K563" s="85">
        <v>27</v>
      </c>
      <c r="N563" s="78"/>
      <c r="P563" s="85"/>
    </row>
    <row r="564" spans="11:16">
      <c r="K564" s="85">
        <v>30</v>
      </c>
      <c r="N564" s="78"/>
      <c r="P564" s="85"/>
    </row>
    <row r="565" spans="11:16">
      <c r="K565" s="85">
        <v>31</v>
      </c>
      <c r="N565" s="78"/>
      <c r="P565" s="85"/>
    </row>
    <row r="566" spans="11:16">
      <c r="K566" s="85">
        <v>34</v>
      </c>
      <c r="N566" s="78"/>
      <c r="P566" s="85"/>
    </row>
    <row r="567" spans="11:16">
      <c r="K567" s="85">
        <v>35</v>
      </c>
      <c r="N567" s="78"/>
      <c r="P567" s="85"/>
    </row>
    <row r="568" spans="11:16">
      <c r="K568" s="85">
        <v>36</v>
      </c>
      <c r="N568" s="78"/>
      <c r="P568" s="85"/>
    </row>
    <row r="569" spans="11:16">
      <c r="K569" s="85">
        <v>25</v>
      </c>
      <c r="N569" s="78"/>
      <c r="P569" s="85"/>
    </row>
    <row r="570" spans="11:16">
      <c r="K570" s="85">
        <v>26</v>
      </c>
      <c r="N570" s="78"/>
      <c r="P570" s="85"/>
    </row>
    <row r="571" spans="11:16">
      <c r="K571" s="85">
        <v>27</v>
      </c>
      <c r="N571" s="78"/>
      <c r="P571" s="85"/>
    </row>
    <row r="572" spans="11:16">
      <c r="K572" s="85">
        <v>28</v>
      </c>
      <c r="N572" s="78"/>
      <c r="P572" s="85"/>
    </row>
    <row r="573" spans="11:16">
      <c r="K573" s="85">
        <v>29</v>
      </c>
      <c r="N573" s="78"/>
      <c r="P573" s="85"/>
    </row>
    <row r="574" spans="11:16">
      <c r="K574" s="85">
        <v>30</v>
      </c>
      <c r="N574" s="78"/>
      <c r="P574" s="85"/>
    </row>
    <row r="575" spans="11:16">
      <c r="K575" s="85">
        <v>31</v>
      </c>
      <c r="N575" s="78"/>
      <c r="P575" s="85"/>
    </row>
    <row r="576" spans="11:16">
      <c r="K576" s="85">
        <v>32</v>
      </c>
      <c r="N576" s="78"/>
      <c r="P576" s="85"/>
    </row>
    <row r="577" spans="11:16">
      <c r="K577" s="85">
        <v>33</v>
      </c>
      <c r="N577" s="78"/>
      <c r="P577" s="85"/>
    </row>
    <row r="578" spans="11:16">
      <c r="K578" s="85">
        <v>34</v>
      </c>
      <c r="N578" s="78"/>
      <c r="P578" s="85"/>
    </row>
    <row r="579" spans="11:16">
      <c r="K579" s="85">
        <v>35</v>
      </c>
      <c r="N579" s="78"/>
      <c r="P579" s="85"/>
    </row>
    <row r="580" spans="11:16">
      <c r="K580" s="85">
        <v>36</v>
      </c>
      <c r="N580" s="78"/>
      <c r="P580" s="85"/>
    </row>
    <row r="581" spans="11:16">
      <c r="K581" s="85">
        <v>27</v>
      </c>
      <c r="N581" s="78"/>
      <c r="P581" s="85"/>
    </row>
    <row r="582" spans="11:16">
      <c r="K582" s="85">
        <v>31</v>
      </c>
      <c r="N582" s="78"/>
      <c r="P582" s="85"/>
    </row>
    <row r="583" spans="11:16">
      <c r="K583" s="85">
        <v>26</v>
      </c>
      <c r="N583" s="78"/>
      <c r="P583" s="85"/>
    </row>
    <row r="584" spans="11:16">
      <c r="K584" s="85">
        <v>25</v>
      </c>
      <c r="N584" s="78"/>
      <c r="P584" s="85"/>
    </row>
    <row r="585" spans="11:16">
      <c r="K585" s="85">
        <v>26</v>
      </c>
      <c r="N585" s="78"/>
      <c r="P585" s="85"/>
    </row>
    <row r="586" spans="11:16">
      <c r="K586" s="85">
        <v>27</v>
      </c>
      <c r="N586" s="78"/>
      <c r="P586" s="85"/>
    </row>
    <row r="587" spans="11:16">
      <c r="K587" s="85">
        <v>28</v>
      </c>
      <c r="N587" s="78"/>
      <c r="P587" s="85"/>
    </row>
    <row r="588" spans="11:16">
      <c r="K588" s="85">
        <v>29</v>
      </c>
      <c r="N588" s="78"/>
      <c r="P588" s="85"/>
    </row>
    <row r="589" spans="11:16">
      <c r="K589" s="85">
        <v>30</v>
      </c>
      <c r="N589" s="78"/>
      <c r="P589" s="85"/>
    </row>
    <row r="590" spans="11:16">
      <c r="K590" s="85">
        <v>31</v>
      </c>
      <c r="N590" s="78"/>
      <c r="P590" s="85"/>
    </row>
    <row r="591" spans="11:16">
      <c r="K591" s="85">
        <v>32</v>
      </c>
      <c r="N591" s="78"/>
      <c r="P591" s="85"/>
    </row>
    <row r="592" spans="11:16">
      <c r="K592" s="85">
        <v>35</v>
      </c>
      <c r="N592" s="78"/>
      <c r="P592" s="85"/>
    </row>
    <row r="593" spans="11:16">
      <c r="K593" s="85">
        <v>25</v>
      </c>
      <c r="N593" s="78"/>
      <c r="P593" s="85"/>
    </row>
    <row r="594" spans="11:16">
      <c r="K594" s="85">
        <v>26</v>
      </c>
      <c r="N594" s="78"/>
      <c r="P594" s="85"/>
    </row>
    <row r="595" spans="11:16">
      <c r="K595" s="85">
        <v>27</v>
      </c>
      <c r="N595" s="78"/>
      <c r="P595" s="85"/>
    </row>
    <row r="596" spans="11:16">
      <c r="K596" s="85">
        <v>28</v>
      </c>
      <c r="N596" s="78"/>
      <c r="P596" s="85"/>
    </row>
    <row r="597" spans="11:16">
      <c r="K597" s="85">
        <v>29</v>
      </c>
      <c r="N597" s="78"/>
      <c r="P597" s="85"/>
    </row>
    <row r="598" spans="11:16">
      <c r="K598" s="85">
        <v>30</v>
      </c>
      <c r="N598" s="78"/>
      <c r="P598" s="85"/>
    </row>
    <row r="599" spans="11:16">
      <c r="K599" s="85">
        <v>31</v>
      </c>
      <c r="N599" s="78"/>
      <c r="P599" s="85"/>
    </row>
    <row r="600" spans="11:16">
      <c r="K600" s="85">
        <v>32</v>
      </c>
      <c r="N600" s="78"/>
      <c r="P600" s="85"/>
    </row>
    <row r="601" spans="11:16">
      <c r="K601" s="85">
        <v>33</v>
      </c>
      <c r="N601" s="78"/>
      <c r="P601" s="85"/>
    </row>
    <row r="602" spans="11:16">
      <c r="K602" s="85">
        <v>34</v>
      </c>
      <c r="N602" s="78"/>
      <c r="P602" s="85"/>
    </row>
    <row r="603" spans="11:16">
      <c r="K603" s="85">
        <v>35</v>
      </c>
      <c r="N603" s="78"/>
      <c r="P603" s="85"/>
    </row>
    <row r="604" spans="11:16">
      <c r="K604" s="85">
        <v>36</v>
      </c>
      <c r="N604" s="78"/>
      <c r="P604" s="85"/>
    </row>
    <row r="605" spans="11:16">
      <c r="K605" s="85">
        <v>27</v>
      </c>
      <c r="N605" s="78"/>
      <c r="P605" s="85"/>
    </row>
    <row r="606" spans="11:16">
      <c r="K606" s="85">
        <v>31</v>
      </c>
      <c r="N606" s="78"/>
      <c r="P606" s="85"/>
    </row>
    <row r="607" spans="11:16">
      <c r="K607" s="85">
        <v>32</v>
      </c>
      <c r="N607" s="78"/>
      <c r="P607" s="85"/>
    </row>
    <row r="608" spans="11:16">
      <c r="K608" s="85">
        <v>34</v>
      </c>
      <c r="N608" s="78"/>
      <c r="P608" s="85"/>
    </row>
    <row r="609" spans="11:16">
      <c r="K609" s="85">
        <v>35</v>
      </c>
      <c r="N609" s="78"/>
      <c r="P609" s="85"/>
    </row>
    <row r="610" spans="11:16">
      <c r="K610" s="85">
        <v>25</v>
      </c>
      <c r="N610" s="78"/>
      <c r="P610" s="85"/>
    </row>
    <row r="611" spans="11:16">
      <c r="K611" s="85">
        <v>26</v>
      </c>
      <c r="N611" s="78"/>
      <c r="P611" s="85"/>
    </row>
    <row r="612" spans="11:16">
      <c r="K612" s="85">
        <v>27</v>
      </c>
      <c r="N612" s="78"/>
      <c r="P612" s="85"/>
    </row>
    <row r="613" spans="11:16">
      <c r="K613" s="85">
        <v>28</v>
      </c>
      <c r="N613" s="78"/>
      <c r="P613" s="85"/>
    </row>
    <row r="614" spans="11:16">
      <c r="K614" s="85">
        <v>31</v>
      </c>
      <c r="N614" s="78"/>
      <c r="P614" s="85"/>
    </row>
    <row r="615" spans="11:16">
      <c r="K615" s="85">
        <v>32</v>
      </c>
      <c r="N615" s="78"/>
      <c r="P615" s="85"/>
    </row>
    <row r="616" spans="11:16">
      <c r="K616" s="85">
        <v>33</v>
      </c>
      <c r="N616" s="78"/>
      <c r="P616" s="85"/>
    </row>
    <row r="617" spans="11:16">
      <c r="K617" s="85">
        <v>25</v>
      </c>
      <c r="N617" s="78"/>
      <c r="P617" s="85"/>
    </row>
    <row r="618" spans="11:16">
      <c r="K618" s="85">
        <v>26</v>
      </c>
      <c r="N618" s="78"/>
      <c r="P618" s="85"/>
    </row>
    <row r="619" spans="11:16">
      <c r="K619" s="85">
        <v>27</v>
      </c>
      <c r="N619" s="78"/>
      <c r="P619" s="85"/>
    </row>
    <row r="620" spans="11:16">
      <c r="K620" s="85">
        <v>28</v>
      </c>
      <c r="N620" s="78"/>
      <c r="P620" s="85"/>
    </row>
    <row r="621" spans="11:16">
      <c r="K621" s="85">
        <v>29</v>
      </c>
      <c r="N621" s="78"/>
      <c r="P621" s="85"/>
    </row>
    <row r="622" spans="11:16">
      <c r="K622" s="85">
        <v>30</v>
      </c>
      <c r="N622" s="78"/>
      <c r="P622" s="85"/>
    </row>
    <row r="623" spans="11:16">
      <c r="K623" s="85">
        <v>31</v>
      </c>
      <c r="N623" s="78"/>
      <c r="P623" s="85"/>
    </row>
    <row r="624" spans="11:16">
      <c r="K624" s="85">
        <v>32</v>
      </c>
      <c r="N624" s="78"/>
      <c r="P624" s="85"/>
    </row>
    <row r="625" spans="11:16">
      <c r="K625" s="85">
        <v>33</v>
      </c>
      <c r="N625" s="78"/>
      <c r="P625" s="85"/>
    </row>
    <row r="626" spans="11:16">
      <c r="K626" s="85">
        <v>34</v>
      </c>
      <c r="N626" s="78"/>
      <c r="P626" s="85"/>
    </row>
    <row r="627" spans="11:16">
      <c r="K627" s="85">
        <v>35</v>
      </c>
      <c r="N627" s="78"/>
      <c r="P627" s="85"/>
    </row>
    <row r="628" spans="11:16">
      <c r="K628" s="85">
        <v>36</v>
      </c>
      <c r="N628" s="78"/>
      <c r="P628" s="85"/>
    </row>
    <row r="629" spans="11:16">
      <c r="K629" s="85">
        <v>26</v>
      </c>
      <c r="N629" s="78"/>
      <c r="P629" s="85"/>
    </row>
    <row r="630" spans="11:16">
      <c r="K630" s="85">
        <v>35</v>
      </c>
      <c r="N630" s="78"/>
      <c r="P630" s="85"/>
    </row>
    <row r="631" spans="11:16">
      <c r="K631" s="85">
        <v>25</v>
      </c>
      <c r="N631" s="78"/>
      <c r="P631" s="85"/>
    </row>
    <row r="632" spans="11:16">
      <c r="K632" s="85">
        <v>26</v>
      </c>
      <c r="N632" s="78"/>
      <c r="P632" s="85"/>
    </row>
    <row r="633" spans="11:16">
      <c r="K633" s="85">
        <v>27</v>
      </c>
      <c r="N633" s="78"/>
      <c r="P633" s="85"/>
    </row>
    <row r="634" spans="11:16">
      <c r="K634" s="85">
        <v>28</v>
      </c>
      <c r="N634" s="78"/>
      <c r="P634" s="85"/>
    </row>
    <row r="635" spans="11:16">
      <c r="K635" s="85">
        <v>29</v>
      </c>
      <c r="N635" s="78"/>
      <c r="P635" s="85"/>
    </row>
    <row r="636" spans="11:16">
      <c r="K636" s="85">
        <v>30</v>
      </c>
      <c r="N636" s="78"/>
      <c r="P636" s="85"/>
    </row>
    <row r="637" spans="11:16">
      <c r="K637" s="85">
        <v>31</v>
      </c>
      <c r="N637" s="78"/>
      <c r="P637" s="85"/>
    </row>
    <row r="638" spans="11:16">
      <c r="K638" s="85">
        <v>32</v>
      </c>
      <c r="N638" s="78"/>
      <c r="P638" s="85"/>
    </row>
    <row r="639" spans="11:16">
      <c r="K639" s="85">
        <v>33</v>
      </c>
      <c r="N639" s="78"/>
      <c r="P639" s="85"/>
    </row>
    <row r="640" spans="11:16">
      <c r="K640" s="85">
        <v>34</v>
      </c>
      <c r="N640" s="78"/>
      <c r="P640" s="85"/>
    </row>
    <row r="641" spans="11:16">
      <c r="K641" s="85">
        <v>35</v>
      </c>
      <c r="N641" s="78"/>
      <c r="P641" s="85"/>
    </row>
    <row r="642" spans="11:16">
      <c r="K642" s="85">
        <v>25</v>
      </c>
      <c r="N642" s="78"/>
      <c r="P642" s="85"/>
    </row>
    <row r="643" spans="11:16">
      <c r="K643" s="85">
        <v>27</v>
      </c>
      <c r="N643" s="78"/>
      <c r="P643" s="85"/>
    </row>
    <row r="644" spans="11:16">
      <c r="K644" s="85">
        <v>28</v>
      </c>
      <c r="N644" s="78"/>
      <c r="P644" s="85"/>
    </row>
    <row r="645" spans="11:16">
      <c r="K645" s="85">
        <v>30</v>
      </c>
      <c r="N645" s="78"/>
      <c r="P645" s="85"/>
    </row>
    <row r="646" spans="11:16">
      <c r="K646" s="85">
        <v>31</v>
      </c>
      <c r="N646" s="78"/>
      <c r="P646" s="85"/>
    </row>
    <row r="647" spans="11:16">
      <c r="K647" s="85">
        <v>32</v>
      </c>
      <c r="N647" s="78"/>
      <c r="P647" s="85"/>
    </row>
    <row r="648" spans="11:16">
      <c r="K648" s="85">
        <v>33</v>
      </c>
      <c r="N648" s="78"/>
      <c r="P648" s="85"/>
    </row>
    <row r="649" spans="11:16">
      <c r="K649" s="85">
        <v>34</v>
      </c>
      <c r="N649" s="78"/>
      <c r="P649" s="85"/>
    </row>
    <row r="650" spans="11:16">
      <c r="K650" s="85">
        <v>35</v>
      </c>
      <c r="N650" s="78"/>
      <c r="P650" s="85"/>
    </row>
    <row r="651" spans="11:16">
      <c r="K651" s="85">
        <v>25</v>
      </c>
      <c r="N651" s="78"/>
      <c r="P651" s="85"/>
    </row>
    <row r="652" spans="11:16">
      <c r="K652" s="85">
        <v>26</v>
      </c>
      <c r="N652" s="78"/>
      <c r="P652" s="85"/>
    </row>
    <row r="653" spans="11:16">
      <c r="K653" s="85">
        <v>27</v>
      </c>
      <c r="N653" s="78"/>
      <c r="P653" s="85"/>
    </row>
    <row r="654" spans="11:16">
      <c r="K654" s="85">
        <v>31</v>
      </c>
      <c r="N654" s="78"/>
      <c r="P654" s="85"/>
    </row>
    <row r="655" spans="11:16">
      <c r="K655" s="85">
        <v>34</v>
      </c>
      <c r="N655" s="78"/>
      <c r="P655" s="85"/>
    </row>
    <row r="656" spans="11:16">
      <c r="K656" s="85">
        <v>25</v>
      </c>
      <c r="N656" s="78"/>
      <c r="P656" s="85"/>
    </row>
    <row r="657" spans="11:16">
      <c r="K657" s="85">
        <v>26</v>
      </c>
      <c r="N657" s="78"/>
      <c r="P657" s="85"/>
    </row>
    <row r="658" spans="11:16">
      <c r="K658" s="85">
        <v>27</v>
      </c>
      <c r="N658" s="78"/>
      <c r="P658" s="85"/>
    </row>
    <row r="659" spans="11:16">
      <c r="K659" s="85">
        <v>28</v>
      </c>
      <c r="N659" s="78"/>
      <c r="P659" s="85"/>
    </row>
    <row r="660" spans="11:16">
      <c r="K660" s="85">
        <v>29</v>
      </c>
      <c r="N660" s="78"/>
      <c r="P660" s="85"/>
    </row>
    <row r="661" spans="11:16">
      <c r="K661" s="85">
        <v>30</v>
      </c>
      <c r="N661" s="78"/>
      <c r="P661" s="85"/>
    </row>
    <row r="662" spans="11:16">
      <c r="K662" s="85">
        <v>31</v>
      </c>
      <c r="N662" s="78"/>
      <c r="P662" s="85"/>
    </row>
    <row r="663" spans="11:16">
      <c r="K663" s="85">
        <v>32</v>
      </c>
      <c r="N663" s="78"/>
      <c r="P663" s="85"/>
    </row>
    <row r="664" spans="11:16">
      <c r="K664" s="85">
        <v>33</v>
      </c>
      <c r="N664" s="78"/>
      <c r="P664" s="85"/>
    </row>
    <row r="665" spans="11:16">
      <c r="K665" s="85">
        <v>34</v>
      </c>
      <c r="N665" s="78"/>
      <c r="P665" s="85"/>
    </row>
    <row r="666" spans="11:16">
      <c r="K666" s="85">
        <v>35</v>
      </c>
      <c r="N666" s="78"/>
      <c r="P666" s="85"/>
    </row>
    <row r="667" spans="11:16">
      <c r="K667" s="85">
        <v>36</v>
      </c>
      <c r="N667" s="78"/>
      <c r="P667" s="85"/>
    </row>
    <row r="668" spans="11:16">
      <c r="K668" s="85">
        <v>27</v>
      </c>
      <c r="N668" s="78"/>
      <c r="P668" s="85"/>
    </row>
    <row r="669" spans="11:16">
      <c r="K669" s="85">
        <v>28</v>
      </c>
      <c r="N669" s="78"/>
      <c r="P669" s="85"/>
    </row>
    <row r="670" spans="11:16">
      <c r="K670" s="85">
        <v>34</v>
      </c>
      <c r="N670" s="78"/>
      <c r="P670" s="85"/>
    </row>
    <row r="671" spans="11:16">
      <c r="K671" s="85">
        <v>35</v>
      </c>
      <c r="N671" s="78"/>
      <c r="P671" s="85"/>
    </row>
    <row r="672" spans="11:16">
      <c r="K672" s="85">
        <v>25</v>
      </c>
      <c r="N672" s="78"/>
      <c r="P672" s="85"/>
    </row>
    <row r="673" spans="11:16">
      <c r="K673" s="85">
        <v>26</v>
      </c>
      <c r="N673" s="78"/>
      <c r="P673" s="85"/>
    </row>
    <row r="674" spans="11:16">
      <c r="K674" s="85">
        <v>27</v>
      </c>
      <c r="N674" s="78"/>
      <c r="P674" s="85"/>
    </row>
    <row r="675" spans="11:16">
      <c r="K675" s="85">
        <v>28</v>
      </c>
      <c r="N675" s="78"/>
      <c r="P675" s="85"/>
    </row>
    <row r="676" spans="11:16">
      <c r="K676" s="85">
        <v>29</v>
      </c>
      <c r="N676" s="78"/>
      <c r="P676" s="85"/>
    </row>
    <row r="677" spans="11:16">
      <c r="K677" s="85">
        <v>30</v>
      </c>
      <c r="N677" s="78"/>
      <c r="P677" s="85"/>
    </row>
    <row r="678" spans="11:16">
      <c r="K678" s="85">
        <v>31</v>
      </c>
      <c r="N678" s="78"/>
      <c r="P678" s="85"/>
    </row>
    <row r="679" spans="11:16">
      <c r="K679" s="85">
        <v>33</v>
      </c>
      <c r="N679" s="78"/>
      <c r="P679" s="85"/>
    </row>
    <row r="680" spans="11:16">
      <c r="K680" s="85">
        <v>34</v>
      </c>
      <c r="N680" s="78"/>
      <c r="P680" s="85"/>
    </row>
    <row r="681" spans="11:16">
      <c r="K681" s="85">
        <v>35</v>
      </c>
      <c r="N681" s="78"/>
      <c r="P681" s="85"/>
    </row>
    <row r="682" spans="11:16">
      <c r="K682" s="85">
        <v>36</v>
      </c>
      <c r="N682" s="78"/>
      <c r="P682" s="85"/>
    </row>
    <row r="683" spans="11:16">
      <c r="K683" s="85">
        <v>25</v>
      </c>
      <c r="N683" s="78"/>
      <c r="P683" s="85"/>
    </row>
    <row r="684" spans="11:16">
      <c r="K684" s="85">
        <v>26</v>
      </c>
      <c r="N684" s="78"/>
      <c r="P684" s="85"/>
    </row>
    <row r="685" spans="11:16">
      <c r="K685" s="85">
        <v>27</v>
      </c>
      <c r="N685" s="78"/>
      <c r="P685" s="85"/>
    </row>
    <row r="686" spans="11:16">
      <c r="K686" s="85">
        <v>28</v>
      </c>
      <c r="N686" s="78"/>
      <c r="P686" s="85"/>
    </row>
    <row r="687" spans="11:16">
      <c r="K687" s="85">
        <v>29</v>
      </c>
      <c r="N687" s="78"/>
      <c r="P687" s="85"/>
    </row>
    <row r="688" spans="11:16">
      <c r="K688" s="85">
        <v>30</v>
      </c>
      <c r="N688" s="78"/>
      <c r="P688" s="85"/>
    </row>
    <row r="689" spans="11:16">
      <c r="K689" s="85">
        <v>31</v>
      </c>
      <c r="N689" s="78"/>
      <c r="P689" s="85"/>
    </row>
    <row r="690" spans="11:16">
      <c r="K690" s="85">
        <v>32</v>
      </c>
      <c r="N690" s="78"/>
      <c r="P690" s="85"/>
    </row>
    <row r="691" spans="11:16">
      <c r="K691" s="85">
        <v>34</v>
      </c>
      <c r="N691" s="78"/>
      <c r="P691" s="85"/>
    </row>
    <row r="692" spans="11:16">
      <c r="K692" s="85">
        <v>35</v>
      </c>
      <c r="N692" s="78"/>
      <c r="P692" s="85"/>
    </row>
    <row r="693" spans="11:16">
      <c r="K693" s="85">
        <v>27</v>
      </c>
      <c r="N693" s="78"/>
      <c r="P693" s="85"/>
    </row>
    <row r="694" spans="11:16">
      <c r="K694" s="85">
        <v>31</v>
      </c>
      <c r="N694" s="78"/>
      <c r="P694" s="85"/>
    </row>
    <row r="695" spans="11:16">
      <c r="K695" s="85">
        <v>25</v>
      </c>
      <c r="N695" s="78"/>
      <c r="P695" s="85"/>
    </row>
    <row r="696" spans="11:16">
      <c r="K696" s="85">
        <v>26</v>
      </c>
      <c r="N696" s="78"/>
      <c r="P696" s="85"/>
    </row>
    <row r="697" spans="11:16">
      <c r="K697" s="85">
        <v>28</v>
      </c>
      <c r="N697" s="78"/>
      <c r="P697" s="85"/>
    </row>
    <row r="698" spans="11:16">
      <c r="K698" s="85">
        <v>29</v>
      </c>
      <c r="N698" s="78"/>
      <c r="P698" s="85"/>
    </row>
    <row r="699" spans="11:16">
      <c r="K699" s="85">
        <v>30</v>
      </c>
      <c r="N699" s="78"/>
      <c r="P699" s="85"/>
    </row>
    <row r="700" spans="11:16">
      <c r="K700" s="85">
        <v>31</v>
      </c>
      <c r="N700" s="78"/>
      <c r="P700" s="85"/>
    </row>
    <row r="701" spans="11:16">
      <c r="K701" s="85">
        <v>32</v>
      </c>
      <c r="N701" s="78"/>
      <c r="P701" s="85"/>
    </row>
    <row r="702" spans="11:16">
      <c r="K702" s="85">
        <v>33</v>
      </c>
      <c r="N702" s="78"/>
      <c r="P702" s="85"/>
    </row>
    <row r="703" spans="11:16">
      <c r="K703" s="85">
        <v>34</v>
      </c>
      <c r="N703" s="78"/>
      <c r="P703" s="85"/>
    </row>
    <row r="704" spans="11:16">
      <c r="K704" s="85">
        <v>35</v>
      </c>
      <c r="N704" s="78"/>
      <c r="P704" s="85"/>
    </row>
    <row r="705" spans="11:16">
      <c r="K705" s="85">
        <v>36</v>
      </c>
      <c r="N705" s="78"/>
      <c r="P705" s="85"/>
    </row>
    <row r="706" spans="11:16">
      <c r="K706" s="85">
        <v>25</v>
      </c>
      <c r="N706" s="78"/>
      <c r="P706" s="85"/>
    </row>
    <row r="707" spans="11:16">
      <c r="K707" s="85">
        <v>26</v>
      </c>
      <c r="N707" s="78"/>
      <c r="P707" s="85"/>
    </row>
    <row r="708" spans="11:16">
      <c r="K708" s="85">
        <v>27</v>
      </c>
      <c r="N708" s="78"/>
      <c r="P708" s="85"/>
    </row>
    <row r="709" spans="11:16">
      <c r="K709" s="85">
        <v>28</v>
      </c>
      <c r="N709" s="78"/>
      <c r="P709" s="85"/>
    </row>
    <row r="710" spans="11:16">
      <c r="K710" s="85">
        <v>30</v>
      </c>
      <c r="N710" s="78"/>
      <c r="P710" s="85"/>
    </row>
    <row r="711" spans="11:16">
      <c r="K711" s="85">
        <v>31</v>
      </c>
      <c r="N711" s="78"/>
      <c r="P711" s="85"/>
    </row>
    <row r="712" spans="11:16">
      <c r="K712" s="85">
        <v>32</v>
      </c>
      <c r="N712" s="78"/>
      <c r="P712" s="85"/>
    </row>
    <row r="713" spans="11:16">
      <c r="K713" s="85">
        <v>33</v>
      </c>
      <c r="N713" s="78"/>
      <c r="P713" s="85"/>
    </row>
    <row r="714" spans="11:16">
      <c r="K714" s="85">
        <v>34</v>
      </c>
      <c r="N714" s="78"/>
      <c r="P714" s="85"/>
    </row>
    <row r="715" spans="11:16">
      <c r="K715" s="85">
        <v>35</v>
      </c>
      <c r="N715" s="78"/>
      <c r="P715" s="85"/>
    </row>
    <row r="716" spans="11:16">
      <c r="K716" s="85">
        <v>36</v>
      </c>
      <c r="N716" s="78"/>
      <c r="P716" s="85"/>
    </row>
    <row r="717" spans="11:16">
      <c r="K717" s="85">
        <v>25</v>
      </c>
      <c r="N717" s="78"/>
      <c r="P717" s="85"/>
    </row>
    <row r="718" spans="11:16">
      <c r="K718" s="85">
        <v>26</v>
      </c>
      <c r="N718" s="78"/>
      <c r="P718" s="85"/>
    </row>
    <row r="719" spans="11:16">
      <c r="K719" s="85">
        <v>27</v>
      </c>
      <c r="N719" s="78"/>
      <c r="P719" s="85"/>
    </row>
    <row r="720" spans="11:16">
      <c r="K720" s="85">
        <v>28</v>
      </c>
      <c r="N720" s="78"/>
      <c r="P720" s="85"/>
    </row>
    <row r="721" spans="11:16">
      <c r="K721" s="85">
        <v>29</v>
      </c>
      <c r="N721" s="78"/>
      <c r="P721" s="85"/>
    </row>
    <row r="722" spans="11:16">
      <c r="K722" s="85">
        <v>30</v>
      </c>
      <c r="N722" s="78"/>
      <c r="P722" s="85"/>
    </row>
    <row r="723" spans="11:16">
      <c r="K723" s="85">
        <v>31</v>
      </c>
      <c r="N723" s="78"/>
      <c r="P723" s="85"/>
    </row>
    <row r="724" spans="11:16">
      <c r="K724" s="85">
        <v>34</v>
      </c>
      <c r="N724" s="78"/>
      <c r="P724" s="85"/>
    </row>
    <row r="725" spans="11:16">
      <c r="K725" s="85">
        <v>35</v>
      </c>
      <c r="N725" s="78"/>
      <c r="P725" s="85"/>
    </row>
    <row r="726" spans="11:16">
      <c r="K726" s="85">
        <v>36</v>
      </c>
      <c r="N726" s="78"/>
      <c r="P726" s="85"/>
    </row>
    <row r="727" spans="11:16">
      <c r="K727" s="85">
        <v>27</v>
      </c>
      <c r="N727" s="78"/>
      <c r="P727" s="85"/>
    </row>
    <row r="728" spans="11:16">
      <c r="K728" s="85">
        <v>28</v>
      </c>
      <c r="N728" s="78"/>
      <c r="P728" s="85"/>
    </row>
    <row r="729" spans="11:16">
      <c r="K729" s="85">
        <v>32</v>
      </c>
      <c r="N729" s="78"/>
      <c r="P729" s="85"/>
    </row>
    <row r="730" spans="11:16">
      <c r="K730" s="85">
        <v>33</v>
      </c>
      <c r="N730" s="78"/>
      <c r="P730" s="85"/>
    </row>
    <row r="731" spans="11:16">
      <c r="K731" s="85">
        <v>34</v>
      </c>
      <c r="N731" s="78"/>
      <c r="P731" s="85"/>
    </row>
    <row r="732" spans="11:16">
      <c r="K732" s="85">
        <v>25</v>
      </c>
      <c r="N732" s="78"/>
      <c r="P732" s="85"/>
    </row>
    <row r="733" spans="11:16">
      <c r="K733" s="85">
        <v>26</v>
      </c>
      <c r="N733" s="78"/>
      <c r="P733" s="85"/>
    </row>
    <row r="734" spans="11:16">
      <c r="K734" s="85">
        <v>27</v>
      </c>
      <c r="N734" s="78"/>
      <c r="P734" s="85"/>
    </row>
    <row r="735" spans="11:16">
      <c r="K735" s="85">
        <v>28</v>
      </c>
      <c r="N735" s="78"/>
      <c r="P735" s="85"/>
    </row>
    <row r="736" spans="11:16">
      <c r="K736" s="85">
        <v>29</v>
      </c>
      <c r="N736" s="78"/>
      <c r="P736" s="85"/>
    </row>
    <row r="737" spans="11:16">
      <c r="K737" s="85">
        <v>30</v>
      </c>
      <c r="N737" s="78"/>
      <c r="P737" s="85"/>
    </row>
    <row r="738" spans="11:16">
      <c r="K738" s="85">
        <v>31</v>
      </c>
      <c r="N738" s="78"/>
      <c r="P738" s="85"/>
    </row>
    <row r="739" spans="11:16">
      <c r="K739" s="85">
        <v>32</v>
      </c>
      <c r="N739" s="78"/>
      <c r="P739" s="85"/>
    </row>
    <row r="740" spans="11:16">
      <c r="K740" s="85">
        <v>35</v>
      </c>
      <c r="N740" s="78"/>
      <c r="P740" s="85"/>
    </row>
    <row r="741" spans="11:16">
      <c r="K741" s="85">
        <v>36</v>
      </c>
      <c r="N741" s="78"/>
      <c r="P741" s="85"/>
    </row>
    <row r="742" spans="11:16">
      <c r="K742" s="85">
        <v>27</v>
      </c>
      <c r="N742" s="78"/>
      <c r="P742" s="85"/>
    </row>
    <row r="743" spans="11:16">
      <c r="K743" s="85">
        <v>29</v>
      </c>
      <c r="N743" s="78"/>
      <c r="P743" s="85"/>
    </row>
    <row r="744" spans="11:16">
      <c r="K744" s="85">
        <v>35</v>
      </c>
      <c r="N744" s="78"/>
      <c r="P744" s="85"/>
    </row>
    <row r="745" spans="11:16">
      <c r="K745" s="85">
        <v>25</v>
      </c>
      <c r="N745" s="78"/>
      <c r="P745" s="85"/>
    </row>
    <row r="746" spans="11:16">
      <c r="K746" s="85">
        <v>26</v>
      </c>
      <c r="N746" s="78"/>
      <c r="P746" s="85"/>
    </row>
    <row r="747" spans="11:16">
      <c r="K747" s="85">
        <v>27</v>
      </c>
      <c r="N747" s="78"/>
      <c r="P747" s="85"/>
    </row>
    <row r="748" spans="11:16">
      <c r="K748" s="85">
        <v>28</v>
      </c>
      <c r="N748" s="78"/>
      <c r="P748" s="85"/>
    </row>
    <row r="749" spans="11:16">
      <c r="K749" s="85">
        <v>30</v>
      </c>
      <c r="N749" s="78"/>
      <c r="P749" s="85"/>
    </row>
    <row r="750" spans="11:16">
      <c r="K750" s="85">
        <v>31</v>
      </c>
      <c r="N750" s="78"/>
      <c r="P750" s="85"/>
    </row>
    <row r="751" spans="11:16">
      <c r="K751" s="85">
        <v>32</v>
      </c>
      <c r="N751" s="78"/>
      <c r="P751" s="85"/>
    </row>
    <row r="752" spans="11:16">
      <c r="K752" s="85">
        <v>34</v>
      </c>
      <c r="N752" s="78"/>
      <c r="P752" s="85"/>
    </row>
    <row r="753" spans="11:16">
      <c r="K753" s="85">
        <v>35</v>
      </c>
      <c r="N753" s="78"/>
      <c r="P753" s="85"/>
    </row>
    <row r="754" spans="11:16">
      <c r="K754" s="85">
        <v>25</v>
      </c>
      <c r="N754" s="78"/>
      <c r="P754" s="85"/>
    </row>
    <row r="755" spans="11:16">
      <c r="K755" s="85">
        <v>27</v>
      </c>
      <c r="N755" s="78"/>
      <c r="P755" s="85"/>
    </row>
    <row r="756" spans="11:16">
      <c r="K756" s="85">
        <v>30</v>
      </c>
      <c r="N756" s="78"/>
      <c r="P756" s="85"/>
    </row>
    <row r="757" spans="11:16">
      <c r="K757" s="85">
        <v>31</v>
      </c>
      <c r="N757" s="78"/>
      <c r="P757" s="85"/>
    </row>
    <row r="758" spans="11:16">
      <c r="K758" s="85">
        <v>34</v>
      </c>
      <c r="N758" s="78"/>
      <c r="P758" s="85"/>
    </row>
    <row r="759" spans="11:16">
      <c r="K759" s="85">
        <v>36</v>
      </c>
      <c r="N759" s="78"/>
      <c r="P759" s="85"/>
    </row>
    <row r="760" spans="11:16">
      <c r="K760" s="85">
        <v>33</v>
      </c>
      <c r="N760" s="78"/>
      <c r="P760" s="85"/>
    </row>
    <row r="761" spans="11:16">
      <c r="K761" s="85">
        <v>36</v>
      </c>
      <c r="N761" s="78"/>
      <c r="P761" s="85"/>
    </row>
    <row r="762" spans="11:16">
      <c r="K762" s="85">
        <v>25</v>
      </c>
      <c r="N762" s="78"/>
      <c r="P762" s="85"/>
    </row>
    <row r="763" spans="11:16">
      <c r="K763" s="85">
        <v>26</v>
      </c>
      <c r="N763" s="78"/>
      <c r="P763" s="85"/>
    </row>
    <row r="764" spans="11:16">
      <c r="K764" s="85">
        <v>27</v>
      </c>
      <c r="N764" s="78"/>
      <c r="P764" s="85"/>
    </row>
    <row r="765" spans="11:16">
      <c r="K765" s="85">
        <v>28</v>
      </c>
      <c r="N765" s="78"/>
      <c r="P765" s="85"/>
    </row>
    <row r="766" spans="11:16">
      <c r="K766" s="85">
        <v>29</v>
      </c>
      <c r="N766" s="78"/>
      <c r="P766" s="85"/>
    </row>
    <row r="767" spans="11:16">
      <c r="K767" s="85">
        <v>30</v>
      </c>
      <c r="N767" s="78"/>
      <c r="P767" s="85"/>
    </row>
    <row r="768" spans="11:16">
      <c r="K768" s="85">
        <v>31</v>
      </c>
      <c r="N768" s="78"/>
      <c r="P768" s="85"/>
    </row>
    <row r="769" spans="11:16">
      <c r="K769" s="85">
        <v>32</v>
      </c>
      <c r="N769" s="78"/>
      <c r="P769" s="85"/>
    </row>
    <row r="770" spans="11:16">
      <c r="K770" s="85">
        <v>33</v>
      </c>
      <c r="N770" s="78"/>
      <c r="P770" s="85"/>
    </row>
    <row r="771" spans="11:16">
      <c r="K771" s="85">
        <v>34</v>
      </c>
      <c r="N771" s="78"/>
      <c r="P771" s="85"/>
    </row>
    <row r="772" spans="11:16">
      <c r="K772" s="85">
        <v>35</v>
      </c>
      <c r="N772" s="78"/>
      <c r="P772" s="85"/>
    </row>
    <row r="773" spans="11:16">
      <c r="K773" s="85">
        <v>36</v>
      </c>
      <c r="N773" s="78"/>
      <c r="P773" s="85"/>
    </row>
    <row r="774" spans="11:16">
      <c r="K774" s="85">
        <v>25</v>
      </c>
      <c r="N774" s="78"/>
      <c r="P774" s="85"/>
    </row>
    <row r="775" spans="11:16">
      <c r="K775" s="85">
        <v>26</v>
      </c>
      <c r="N775" s="78"/>
      <c r="P775" s="85"/>
    </row>
    <row r="776" spans="11:16">
      <c r="K776" s="85">
        <v>27</v>
      </c>
      <c r="N776" s="78"/>
      <c r="P776" s="85"/>
    </row>
    <row r="777" spans="11:16">
      <c r="K777" s="85">
        <v>28</v>
      </c>
      <c r="N777" s="78"/>
      <c r="P777" s="85"/>
    </row>
    <row r="778" spans="11:16">
      <c r="K778" s="85">
        <v>31</v>
      </c>
      <c r="N778" s="78"/>
      <c r="P778" s="85"/>
    </row>
    <row r="779" spans="11:16">
      <c r="K779" s="85">
        <v>34</v>
      </c>
      <c r="N779" s="78"/>
      <c r="P779" s="85"/>
    </row>
    <row r="780" spans="11:16">
      <c r="K780" s="85">
        <v>35</v>
      </c>
      <c r="N780" s="78"/>
      <c r="P780" s="85"/>
    </row>
    <row r="781" spans="11:16">
      <c r="K781" s="85">
        <v>25</v>
      </c>
      <c r="N781" s="78"/>
      <c r="P781" s="85"/>
    </row>
    <row r="782" spans="11:16">
      <c r="K782" s="85">
        <v>26</v>
      </c>
      <c r="N782" s="78"/>
      <c r="P782" s="85"/>
    </row>
    <row r="783" spans="11:16">
      <c r="K783" s="85">
        <v>27</v>
      </c>
      <c r="N783" s="78"/>
      <c r="P783" s="85"/>
    </row>
    <row r="784" spans="11:16">
      <c r="K784" s="85">
        <v>29</v>
      </c>
      <c r="N784" s="78"/>
      <c r="P784" s="85"/>
    </row>
    <row r="785" spans="11:16">
      <c r="K785" s="85">
        <v>30</v>
      </c>
      <c r="N785" s="78"/>
      <c r="P785" s="85"/>
    </row>
    <row r="786" spans="11:16">
      <c r="K786" s="85">
        <v>31</v>
      </c>
      <c r="N786" s="78"/>
      <c r="P786" s="85"/>
    </row>
    <row r="787" spans="11:16">
      <c r="K787" s="85">
        <v>32</v>
      </c>
      <c r="N787" s="78"/>
      <c r="P787" s="85"/>
    </row>
    <row r="788" spans="11:16">
      <c r="K788" s="85">
        <v>33</v>
      </c>
      <c r="N788" s="78"/>
      <c r="P788" s="85"/>
    </row>
    <row r="789" spans="11:16">
      <c r="K789" s="85">
        <v>34</v>
      </c>
      <c r="N789" s="78"/>
      <c r="P789" s="85"/>
    </row>
    <row r="790" spans="11:16">
      <c r="K790" s="85">
        <v>35</v>
      </c>
      <c r="N790" s="78"/>
      <c r="P790" s="85"/>
    </row>
    <row r="791" spans="11:16">
      <c r="K791" s="85">
        <v>25</v>
      </c>
      <c r="N791" s="78"/>
      <c r="P791" s="85"/>
    </row>
    <row r="792" spans="11:16">
      <c r="K792" s="85">
        <v>26</v>
      </c>
      <c r="N792" s="78"/>
      <c r="P792" s="85"/>
    </row>
    <row r="793" spans="11:16">
      <c r="K793" s="85">
        <v>27</v>
      </c>
      <c r="N793" s="78"/>
      <c r="P793" s="85"/>
    </row>
    <row r="794" spans="11:16">
      <c r="K794" s="85">
        <v>28</v>
      </c>
      <c r="N794" s="78"/>
      <c r="P794" s="85"/>
    </row>
    <row r="795" spans="11:16">
      <c r="K795" s="85">
        <v>29</v>
      </c>
      <c r="N795" s="78"/>
      <c r="P795" s="85"/>
    </row>
    <row r="796" spans="11:16">
      <c r="K796" s="85">
        <v>30</v>
      </c>
      <c r="N796" s="78"/>
      <c r="P796" s="85"/>
    </row>
    <row r="797" spans="11:16">
      <c r="K797" s="85">
        <v>31</v>
      </c>
      <c r="N797" s="78"/>
      <c r="P797" s="85"/>
    </row>
    <row r="798" spans="11:16">
      <c r="K798" s="85">
        <v>32</v>
      </c>
      <c r="N798" s="78"/>
      <c r="P798" s="85"/>
    </row>
    <row r="799" spans="11:16">
      <c r="K799" s="85">
        <v>33</v>
      </c>
      <c r="N799" s="78"/>
      <c r="P799" s="85"/>
    </row>
    <row r="800" spans="11:16">
      <c r="K800" s="85">
        <v>34</v>
      </c>
      <c r="N800" s="78"/>
      <c r="P800" s="85"/>
    </row>
    <row r="801" spans="11:16">
      <c r="K801" s="85">
        <v>35</v>
      </c>
      <c r="N801" s="78"/>
      <c r="P801" s="85"/>
    </row>
    <row r="802" spans="11:16">
      <c r="K802" s="85">
        <v>36</v>
      </c>
      <c r="N802" s="78"/>
      <c r="P802" s="85"/>
    </row>
    <row r="803" spans="11:16">
      <c r="K803" s="85">
        <v>26</v>
      </c>
      <c r="N803" s="78"/>
      <c r="P803" s="85"/>
    </row>
    <row r="804" spans="11:16">
      <c r="K804" s="85">
        <v>27</v>
      </c>
      <c r="N804" s="78"/>
      <c r="P804" s="85"/>
    </row>
    <row r="805" spans="11:16">
      <c r="K805" s="85">
        <v>29</v>
      </c>
      <c r="N805" s="78"/>
      <c r="P805" s="85"/>
    </row>
    <row r="806" spans="11:16">
      <c r="K806" s="85">
        <v>26</v>
      </c>
      <c r="N806" s="78"/>
      <c r="P806" s="85"/>
    </row>
    <row r="807" spans="11:16">
      <c r="K807" s="85">
        <v>27</v>
      </c>
      <c r="N807" s="78"/>
      <c r="P807" s="85"/>
    </row>
    <row r="808" spans="11:16">
      <c r="K808" s="85">
        <v>29</v>
      </c>
      <c r="N808" s="78"/>
      <c r="P808" s="85"/>
    </row>
    <row r="809" spans="11:16">
      <c r="K809" s="85">
        <v>31</v>
      </c>
      <c r="N809" s="78"/>
      <c r="P809" s="85"/>
    </row>
    <row r="810" spans="11:16">
      <c r="K810" s="85">
        <v>32</v>
      </c>
      <c r="N810" s="78"/>
      <c r="P810" s="85"/>
    </row>
    <row r="811" spans="11:16">
      <c r="K811" s="85">
        <v>34</v>
      </c>
      <c r="N811" s="78"/>
      <c r="P811" s="85"/>
    </row>
    <row r="812" spans="11:16">
      <c r="K812" s="85">
        <v>25</v>
      </c>
      <c r="N812" s="78"/>
      <c r="P812" s="85"/>
    </row>
    <row r="813" spans="11:16">
      <c r="K813" s="85">
        <v>26</v>
      </c>
      <c r="N813" s="78"/>
      <c r="P813" s="85"/>
    </row>
    <row r="814" spans="11:16">
      <c r="K814" s="85">
        <v>27</v>
      </c>
      <c r="N814" s="78"/>
      <c r="P814" s="85"/>
    </row>
    <row r="815" spans="11:16">
      <c r="K815" s="85">
        <v>28</v>
      </c>
      <c r="N815" s="78"/>
      <c r="P815" s="85"/>
    </row>
    <row r="816" spans="11:16">
      <c r="K816" s="85">
        <v>29</v>
      </c>
      <c r="N816" s="78"/>
      <c r="P816" s="85"/>
    </row>
    <row r="817" spans="11:16">
      <c r="K817" s="85">
        <v>30</v>
      </c>
      <c r="N817" s="78"/>
      <c r="P817" s="85"/>
    </row>
    <row r="818" spans="11:16">
      <c r="K818" s="85">
        <v>31</v>
      </c>
      <c r="N818" s="78"/>
      <c r="P818" s="85"/>
    </row>
    <row r="819" spans="11:16">
      <c r="K819" s="85">
        <v>32</v>
      </c>
      <c r="N819" s="78"/>
      <c r="P819" s="85"/>
    </row>
    <row r="820" spans="11:16">
      <c r="K820" s="85">
        <v>33</v>
      </c>
      <c r="N820" s="78"/>
      <c r="P820" s="85"/>
    </row>
    <row r="821" spans="11:16">
      <c r="K821" s="85">
        <v>34</v>
      </c>
      <c r="N821" s="78"/>
      <c r="P821" s="85"/>
    </row>
    <row r="822" spans="11:16">
      <c r="K822" s="85">
        <v>35</v>
      </c>
      <c r="N822" s="78"/>
      <c r="P822" s="85"/>
    </row>
    <row r="823" spans="11:16">
      <c r="K823" s="85">
        <v>36</v>
      </c>
      <c r="N823" s="78"/>
      <c r="P823" s="85"/>
    </row>
    <row r="824" spans="11:16">
      <c r="K824" s="85">
        <v>26</v>
      </c>
      <c r="N824" s="78"/>
      <c r="P824" s="85"/>
    </row>
    <row r="825" spans="11:16">
      <c r="K825" s="85">
        <v>27</v>
      </c>
      <c r="N825" s="78"/>
      <c r="P825" s="85"/>
    </row>
    <row r="826" spans="11:16">
      <c r="K826" s="85">
        <v>30</v>
      </c>
      <c r="N826" s="78"/>
      <c r="P826" s="85"/>
    </row>
    <row r="827" spans="11:16">
      <c r="K827" s="85">
        <v>31</v>
      </c>
      <c r="N827" s="78"/>
      <c r="P827" s="85"/>
    </row>
    <row r="828" spans="11:16">
      <c r="K828" s="85">
        <v>35</v>
      </c>
      <c r="N828" s="78"/>
      <c r="P828" s="85"/>
    </row>
    <row r="829" spans="11:16">
      <c r="K829" s="85">
        <v>25</v>
      </c>
      <c r="N829" s="78"/>
      <c r="P829" s="85"/>
    </row>
    <row r="830" spans="11:16">
      <c r="K830" s="85">
        <v>26</v>
      </c>
      <c r="N830" s="78"/>
      <c r="P830" s="85"/>
    </row>
    <row r="831" spans="11:16">
      <c r="K831" s="85">
        <v>27</v>
      </c>
      <c r="N831" s="78"/>
      <c r="P831" s="85"/>
    </row>
    <row r="832" spans="11:16">
      <c r="K832" s="85">
        <v>28</v>
      </c>
      <c r="N832" s="78"/>
      <c r="P832" s="85"/>
    </row>
    <row r="833" spans="11:16">
      <c r="K833" s="85">
        <v>30</v>
      </c>
      <c r="N833" s="78"/>
      <c r="P833" s="85"/>
    </row>
    <row r="834" spans="11:16">
      <c r="K834" s="85">
        <v>31</v>
      </c>
      <c r="N834" s="78"/>
      <c r="P834" s="85"/>
    </row>
    <row r="835" spans="11:16">
      <c r="K835" s="85">
        <v>32</v>
      </c>
      <c r="N835" s="78"/>
      <c r="P835" s="85"/>
    </row>
    <row r="836" spans="11:16">
      <c r="K836" s="85">
        <v>33</v>
      </c>
      <c r="N836" s="78"/>
      <c r="P836" s="85"/>
    </row>
    <row r="837" spans="11:16">
      <c r="K837" s="85">
        <v>34</v>
      </c>
      <c r="N837" s="78"/>
      <c r="P837" s="85"/>
    </row>
    <row r="838" spans="11:16">
      <c r="K838" s="85">
        <v>35</v>
      </c>
      <c r="N838" s="78"/>
      <c r="P838" s="85"/>
    </row>
    <row r="839" spans="11:16">
      <c r="K839" s="85">
        <v>36</v>
      </c>
      <c r="N839" s="78"/>
      <c r="P839" s="85"/>
    </row>
    <row r="840" spans="11:16">
      <c r="K840" s="85">
        <v>25</v>
      </c>
      <c r="N840" s="78"/>
      <c r="P840" s="85"/>
    </row>
    <row r="841" spans="11:16">
      <c r="K841" s="85">
        <v>26</v>
      </c>
      <c r="N841" s="78"/>
      <c r="P841" s="85"/>
    </row>
    <row r="842" spans="11:16">
      <c r="K842" s="85">
        <v>27</v>
      </c>
      <c r="N842" s="78"/>
      <c r="P842" s="85"/>
    </row>
    <row r="843" spans="11:16">
      <c r="K843" s="85">
        <v>28</v>
      </c>
      <c r="N843" s="78"/>
      <c r="P843" s="85"/>
    </row>
    <row r="844" spans="11:16">
      <c r="K844" s="85">
        <v>30</v>
      </c>
      <c r="N844" s="78"/>
      <c r="P844" s="85"/>
    </row>
    <row r="845" spans="11:16">
      <c r="K845" s="85">
        <v>31</v>
      </c>
      <c r="N845" s="78"/>
      <c r="P845" s="85"/>
    </row>
    <row r="846" spans="11:16">
      <c r="K846" s="85">
        <v>32</v>
      </c>
      <c r="N846" s="78"/>
      <c r="P846" s="85"/>
    </row>
    <row r="847" spans="11:16">
      <c r="K847" s="85">
        <v>33</v>
      </c>
      <c r="N847" s="78"/>
      <c r="P847" s="85"/>
    </row>
    <row r="848" spans="11:16">
      <c r="K848" s="85">
        <v>34</v>
      </c>
      <c r="N848" s="78"/>
      <c r="P848" s="85"/>
    </row>
    <row r="849" spans="11:16">
      <c r="K849" s="85">
        <v>35</v>
      </c>
      <c r="N849" s="78"/>
      <c r="P849" s="85"/>
    </row>
    <row r="850" spans="11:16">
      <c r="K850" s="85">
        <v>36</v>
      </c>
      <c r="N850" s="78"/>
      <c r="P850" s="85"/>
    </row>
    <row r="851" spans="11:16">
      <c r="K851" s="85">
        <v>25</v>
      </c>
      <c r="N851" s="78"/>
      <c r="P851" s="85"/>
    </row>
    <row r="852" spans="11:16">
      <c r="K852" s="85">
        <v>27</v>
      </c>
      <c r="N852" s="78"/>
      <c r="P852" s="85"/>
    </row>
    <row r="853" spans="11:16">
      <c r="K853" s="85">
        <v>28</v>
      </c>
      <c r="N853" s="78"/>
      <c r="P853" s="85"/>
    </row>
    <row r="854" spans="11:16">
      <c r="K854" s="85">
        <v>30</v>
      </c>
      <c r="N854" s="78"/>
      <c r="P854" s="85"/>
    </row>
    <row r="855" spans="11:16">
      <c r="K855" s="85">
        <v>31</v>
      </c>
      <c r="N855" s="78"/>
      <c r="P855" s="85"/>
    </row>
    <row r="856" spans="11:16">
      <c r="K856" s="85">
        <v>34</v>
      </c>
      <c r="N856" s="78"/>
      <c r="P856" s="85"/>
    </row>
    <row r="857" spans="11:16">
      <c r="K857" s="85">
        <v>27</v>
      </c>
      <c r="N857" s="78"/>
      <c r="P857" s="85"/>
    </row>
    <row r="858" spans="11:16">
      <c r="K858" s="85">
        <v>25</v>
      </c>
      <c r="N858" s="78"/>
      <c r="P858" s="85"/>
    </row>
    <row r="859" spans="11:16">
      <c r="K859" s="85">
        <v>27</v>
      </c>
      <c r="N859" s="78"/>
      <c r="P859" s="85"/>
    </row>
    <row r="860" spans="11:16">
      <c r="K860" s="85">
        <v>31</v>
      </c>
      <c r="N860" s="78"/>
      <c r="P860" s="85"/>
    </row>
    <row r="861" spans="11:16">
      <c r="K861" s="85">
        <v>32</v>
      </c>
      <c r="N861" s="78"/>
      <c r="P861" s="85"/>
    </row>
    <row r="862" spans="11:16">
      <c r="K862" s="85">
        <v>33</v>
      </c>
      <c r="N862" s="78"/>
      <c r="P862" s="85"/>
    </row>
    <row r="863" spans="11:16">
      <c r="K863" s="85">
        <v>25</v>
      </c>
      <c r="N863" s="78"/>
      <c r="P863" s="85"/>
    </row>
    <row r="864" spans="11:16">
      <c r="K864" s="85">
        <v>26</v>
      </c>
      <c r="N864" s="78"/>
      <c r="P864" s="85"/>
    </row>
    <row r="865" spans="11:16">
      <c r="K865" s="85">
        <v>27</v>
      </c>
      <c r="N865" s="78"/>
      <c r="P865" s="85"/>
    </row>
    <row r="866" spans="11:16">
      <c r="K866" s="85">
        <v>28</v>
      </c>
      <c r="N866" s="78"/>
      <c r="P866" s="85"/>
    </row>
    <row r="867" spans="11:16">
      <c r="K867" s="85">
        <v>30</v>
      </c>
      <c r="N867" s="78"/>
      <c r="P867" s="85"/>
    </row>
    <row r="868" spans="11:16">
      <c r="K868" s="85">
        <v>31</v>
      </c>
      <c r="N868" s="78"/>
      <c r="P868" s="85"/>
    </row>
    <row r="869" spans="11:16">
      <c r="K869" s="85">
        <v>32</v>
      </c>
      <c r="N869" s="78"/>
      <c r="P869" s="85"/>
    </row>
    <row r="870" spans="11:16">
      <c r="K870" s="85">
        <v>33</v>
      </c>
      <c r="N870" s="78"/>
      <c r="P870" s="85"/>
    </row>
    <row r="871" spans="11:16">
      <c r="K871" s="85">
        <v>34</v>
      </c>
      <c r="N871" s="78"/>
      <c r="P871" s="85"/>
    </row>
    <row r="872" spans="11:16">
      <c r="K872" s="85">
        <v>35</v>
      </c>
      <c r="N872" s="78"/>
      <c r="P872" s="85"/>
    </row>
    <row r="873" spans="11:16">
      <c r="K873" s="85">
        <v>36</v>
      </c>
      <c r="N873" s="78"/>
      <c r="P873" s="85"/>
    </row>
    <row r="874" spans="11:16">
      <c r="K874" s="85">
        <v>25</v>
      </c>
      <c r="N874" s="78"/>
      <c r="P874" s="85"/>
    </row>
    <row r="875" spans="11:16">
      <c r="K875" s="85">
        <v>26</v>
      </c>
      <c r="N875" s="78"/>
      <c r="P875" s="85"/>
    </row>
    <row r="876" spans="11:16">
      <c r="K876" s="85">
        <v>28</v>
      </c>
      <c r="N876" s="78"/>
      <c r="P876" s="85"/>
    </row>
    <row r="877" spans="11:16">
      <c r="K877" s="85">
        <v>29</v>
      </c>
      <c r="N877" s="78"/>
      <c r="P877" s="85"/>
    </row>
    <row r="878" spans="11:16">
      <c r="K878" s="85">
        <v>30</v>
      </c>
      <c r="N878" s="78"/>
      <c r="P878" s="85"/>
    </row>
    <row r="879" spans="11:16">
      <c r="K879" s="85">
        <v>31</v>
      </c>
      <c r="N879" s="78"/>
      <c r="P879" s="85"/>
    </row>
    <row r="880" spans="11:16">
      <c r="K880" s="85">
        <v>32</v>
      </c>
      <c r="N880" s="78"/>
      <c r="P880" s="85"/>
    </row>
    <row r="881" spans="11:16">
      <c r="K881" s="85">
        <v>32</v>
      </c>
      <c r="N881" s="78"/>
      <c r="P881" s="85"/>
    </row>
    <row r="882" spans="11:16">
      <c r="K882" s="85">
        <v>33</v>
      </c>
      <c r="N882" s="78"/>
      <c r="P882" s="85"/>
    </row>
    <row r="883" spans="11:16">
      <c r="K883" s="85">
        <v>35</v>
      </c>
      <c r="N883" s="78"/>
      <c r="P883" s="85"/>
    </row>
    <row r="884" spans="11:16">
      <c r="K884" s="85">
        <v>25</v>
      </c>
      <c r="N884" s="78"/>
      <c r="P884" s="85"/>
    </row>
    <row r="885" spans="11:16">
      <c r="K885" s="85">
        <v>27</v>
      </c>
      <c r="N885" s="78"/>
      <c r="P885" s="85"/>
    </row>
    <row r="886" spans="11:16">
      <c r="K886" s="85">
        <v>31</v>
      </c>
      <c r="N886" s="78"/>
      <c r="P886" s="85"/>
    </row>
    <row r="887" spans="11:16">
      <c r="K887" s="85">
        <v>34</v>
      </c>
      <c r="N887" s="78"/>
      <c r="P887" s="85"/>
    </row>
    <row r="888" spans="11:16">
      <c r="K888" s="85">
        <v>35</v>
      </c>
      <c r="N888" s="78"/>
      <c r="P888" s="85"/>
    </row>
    <row r="889" spans="11:16">
      <c r="K889" s="85">
        <v>25</v>
      </c>
      <c r="N889" s="78"/>
      <c r="P889" s="85"/>
    </row>
    <row r="890" spans="11:16">
      <c r="K890" s="85">
        <v>26</v>
      </c>
      <c r="N890" s="78"/>
      <c r="P890" s="85"/>
    </row>
    <row r="891" spans="11:16">
      <c r="K891" s="85">
        <v>27</v>
      </c>
      <c r="N891" s="78"/>
      <c r="P891" s="85"/>
    </row>
    <row r="892" spans="11:16">
      <c r="K892" s="85">
        <v>28</v>
      </c>
      <c r="N892" s="78"/>
      <c r="P892" s="85"/>
    </row>
    <row r="893" spans="11:16">
      <c r="K893" s="85">
        <v>29</v>
      </c>
      <c r="N893" s="78"/>
      <c r="P893" s="85"/>
    </row>
    <row r="894" spans="11:16">
      <c r="K894" s="85">
        <v>30</v>
      </c>
      <c r="N894" s="78"/>
      <c r="P894" s="85"/>
    </row>
    <row r="895" spans="11:16">
      <c r="K895" s="85">
        <v>33</v>
      </c>
      <c r="N895" s="78"/>
      <c r="P895" s="85"/>
    </row>
    <row r="896" spans="11:16">
      <c r="K896" s="85">
        <v>34</v>
      </c>
      <c r="N896" s="78"/>
      <c r="P896" s="85"/>
    </row>
    <row r="897" spans="11:16">
      <c r="K897" s="85">
        <v>35</v>
      </c>
      <c r="N897" s="78"/>
      <c r="P897" s="85"/>
    </row>
    <row r="898" spans="11:16">
      <c r="K898" s="85">
        <v>36</v>
      </c>
      <c r="N898" s="78"/>
      <c r="P898" s="85"/>
    </row>
    <row r="899" spans="11:16">
      <c r="K899" s="85">
        <v>26</v>
      </c>
      <c r="N899" s="78"/>
      <c r="P899" s="85"/>
    </row>
    <row r="900" spans="11:16">
      <c r="K900" s="85">
        <v>27</v>
      </c>
      <c r="N900" s="78"/>
      <c r="P900" s="85"/>
    </row>
    <row r="901" spans="11:16">
      <c r="K901" s="85">
        <v>28</v>
      </c>
      <c r="N901" s="78"/>
      <c r="P901" s="85"/>
    </row>
    <row r="902" spans="11:16">
      <c r="K902" s="85">
        <v>29</v>
      </c>
      <c r="N902" s="78"/>
      <c r="P902" s="85"/>
    </row>
    <row r="903" spans="11:16">
      <c r="K903" s="85">
        <v>30</v>
      </c>
      <c r="N903" s="78"/>
      <c r="P903" s="85"/>
    </row>
    <row r="904" spans="11:16">
      <c r="K904" s="85">
        <v>31</v>
      </c>
      <c r="N904" s="78"/>
      <c r="P904" s="85"/>
    </row>
    <row r="905" spans="11:16">
      <c r="K905" s="85">
        <v>32</v>
      </c>
      <c r="N905" s="78"/>
      <c r="P905" s="85"/>
    </row>
    <row r="906" spans="11:16">
      <c r="K906" s="85">
        <v>36</v>
      </c>
      <c r="N906" s="78"/>
      <c r="P906" s="85"/>
    </row>
    <row r="907" spans="11:16">
      <c r="K907" s="85">
        <v>34</v>
      </c>
      <c r="N907" s="78"/>
      <c r="P907" s="85"/>
    </row>
    <row r="908" spans="11:16">
      <c r="K908" s="85">
        <v>35</v>
      </c>
      <c r="N908" s="78"/>
      <c r="P908" s="85"/>
    </row>
    <row r="909" spans="11:16">
      <c r="K909" s="85">
        <v>26</v>
      </c>
      <c r="N909" s="78"/>
      <c r="P909" s="85"/>
    </row>
    <row r="910" spans="11:16">
      <c r="K910" s="85">
        <v>27</v>
      </c>
      <c r="N910" s="78"/>
      <c r="P910" s="85"/>
    </row>
    <row r="911" spans="11:16">
      <c r="K911" s="85">
        <v>28</v>
      </c>
      <c r="N911" s="78"/>
      <c r="P911" s="85"/>
    </row>
    <row r="912" spans="11:16">
      <c r="K912" s="85">
        <v>30</v>
      </c>
      <c r="N912" s="78"/>
      <c r="P912" s="85"/>
    </row>
    <row r="913" spans="11:16">
      <c r="K913" s="85">
        <v>31</v>
      </c>
      <c r="N913" s="78"/>
      <c r="P913" s="85"/>
    </row>
    <row r="914" spans="11:16">
      <c r="K914" s="85">
        <v>32</v>
      </c>
      <c r="N914" s="78"/>
      <c r="P914" s="85"/>
    </row>
    <row r="915" spans="11:16">
      <c r="K915" s="85">
        <v>25</v>
      </c>
      <c r="N915" s="78"/>
      <c r="P915" s="85"/>
    </row>
    <row r="916" spans="11:16">
      <c r="K916" s="85">
        <v>26</v>
      </c>
      <c r="N916" s="78"/>
      <c r="P916" s="85"/>
    </row>
    <row r="917" spans="11:16">
      <c r="K917" s="85">
        <v>27</v>
      </c>
      <c r="N917" s="78"/>
      <c r="P917" s="85"/>
    </row>
    <row r="918" spans="11:16">
      <c r="K918" s="85">
        <v>28</v>
      </c>
      <c r="N918" s="78"/>
      <c r="P918" s="85"/>
    </row>
    <row r="919" spans="11:16">
      <c r="K919" s="85">
        <v>29</v>
      </c>
      <c r="N919" s="78"/>
      <c r="P919" s="85"/>
    </row>
    <row r="920" spans="11:16">
      <c r="K920" s="85">
        <v>30</v>
      </c>
      <c r="N920" s="78"/>
      <c r="P920" s="85"/>
    </row>
    <row r="921" spans="11:16">
      <c r="K921" s="85">
        <v>31</v>
      </c>
      <c r="N921" s="78"/>
      <c r="P921" s="85"/>
    </row>
    <row r="922" spans="11:16">
      <c r="K922" s="85">
        <v>32</v>
      </c>
      <c r="N922" s="78"/>
      <c r="P922" s="85"/>
    </row>
    <row r="923" spans="11:16">
      <c r="K923" s="85">
        <v>33</v>
      </c>
      <c r="N923" s="78"/>
      <c r="P923" s="85"/>
    </row>
    <row r="924" spans="11:16">
      <c r="K924" s="85">
        <v>34</v>
      </c>
      <c r="N924" s="78"/>
      <c r="P924" s="85"/>
    </row>
    <row r="925" spans="11:16">
      <c r="K925" s="85">
        <v>35</v>
      </c>
      <c r="N925" s="78"/>
      <c r="P925" s="85"/>
    </row>
    <row r="926" spans="11:16">
      <c r="K926" s="85">
        <v>36</v>
      </c>
      <c r="N926" s="78"/>
      <c r="P926" s="85"/>
    </row>
    <row r="927" spans="11:16">
      <c r="K927" s="85">
        <v>25</v>
      </c>
      <c r="N927" s="78"/>
      <c r="P927" s="85"/>
    </row>
    <row r="928" spans="11:16">
      <c r="K928" s="85">
        <v>27</v>
      </c>
      <c r="N928" s="78"/>
      <c r="P928" s="85"/>
    </row>
    <row r="929" spans="11:16">
      <c r="K929" s="85">
        <v>31</v>
      </c>
      <c r="N929" s="78"/>
      <c r="P929" s="85"/>
    </row>
    <row r="930" spans="11:16">
      <c r="K930" s="85">
        <v>32</v>
      </c>
      <c r="N930" s="78"/>
      <c r="P930" s="85"/>
    </row>
    <row r="931" spans="11:16">
      <c r="K931" s="85">
        <v>33</v>
      </c>
      <c r="N931" s="78"/>
      <c r="P931" s="85"/>
    </row>
    <row r="932" spans="11:16">
      <c r="K932" s="85">
        <v>25</v>
      </c>
      <c r="N932" s="78"/>
      <c r="P932" s="85"/>
    </row>
    <row r="933" spans="11:16">
      <c r="K933" s="85">
        <v>26</v>
      </c>
      <c r="N933" s="78"/>
      <c r="P933" s="85"/>
    </row>
    <row r="934" spans="11:16">
      <c r="K934" s="85">
        <v>27</v>
      </c>
      <c r="N934" s="78"/>
      <c r="P934" s="85"/>
    </row>
    <row r="935" spans="11:16">
      <c r="K935" s="85">
        <v>29</v>
      </c>
      <c r="N935" s="78"/>
      <c r="P935" s="85"/>
    </row>
    <row r="936" spans="11:16">
      <c r="K936" s="85">
        <v>30</v>
      </c>
      <c r="N936" s="78"/>
      <c r="P936" s="85"/>
    </row>
    <row r="937" spans="11:16">
      <c r="K937" s="85">
        <v>31</v>
      </c>
      <c r="N937" s="78"/>
      <c r="P937" s="85"/>
    </row>
    <row r="938" spans="11:16">
      <c r="K938" s="85">
        <v>32</v>
      </c>
      <c r="N938" s="78"/>
      <c r="P938" s="85"/>
    </row>
    <row r="939" spans="11:16">
      <c r="K939" s="85">
        <v>33</v>
      </c>
      <c r="N939" s="78"/>
      <c r="P939" s="85"/>
    </row>
    <row r="940" spans="11:16">
      <c r="K940" s="85">
        <v>34</v>
      </c>
      <c r="N940" s="78"/>
      <c r="P940" s="85"/>
    </row>
    <row r="941" spans="11:16">
      <c r="K941" s="85">
        <v>35</v>
      </c>
      <c r="N941" s="78"/>
      <c r="P941" s="85"/>
    </row>
    <row r="942" spans="11:16">
      <c r="K942" s="85">
        <v>36</v>
      </c>
      <c r="N942" s="78"/>
      <c r="P942" s="85"/>
    </row>
    <row r="943" spans="11:16">
      <c r="K943" s="85">
        <v>25</v>
      </c>
      <c r="N943" s="78"/>
      <c r="P943" s="85"/>
    </row>
    <row r="944" spans="11:16">
      <c r="K944" s="85">
        <v>26</v>
      </c>
      <c r="N944" s="78"/>
      <c r="P944" s="85"/>
    </row>
    <row r="945" spans="11:16">
      <c r="K945" s="85">
        <v>27</v>
      </c>
      <c r="N945" s="78"/>
      <c r="P945" s="85"/>
    </row>
    <row r="946" spans="11:16">
      <c r="K946" s="85">
        <v>28</v>
      </c>
      <c r="N946" s="78"/>
      <c r="P946" s="85"/>
    </row>
    <row r="947" spans="11:16">
      <c r="K947" s="85">
        <v>29</v>
      </c>
      <c r="N947" s="78"/>
      <c r="P947" s="85"/>
    </row>
    <row r="948" spans="11:16">
      <c r="K948" s="85">
        <v>30</v>
      </c>
      <c r="N948" s="78"/>
      <c r="P948" s="85"/>
    </row>
    <row r="949" spans="11:16">
      <c r="K949" s="85">
        <v>31</v>
      </c>
      <c r="N949" s="78"/>
      <c r="P949" s="85"/>
    </row>
    <row r="950" spans="11:16">
      <c r="K950" s="85">
        <v>32</v>
      </c>
      <c r="N950" s="78"/>
      <c r="P950" s="85"/>
    </row>
    <row r="951" spans="11:16">
      <c r="K951" s="85">
        <v>33</v>
      </c>
      <c r="N951" s="78"/>
      <c r="P951" s="85"/>
    </row>
    <row r="952" spans="11:16">
      <c r="K952" s="85">
        <v>34</v>
      </c>
      <c r="N952" s="78"/>
      <c r="P952" s="85"/>
    </row>
    <row r="953" spans="11:16">
      <c r="K953" s="85">
        <v>35</v>
      </c>
      <c r="N953" s="78"/>
      <c r="P953" s="85"/>
    </row>
    <row r="954" spans="11:16">
      <c r="K954" s="85">
        <v>36</v>
      </c>
      <c r="N954" s="78"/>
      <c r="P954" s="85"/>
    </row>
    <row r="955" spans="11:16">
      <c r="K955" s="85">
        <v>27</v>
      </c>
      <c r="N955" s="78"/>
      <c r="P955" s="85"/>
    </row>
    <row r="956" spans="11:16">
      <c r="K956" s="85">
        <v>31</v>
      </c>
      <c r="N956" s="78"/>
      <c r="P956" s="85"/>
    </row>
    <row r="957" spans="11:16">
      <c r="K957" s="85">
        <v>32</v>
      </c>
      <c r="N957" s="78"/>
      <c r="P957" s="85"/>
    </row>
    <row r="958" spans="11:16">
      <c r="K958" s="85">
        <v>33</v>
      </c>
      <c r="N958" s="78"/>
      <c r="P958" s="85"/>
    </row>
    <row r="959" spans="11:16">
      <c r="K959" s="85">
        <v>34</v>
      </c>
      <c r="N959" s="78"/>
      <c r="P959" s="85"/>
    </row>
    <row r="960" spans="11:16">
      <c r="K960" s="85">
        <v>35</v>
      </c>
      <c r="N960" s="78"/>
      <c r="P960" s="85"/>
    </row>
    <row r="961" spans="11:16">
      <c r="K961" s="85">
        <v>26</v>
      </c>
      <c r="N961" s="78"/>
      <c r="P961" s="85"/>
    </row>
    <row r="962" spans="11:16">
      <c r="K962" s="85">
        <v>27</v>
      </c>
      <c r="N962" s="78"/>
      <c r="P962" s="85"/>
    </row>
    <row r="963" spans="11:16">
      <c r="K963" s="85">
        <v>28</v>
      </c>
      <c r="N963" s="78"/>
      <c r="P963" s="85"/>
    </row>
    <row r="964" spans="11:16">
      <c r="K964" s="85">
        <v>29</v>
      </c>
      <c r="N964" s="78"/>
      <c r="P964" s="85"/>
    </row>
    <row r="965" spans="11:16">
      <c r="K965" s="85">
        <v>30</v>
      </c>
      <c r="N965" s="78"/>
      <c r="P965" s="85"/>
    </row>
    <row r="966" spans="11:16">
      <c r="K966" s="85">
        <v>31</v>
      </c>
      <c r="N966" s="78"/>
      <c r="P966" s="85"/>
    </row>
    <row r="967" spans="11:16">
      <c r="K967" s="85">
        <v>34</v>
      </c>
      <c r="N967" s="78"/>
      <c r="P967" s="85"/>
    </row>
    <row r="968" spans="11:16">
      <c r="K968" s="85">
        <v>36</v>
      </c>
      <c r="N968" s="78"/>
      <c r="P968" s="85"/>
    </row>
    <row r="969" spans="11:16">
      <c r="K969" s="85">
        <v>25</v>
      </c>
      <c r="N969" s="78"/>
      <c r="P969" s="85"/>
    </row>
    <row r="970" spans="11:16">
      <c r="K970" s="85">
        <v>26</v>
      </c>
      <c r="N970" s="78"/>
      <c r="P970" s="85"/>
    </row>
    <row r="971" spans="11:16">
      <c r="K971" s="85">
        <v>27</v>
      </c>
      <c r="N971" s="78"/>
      <c r="P971" s="85"/>
    </row>
    <row r="972" spans="11:16">
      <c r="K972" s="85">
        <v>28</v>
      </c>
      <c r="N972" s="78"/>
      <c r="P972" s="85"/>
    </row>
    <row r="973" spans="11:16">
      <c r="K973" s="85">
        <v>29</v>
      </c>
      <c r="N973" s="78"/>
      <c r="P973" s="85"/>
    </row>
    <row r="974" spans="11:16">
      <c r="K974" s="85">
        <v>30</v>
      </c>
      <c r="N974" s="78"/>
      <c r="P974" s="85"/>
    </row>
    <row r="975" spans="11:16">
      <c r="K975" s="85">
        <v>31</v>
      </c>
      <c r="N975" s="78"/>
      <c r="P975" s="85"/>
    </row>
    <row r="976" spans="11:16">
      <c r="K976" s="85">
        <v>32</v>
      </c>
      <c r="N976" s="78"/>
      <c r="P976" s="85"/>
    </row>
    <row r="977" spans="11:16">
      <c r="K977" s="85">
        <v>33</v>
      </c>
      <c r="N977" s="78"/>
      <c r="P977" s="85"/>
    </row>
    <row r="978" spans="11:16">
      <c r="K978" s="85">
        <v>34</v>
      </c>
      <c r="N978" s="78"/>
      <c r="P978" s="85"/>
    </row>
    <row r="979" spans="11:16">
      <c r="K979" s="85">
        <v>36</v>
      </c>
      <c r="N979" s="78"/>
      <c r="P979" s="85"/>
    </row>
    <row r="980" spans="11:16">
      <c r="K980" s="85">
        <v>25</v>
      </c>
      <c r="N980" s="78"/>
      <c r="P980" s="85"/>
    </row>
    <row r="981" spans="11:16">
      <c r="K981" s="85">
        <v>26</v>
      </c>
      <c r="N981" s="78"/>
      <c r="P981" s="85"/>
    </row>
    <row r="982" spans="11:16">
      <c r="K982" s="85">
        <v>27</v>
      </c>
      <c r="N982" s="78"/>
      <c r="P982" s="85"/>
    </row>
    <row r="983" spans="11:16">
      <c r="K983" s="85">
        <v>28</v>
      </c>
      <c r="N983" s="78"/>
      <c r="P983" s="85"/>
    </row>
    <row r="984" spans="11:16">
      <c r="K984" s="85">
        <v>29</v>
      </c>
      <c r="N984" s="78"/>
      <c r="P984" s="85"/>
    </row>
    <row r="985" spans="11:16">
      <c r="K985" s="85">
        <v>30</v>
      </c>
      <c r="N985" s="78"/>
      <c r="P985" s="85"/>
    </row>
    <row r="986" spans="11:16">
      <c r="K986" s="85">
        <v>31</v>
      </c>
      <c r="N986" s="78"/>
      <c r="P986" s="85"/>
    </row>
    <row r="987" spans="11:16">
      <c r="K987" s="85">
        <v>32</v>
      </c>
      <c r="N987" s="78"/>
      <c r="P987" s="85"/>
    </row>
    <row r="988" spans="11:16">
      <c r="K988" s="85">
        <v>34</v>
      </c>
      <c r="N988" s="78"/>
      <c r="P988" s="85"/>
    </row>
    <row r="989" spans="11:16">
      <c r="K989" s="85">
        <v>35</v>
      </c>
      <c r="N989" s="78"/>
      <c r="P989" s="85"/>
    </row>
    <row r="990" spans="11:16">
      <c r="K990" s="85">
        <v>36</v>
      </c>
      <c r="N990" s="78"/>
      <c r="P990" s="85"/>
    </row>
    <row r="991" spans="11:16">
      <c r="K991" s="85">
        <v>25</v>
      </c>
      <c r="N991" s="78"/>
      <c r="P991" s="85"/>
    </row>
    <row r="992" spans="11:16">
      <c r="K992" s="85">
        <v>26</v>
      </c>
      <c r="N992" s="78"/>
      <c r="P992" s="85"/>
    </row>
    <row r="993" spans="11:16">
      <c r="K993" s="85">
        <v>27</v>
      </c>
      <c r="N993" s="78"/>
      <c r="P993" s="85"/>
    </row>
    <row r="994" spans="11:16">
      <c r="K994" s="85">
        <v>28</v>
      </c>
      <c r="N994" s="78"/>
      <c r="P994" s="85"/>
    </row>
    <row r="995" spans="11:16">
      <c r="K995" s="85">
        <v>29</v>
      </c>
      <c r="N995" s="78"/>
      <c r="P995" s="85"/>
    </row>
    <row r="996" spans="11:16">
      <c r="K996" s="85">
        <v>30</v>
      </c>
      <c r="N996" s="78"/>
      <c r="P996" s="85"/>
    </row>
    <row r="997" spans="11:16">
      <c r="K997" s="85">
        <v>31</v>
      </c>
      <c r="N997" s="78"/>
      <c r="P997" s="85"/>
    </row>
    <row r="998" spans="11:16">
      <c r="K998" s="85">
        <v>32</v>
      </c>
      <c r="N998" s="78"/>
      <c r="P998" s="85"/>
    </row>
    <row r="999" spans="11:16">
      <c r="K999" s="85">
        <v>33</v>
      </c>
      <c r="N999" s="78"/>
      <c r="P999" s="85"/>
    </row>
    <row r="1000" spans="11:16">
      <c r="K1000" s="85">
        <v>34</v>
      </c>
      <c r="N1000" s="78"/>
      <c r="P1000" s="85"/>
    </row>
    <row r="1001" spans="11:16">
      <c r="K1001" s="85">
        <v>35</v>
      </c>
      <c r="N1001" s="78"/>
      <c r="P1001" s="85"/>
    </row>
    <row r="1002" spans="11:16">
      <c r="K1002" s="85">
        <v>36</v>
      </c>
      <c r="N1002" s="78"/>
      <c r="P1002" s="85"/>
    </row>
    <row r="1003" spans="11:16">
      <c r="K1003" s="85">
        <v>26</v>
      </c>
      <c r="N1003" s="78"/>
      <c r="P1003" s="85"/>
    </row>
    <row r="1004" spans="11:16">
      <c r="K1004" s="85">
        <v>27</v>
      </c>
      <c r="N1004" s="78"/>
      <c r="P1004" s="85"/>
    </row>
    <row r="1005" spans="11:16">
      <c r="K1005" s="85">
        <v>31</v>
      </c>
      <c r="N1005" s="78"/>
      <c r="P1005" s="85"/>
    </row>
    <row r="1006" spans="11:16">
      <c r="K1006" s="85">
        <v>32</v>
      </c>
      <c r="N1006" s="78"/>
      <c r="P1006" s="85"/>
    </row>
    <row r="1007" spans="11:16">
      <c r="K1007" s="85">
        <v>34</v>
      </c>
      <c r="N1007" s="78"/>
      <c r="P1007" s="85"/>
    </row>
    <row r="1008" spans="11:16">
      <c r="K1008" s="85">
        <v>35</v>
      </c>
      <c r="N1008" s="78"/>
      <c r="P1008" s="85"/>
    </row>
    <row r="1009" spans="11:16">
      <c r="K1009" s="85">
        <v>36</v>
      </c>
      <c r="N1009" s="78"/>
      <c r="P1009" s="85"/>
    </row>
    <row r="1010" spans="11:16">
      <c r="K1010" s="85">
        <v>32</v>
      </c>
      <c r="N1010" s="78"/>
      <c r="P1010" s="85"/>
    </row>
    <row r="1011" spans="11:16">
      <c r="K1011" s="85">
        <v>33</v>
      </c>
      <c r="N1011" s="78"/>
      <c r="P1011" s="85"/>
    </row>
    <row r="1012" spans="11:16">
      <c r="K1012" s="85">
        <v>27</v>
      </c>
      <c r="N1012" s="78"/>
      <c r="P1012" s="85"/>
    </row>
    <row r="1013" spans="11:16">
      <c r="K1013" s="85">
        <v>31</v>
      </c>
      <c r="N1013" s="78"/>
      <c r="P1013" s="85"/>
    </row>
    <row r="1014" spans="11:16">
      <c r="K1014" s="85">
        <v>35</v>
      </c>
      <c r="N1014" s="78"/>
      <c r="P1014" s="85"/>
    </row>
    <row r="1015" spans="11:16">
      <c r="K1015" s="85">
        <v>32</v>
      </c>
      <c r="N1015" s="78"/>
      <c r="P1015" s="85"/>
    </row>
    <row r="1016" spans="11:16">
      <c r="K1016" s="85">
        <v>33</v>
      </c>
      <c r="N1016" s="78"/>
      <c r="P1016" s="85"/>
    </row>
    <row r="1017" spans="11:16">
      <c r="K1017" s="85">
        <v>25</v>
      </c>
      <c r="N1017" s="78"/>
      <c r="P1017" s="85"/>
    </row>
    <row r="1018" spans="11:16">
      <c r="K1018" s="85">
        <v>26</v>
      </c>
      <c r="N1018" s="78"/>
      <c r="P1018" s="85"/>
    </row>
    <row r="1019" spans="11:16">
      <c r="K1019" s="85">
        <v>27</v>
      </c>
      <c r="N1019" s="78"/>
      <c r="P1019" s="85"/>
    </row>
    <row r="1020" spans="11:16">
      <c r="K1020" s="85">
        <v>28</v>
      </c>
      <c r="N1020" s="78"/>
      <c r="P1020" s="85"/>
    </row>
    <row r="1021" spans="11:16">
      <c r="K1021" s="85">
        <v>29</v>
      </c>
      <c r="N1021" s="78"/>
      <c r="P1021" s="85"/>
    </row>
    <row r="1022" spans="11:16">
      <c r="K1022" s="85">
        <v>30</v>
      </c>
      <c r="N1022" s="78"/>
      <c r="P1022" s="85"/>
    </row>
    <row r="1023" spans="11:16">
      <c r="K1023" s="85">
        <v>31</v>
      </c>
      <c r="N1023" s="78"/>
      <c r="P1023" s="85"/>
    </row>
    <row r="1024" spans="11:16">
      <c r="K1024" s="85">
        <v>32</v>
      </c>
      <c r="N1024" s="78"/>
      <c r="P1024" s="85"/>
    </row>
    <row r="1025" spans="11:16">
      <c r="K1025" s="85">
        <v>33</v>
      </c>
      <c r="N1025" s="78"/>
      <c r="P1025" s="85"/>
    </row>
    <row r="1026" spans="11:16">
      <c r="K1026" s="85">
        <v>34</v>
      </c>
      <c r="N1026" s="78"/>
      <c r="P1026" s="85"/>
    </row>
    <row r="1027" spans="11:16">
      <c r="K1027" s="85">
        <v>35</v>
      </c>
      <c r="N1027" s="78"/>
      <c r="P1027" s="85"/>
    </row>
    <row r="1028" spans="11:16">
      <c r="K1028" s="85">
        <v>36</v>
      </c>
      <c r="N1028" s="78"/>
      <c r="P1028" s="85"/>
    </row>
    <row r="1029" spans="11:16">
      <c r="K1029" s="85">
        <v>25</v>
      </c>
      <c r="N1029" s="78"/>
      <c r="P1029" s="85"/>
    </row>
    <row r="1030" spans="11:16">
      <c r="K1030" s="85">
        <v>27</v>
      </c>
      <c r="N1030" s="78"/>
      <c r="P1030" s="85"/>
    </row>
    <row r="1031" spans="11:16">
      <c r="K1031" s="85">
        <v>29</v>
      </c>
      <c r="N1031" s="78"/>
      <c r="P1031" s="85"/>
    </row>
    <row r="1032" spans="11:16">
      <c r="K1032" s="85">
        <v>35</v>
      </c>
      <c r="N1032" s="78"/>
      <c r="P1032" s="85"/>
    </row>
    <row r="1033" spans="11:16">
      <c r="K1033" s="85">
        <v>32</v>
      </c>
      <c r="N1033" s="78"/>
      <c r="P1033" s="85"/>
    </row>
    <row r="1034" spans="11:16">
      <c r="K1034" s="85">
        <v>33</v>
      </c>
      <c r="N1034" s="78"/>
      <c r="P1034" s="85"/>
    </row>
    <row r="1035" spans="11:16">
      <c r="K1035" s="85">
        <v>25</v>
      </c>
      <c r="N1035" s="78"/>
      <c r="P1035" s="85"/>
    </row>
    <row r="1036" spans="11:16">
      <c r="K1036" s="85">
        <v>26</v>
      </c>
      <c r="N1036" s="78"/>
      <c r="P1036" s="85"/>
    </row>
    <row r="1037" spans="11:16">
      <c r="K1037" s="85">
        <v>27</v>
      </c>
      <c r="N1037" s="78"/>
      <c r="P1037" s="85"/>
    </row>
    <row r="1038" spans="11:16">
      <c r="K1038" s="85">
        <v>29</v>
      </c>
      <c r="N1038" s="78"/>
      <c r="P1038" s="85"/>
    </row>
    <row r="1039" spans="11:16">
      <c r="K1039" s="85">
        <v>30</v>
      </c>
      <c r="N1039" s="78"/>
      <c r="P1039" s="85"/>
    </row>
    <row r="1040" spans="11:16">
      <c r="K1040" s="85">
        <v>31</v>
      </c>
      <c r="N1040" s="78"/>
      <c r="P1040" s="85"/>
    </row>
    <row r="1041" spans="11:16">
      <c r="K1041" s="85">
        <v>32</v>
      </c>
      <c r="N1041" s="78"/>
      <c r="P1041" s="85"/>
    </row>
    <row r="1042" spans="11:16">
      <c r="K1042" s="85">
        <v>33</v>
      </c>
      <c r="N1042" s="78"/>
      <c r="P1042" s="85"/>
    </row>
    <row r="1043" spans="11:16">
      <c r="K1043" s="85">
        <v>34</v>
      </c>
      <c r="N1043" s="78"/>
      <c r="P1043" s="85"/>
    </row>
    <row r="1044" spans="11:16">
      <c r="K1044" s="85">
        <v>35</v>
      </c>
      <c r="N1044" s="78"/>
      <c r="P1044" s="85"/>
    </row>
    <row r="1045" spans="11:16">
      <c r="K1045" s="85">
        <v>25</v>
      </c>
      <c r="N1045" s="78"/>
      <c r="P1045" s="85"/>
    </row>
    <row r="1046" spans="11:16">
      <c r="K1046" s="85">
        <v>27</v>
      </c>
      <c r="N1046" s="78"/>
      <c r="P1046" s="85"/>
    </row>
    <row r="1047" spans="11:16">
      <c r="K1047" s="85">
        <v>28</v>
      </c>
      <c r="N1047" s="78"/>
      <c r="P1047" s="85"/>
    </row>
    <row r="1048" spans="11:16">
      <c r="K1048" s="85">
        <v>34</v>
      </c>
      <c r="N1048" s="78"/>
      <c r="P1048" s="85"/>
    </row>
    <row r="1049" spans="11:16">
      <c r="K1049" s="85">
        <v>35</v>
      </c>
      <c r="N1049" s="78"/>
      <c r="P1049" s="85"/>
    </row>
    <row r="1050" spans="11:16">
      <c r="K1050" s="85">
        <v>26</v>
      </c>
      <c r="N1050" s="78"/>
      <c r="P1050" s="85"/>
    </row>
    <row r="1051" spans="11:16">
      <c r="K1051" s="85">
        <v>27</v>
      </c>
      <c r="N1051" s="78"/>
      <c r="P1051" s="85"/>
    </row>
    <row r="1052" spans="11:16">
      <c r="K1052" s="85">
        <v>29</v>
      </c>
      <c r="N1052" s="78"/>
      <c r="P1052" s="85"/>
    </row>
    <row r="1053" spans="11:16">
      <c r="K1053" s="85">
        <v>30</v>
      </c>
      <c r="N1053" s="78"/>
      <c r="P1053" s="85"/>
    </row>
    <row r="1054" spans="11:16">
      <c r="K1054" s="85">
        <v>31</v>
      </c>
      <c r="N1054" s="78"/>
      <c r="P1054" s="85"/>
    </row>
    <row r="1055" spans="11:16">
      <c r="K1055" s="85">
        <v>32</v>
      </c>
      <c r="N1055" s="78"/>
      <c r="P1055" s="85"/>
    </row>
    <row r="1056" spans="11:16">
      <c r="K1056" s="85">
        <v>35</v>
      </c>
      <c r="N1056" s="78"/>
      <c r="P1056" s="85"/>
    </row>
    <row r="1057" spans="11:16">
      <c r="K1057" s="85">
        <v>25</v>
      </c>
      <c r="N1057" s="78"/>
      <c r="P1057" s="85"/>
    </row>
    <row r="1058" spans="11:16">
      <c r="K1058" s="85">
        <v>26</v>
      </c>
      <c r="N1058" s="78"/>
      <c r="P1058" s="85"/>
    </row>
    <row r="1059" spans="11:16">
      <c r="K1059" s="85">
        <v>27</v>
      </c>
      <c r="N1059" s="78"/>
      <c r="P1059" s="85"/>
    </row>
    <row r="1060" spans="11:16">
      <c r="K1060" s="85">
        <v>28</v>
      </c>
      <c r="N1060" s="78"/>
      <c r="P1060" s="85"/>
    </row>
    <row r="1061" spans="11:16">
      <c r="K1061" s="85">
        <v>29</v>
      </c>
      <c r="N1061" s="78"/>
      <c r="P1061" s="85"/>
    </row>
    <row r="1062" spans="11:16">
      <c r="K1062" s="85">
        <v>30</v>
      </c>
      <c r="N1062" s="78"/>
      <c r="P1062" s="85"/>
    </row>
    <row r="1063" spans="11:16">
      <c r="K1063" s="85">
        <v>31</v>
      </c>
      <c r="N1063" s="78"/>
      <c r="P1063" s="85"/>
    </row>
    <row r="1064" spans="11:16">
      <c r="K1064" s="85">
        <v>32</v>
      </c>
      <c r="N1064" s="78"/>
      <c r="P1064" s="85"/>
    </row>
    <row r="1065" spans="11:16">
      <c r="K1065" s="85">
        <v>33</v>
      </c>
      <c r="N1065" s="78"/>
      <c r="P1065" s="85"/>
    </row>
    <row r="1066" spans="11:16">
      <c r="K1066" s="85">
        <v>27</v>
      </c>
      <c r="N1066" s="78"/>
      <c r="P1066" s="85"/>
    </row>
    <row r="1067" spans="11:16">
      <c r="K1067" s="85">
        <v>31</v>
      </c>
      <c r="N1067" s="78"/>
      <c r="P1067" s="85"/>
    </row>
    <row r="1068" spans="11:16">
      <c r="K1068" s="85">
        <v>32</v>
      </c>
      <c r="N1068" s="78"/>
      <c r="P1068" s="85"/>
    </row>
    <row r="1069" spans="11:16">
      <c r="K1069" s="85">
        <v>33</v>
      </c>
      <c r="N1069" s="78"/>
      <c r="P1069" s="85"/>
    </row>
    <row r="1070" spans="11:16">
      <c r="K1070" s="85">
        <v>34</v>
      </c>
      <c r="N1070" s="78"/>
      <c r="P1070" s="85"/>
    </row>
    <row r="1071" spans="11:16">
      <c r="K1071" s="85">
        <v>36</v>
      </c>
      <c r="N1071" s="78"/>
      <c r="P1071" s="85"/>
    </row>
    <row r="1072" spans="11:16">
      <c r="K1072" s="85">
        <v>25</v>
      </c>
      <c r="N1072" s="78"/>
      <c r="P1072" s="85"/>
    </row>
    <row r="1073" spans="11:16">
      <c r="K1073" s="85">
        <v>26</v>
      </c>
      <c r="N1073" s="78"/>
      <c r="P1073" s="85"/>
    </row>
    <row r="1074" spans="11:16">
      <c r="K1074" s="85">
        <v>27</v>
      </c>
      <c r="N1074" s="78"/>
      <c r="P1074" s="85"/>
    </row>
    <row r="1075" spans="11:16">
      <c r="K1075" s="85">
        <v>28</v>
      </c>
      <c r="N1075" s="78"/>
      <c r="P1075" s="85"/>
    </row>
    <row r="1076" spans="11:16">
      <c r="K1076" s="85">
        <v>29</v>
      </c>
      <c r="N1076" s="78"/>
      <c r="P1076" s="85"/>
    </row>
    <row r="1077" spans="11:16">
      <c r="K1077" s="85">
        <v>30</v>
      </c>
      <c r="N1077" s="78"/>
      <c r="P1077" s="85"/>
    </row>
    <row r="1078" spans="11:16">
      <c r="K1078" s="85">
        <v>31</v>
      </c>
      <c r="N1078" s="78"/>
      <c r="P1078" s="85"/>
    </row>
    <row r="1079" spans="11:16">
      <c r="K1079" s="85">
        <v>32</v>
      </c>
      <c r="N1079" s="78"/>
      <c r="P1079" s="85"/>
    </row>
    <row r="1080" spans="11:16">
      <c r="K1080" s="85">
        <v>33</v>
      </c>
      <c r="N1080" s="78"/>
      <c r="P1080" s="85"/>
    </row>
    <row r="1081" spans="11:16">
      <c r="K1081" s="85">
        <v>35</v>
      </c>
      <c r="N1081" s="78"/>
      <c r="P1081" s="85"/>
    </row>
    <row r="1082" spans="11:16">
      <c r="K1082" s="85">
        <v>36</v>
      </c>
      <c r="N1082" s="78"/>
      <c r="P1082" s="85"/>
    </row>
    <row r="1083" spans="11:16">
      <c r="K1083" s="85">
        <v>25</v>
      </c>
      <c r="N1083" s="78"/>
      <c r="P1083" s="85"/>
    </row>
    <row r="1084" spans="11:16">
      <c r="K1084" s="85">
        <v>26</v>
      </c>
      <c r="N1084" s="78"/>
      <c r="P1084" s="85"/>
    </row>
    <row r="1085" spans="11:16">
      <c r="K1085" s="85">
        <v>27</v>
      </c>
      <c r="N1085" s="78"/>
      <c r="P1085" s="85"/>
    </row>
    <row r="1086" spans="11:16">
      <c r="K1086" s="85">
        <v>28</v>
      </c>
      <c r="N1086" s="78"/>
      <c r="P1086" s="85"/>
    </row>
    <row r="1087" spans="11:16">
      <c r="K1087" s="85">
        <v>29</v>
      </c>
      <c r="N1087" s="78"/>
      <c r="P1087" s="85"/>
    </row>
    <row r="1088" spans="11:16">
      <c r="K1088" s="85">
        <v>30</v>
      </c>
      <c r="N1088" s="78"/>
      <c r="P1088" s="85"/>
    </row>
    <row r="1089" spans="11:16">
      <c r="K1089" s="85">
        <v>31</v>
      </c>
      <c r="N1089" s="78"/>
      <c r="P1089" s="85"/>
    </row>
    <row r="1090" spans="11:16">
      <c r="K1090" s="85">
        <v>32</v>
      </c>
      <c r="N1090" s="78"/>
      <c r="P1090" s="85"/>
    </row>
    <row r="1091" spans="11:16">
      <c r="K1091" s="85">
        <v>33</v>
      </c>
      <c r="N1091" s="78"/>
      <c r="P1091" s="85"/>
    </row>
    <row r="1092" spans="11:16">
      <c r="K1092" s="85">
        <v>34</v>
      </c>
      <c r="N1092" s="78"/>
      <c r="P1092" s="85"/>
    </row>
    <row r="1093" spans="11:16">
      <c r="K1093" s="85">
        <v>35</v>
      </c>
      <c r="N1093" s="78"/>
      <c r="P1093" s="85"/>
    </row>
    <row r="1094" spans="11:16">
      <c r="K1094" s="85">
        <v>36</v>
      </c>
      <c r="N1094" s="78"/>
      <c r="P1094" s="85"/>
    </row>
    <row r="1095" spans="11:16">
      <c r="K1095" s="85">
        <v>25</v>
      </c>
      <c r="N1095" s="78"/>
      <c r="P1095" s="85"/>
    </row>
    <row r="1096" spans="11:16">
      <c r="K1096" s="85">
        <v>27</v>
      </c>
      <c r="N1096" s="78"/>
      <c r="P1096" s="85"/>
    </row>
    <row r="1097" spans="11:16">
      <c r="K1097" s="85">
        <v>29</v>
      </c>
      <c r="N1097" s="78"/>
      <c r="P1097" s="85"/>
    </row>
    <row r="1098" spans="11:16">
      <c r="K1098" s="85">
        <v>31</v>
      </c>
      <c r="N1098" s="78"/>
      <c r="P1098" s="85"/>
    </row>
    <row r="1099" spans="11:16">
      <c r="K1099" s="85">
        <v>33</v>
      </c>
      <c r="N1099" s="78"/>
      <c r="P1099" s="85"/>
    </row>
    <row r="1100" spans="11:16">
      <c r="K1100" s="85">
        <v>34</v>
      </c>
      <c r="N1100" s="78"/>
      <c r="P1100" s="85"/>
    </row>
    <row r="1101" spans="11:16">
      <c r="K1101" s="85">
        <v>35</v>
      </c>
      <c r="N1101" s="78"/>
      <c r="P1101" s="85"/>
    </row>
    <row r="1102" spans="11:16">
      <c r="K1102" s="85">
        <v>36</v>
      </c>
      <c r="N1102" s="78"/>
      <c r="P1102" s="85"/>
    </row>
    <row r="1103" spans="11:16">
      <c r="K1103" s="85">
        <v>25</v>
      </c>
      <c r="N1103" s="78"/>
      <c r="P1103" s="85"/>
    </row>
    <row r="1104" spans="11:16">
      <c r="K1104" s="85">
        <v>26</v>
      </c>
      <c r="N1104" s="78"/>
      <c r="P1104" s="85"/>
    </row>
    <row r="1105" spans="11:16">
      <c r="K1105" s="85">
        <v>27</v>
      </c>
      <c r="N1105" s="78"/>
      <c r="P1105" s="85"/>
    </row>
    <row r="1106" spans="11:16">
      <c r="K1106" s="85">
        <v>28</v>
      </c>
      <c r="N1106" s="78"/>
      <c r="P1106" s="85"/>
    </row>
    <row r="1107" spans="11:16">
      <c r="K1107" s="85">
        <v>29</v>
      </c>
      <c r="N1107" s="78"/>
      <c r="P1107" s="85"/>
    </row>
    <row r="1108" spans="11:16">
      <c r="K1108" s="85">
        <v>30</v>
      </c>
      <c r="N1108" s="78"/>
      <c r="P1108" s="85"/>
    </row>
    <row r="1109" spans="11:16">
      <c r="K1109" s="85">
        <v>31</v>
      </c>
      <c r="N1109" s="78"/>
      <c r="P1109" s="85"/>
    </row>
    <row r="1110" spans="11:16">
      <c r="K1110" s="85">
        <v>32</v>
      </c>
      <c r="N1110" s="78"/>
      <c r="P1110" s="85"/>
    </row>
    <row r="1111" spans="11:16">
      <c r="K1111" s="85">
        <v>33</v>
      </c>
      <c r="N1111" s="78"/>
      <c r="P1111" s="85"/>
    </row>
    <row r="1112" spans="11:16">
      <c r="K1112" s="85">
        <v>34</v>
      </c>
      <c r="N1112" s="78"/>
      <c r="P1112" s="85"/>
    </row>
    <row r="1113" spans="11:16">
      <c r="K1113" s="85">
        <v>35</v>
      </c>
      <c r="N1113" s="78"/>
      <c r="P1113" s="85"/>
    </row>
    <row r="1114" spans="11:16">
      <c r="K1114" s="85">
        <v>36</v>
      </c>
      <c r="N1114" s="78"/>
      <c r="P1114" s="85"/>
    </row>
    <row r="1115" spans="11:16">
      <c r="K1115" s="85">
        <v>25</v>
      </c>
      <c r="N1115" s="78"/>
      <c r="P1115" s="85"/>
    </row>
    <row r="1116" spans="11:16">
      <c r="K1116" s="85">
        <v>26</v>
      </c>
      <c r="N1116" s="78"/>
      <c r="P1116" s="85"/>
    </row>
    <row r="1117" spans="11:16">
      <c r="K1117" s="85">
        <v>27</v>
      </c>
      <c r="N1117" s="78"/>
      <c r="P1117" s="85"/>
    </row>
    <row r="1118" spans="11:16">
      <c r="K1118" s="85">
        <v>28</v>
      </c>
      <c r="N1118" s="78"/>
      <c r="P1118" s="85"/>
    </row>
    <row r="1119" spans="11:16">
      <c r="K1119" s="85">
        <v>29</v>
      </c>
      <c r="N1119" s="78"/>
      <c r="P1119" s="85"/>
    </row>
    <row r="1120" spans="11:16">
      <c r="K1120" s="85">
        <v>30</v>
      </c>
      <c r="N1120" s="78"/>
      <c r="P1120" s="85"/>
    </row>
    <row r="1121" spans="11:16">
      <c r="K1121" s="85">
        <v>31</v>
      </c>
      <c r="N1121" s="78"/>
      <c r="P1121" s="85"/>
    </row>
    <row r="1122" spans="11:16">
      <c r="K1122" s="85">
        <v>32</v>
      </c>
      <c r="N1122" s="78"/>
      <c r="P1122" s="85"/>
    </row>
    <row r="1123" spans="11:16">
      <c r="K1123" s="85">
        <v>33</v>
      </c>
      <c r="N1123" s="78"/>
      <c r="P1123" s="85"/>
    </row>
    <row r="1124" spans="11:16">
      <c r="K1124" s="85">
        <v>34</v>
      </c>
      <c r="N1124" s="78"/>
      <c r="P1124" s="85"/>
    </row>
    <row r="1125" spans="11:16">
      <c r="K1125" s="85">
        <v>35</v>
      </c>
      <c r="N1125" s="78"/>
      <c r="P1125" s="85"/>
    </row>
    <row r="1126" spans="11:16">
      <c r="K1126" s="85">
        <v>36</v>
      </c>
      <c r="N1126" s="78"/>
      <c r="P1126" s="85"/>
    </row>
    <row r="1127" spans="11:16">
      <c r="K1127" s="85">
        <v>26</v>
      </c>
      <c r="N1127" s="78"/>
      <c r="P1127" s="85"/>
    </row>
    <row r="1128" spans="11:16">
      <c r="K1128" s="85">
        <v>27</v>
      </c>
      <c r="N1128" s="78"/>
      <c r="P1128" s="85"/>
    </row>
    <row r="1129" spans="11:16">
      <c r="K1129" s="85">
        <v>32</v>
      </c>
      <c r="N1129" s="78"/>
      <c r="P1129" s="85"/>
    </row>
    <row r="1130" spans="11:16">
      <c r="K1130" s="85">
        <v>34</v>
      </c>
      <c r="N1130" s="78"/>
      <c r="P1130" s="85"/>
    </row>
    <row r="1131" spans="11:16">
      <c r="K1131" s="85">
        <v>35</v>
      </c>
      <c r="N1131" s="78"/>
      <c r="P1131" s="85"/>
    </row>
    <row r="1132" spans="11:16">
      <c r="K1132" s="85">
        <v>25</v>
      </c>
      <c r="N1132" s="78"/>
      <c r="P1132" s="85"/>
    </row>
    <row r="1133" spans="11:16">
      <c r="K1133" s="85">
        <v>26</v>
      </c>
      <c r="N1133" s="78"/>
      <c r="P1133" s="85"/>
    </row>
    <row r="1134" spans="11:16">
      <c r="K1134" s="85">
        <v>28</v>
      </c>
      <c r="N1134" s="78"/>
      <c r="P1134" s="85"/>
    </row>
    <row r="1135" spans="11:16">
      <c r="K1135" s="85">
        <v>29</v>
      </c>
      <c r="N1135" s="78"/>
      <c r="P1135" s="85"/>
    </row>
    <row r="1136" spans="11:16">
      <c r="K1136" s="85">
        <v>30</v>
      </c>
      <c r="N1136" s="78"/>
      <c r="P1136" s="85"/>
    </row>
    <row r="1137" spans="11:16">
      <c r="K1137" s="85">
        <v>32</v>
      </c>
      <c r="N1137" s="78"/>
      <c r="P1137" s="85"/>
    </row>
    <row r="1138" spans="11:16">
      <c r="K1138" s="85">
        <v>34</v>
      </c>
      <c r="N1138" s="78"/>
      <c r="P1138" s="85"/>
    </row>
    <row r="1139" spans="11:16">
      <c r="K1139" s="85">
        <v>36</v>
      </c>
      <c r="N1139" s="78"/>
      <c r="P1139" s="85"/>
    </row>
    <row r="1140" spans="11:16">
      <c r="K1140" s="85">
        <v>25</v>
      </c>
      <c r="N1140" s="78"/>
      <c r="P1140" s="85"/>
    </row>
    <row r="1141" spans="11:16">
      <c r="K1141" s="85">
        <v>26</v>
      </c>
      <c r="N1141" s="78"/>
      <c r="P1141" s="85"/>
    </row>
    <row r="1142" spans="11:16">
      <c r="K1142" s="85">
        <v>27</v>
      </c>
      <c r="N1142" s="78"/>
      <c r="P1142" s="85"/>
    </row>
    <row r="1143" spans="11:16">
      <c r="K1143" s="85">
        <v>28</v>
      </c>
      <c r="N1143" s="78"/>
      <c r="P1143" s="85"/>
    </row>
    <row r="1144" spans="11:16">
      <c r="K1144" s="85">
        <v>29</v>
      </c>
      <c r="N1144" s="78"/>
      <c r="P1144" s="85"/>
    </row>
    <row r="1145" spans="11:16">
      <c r="K1145" s="85">
        <v>30</v>
      </c>
      <c r="N1145" s="78"/>
      <c r="P1145" s="85"/>
    </row>
    <row r="1146" spans="11:16">
      <c r="K1146" s="85">
        <v>31</v>
      </c>
      <c r="N1146" s="78"/>
      <c r="P1146" s="85"/>
    </row>
    <row r="1147" spans="11:16">
      <c r="K1147" s="85">
        <v>32</v>
      </c>
      <c r="N1147" s="78"/>
      <c r="P1147" s="85"/>
    </row>
    <row r="1148" spans="11:16">
      <c r="K1148" s="85">
        <v>33</v>
      </c>
      <c r="N1148" s="78"/>
      <c r="P1148" s="85"/>
    </row>
    <row r="1149" spans="11:16">
      <c r="K1149" s="85">
        <v>34</v>
      </c>
      <c r="N1149" s="78"/>
      <c r="P1149" s="85"/>
    </row>
    <row r="1150" spans="11:16">
      <c r="K1150" s="85">
        <v>35</v>
      </c>
      <c r="N1150" s="78"/>
      <c r="P1150" s="85"/>
    </row>
    <row r="1151" spans="11:16">
      <c r="K1151" s="85">
        <v>25</v>
      </c>
      <c r="N1151" s="78"/>
      <c r="P1151" s="85"/>
    </row>
    <row r="1152" spans="11:16">
      <c r="K1152" s="85">
        <v>26</v>
      </c>
      <c r="N1152" s="78"/>
      <c r="P1152" s="85"/>
    </row>
    <row r="1153" spans="11:16">
      <c r="K1153" s="85">
        <v>27</v>
      </c>
      <c r="N1153" s="78"/>
      <c r="P1153" s="85"/>
    </row>
    <row r="1154" spans="11:16">
      <c r="K1154" s="85">
        <v>29</v>
      </c>
      <c r="N1154" s="78"/>
      <c r="P1154" s="85"/>
    </row>
    <row r="1155" spans="11:16">
      <c r="K1155" s="85">
        <v>30</v>
      </c>
      <c r="N1155" s="78"/>
      <c r="P1155" s="85"/>
    </row>
    <row r="1156" spans="11:16">
      <c r="K1156" s="85">
        <v>31</v>
      </c>
      <c r="N1156" s="78"/>
      <c r="P1156" s="85"/>
    </row>
    <row r="1157" spans="11:16">
      <c r="K1157" s="85">
        <v>32</v>
      </c>
      <c r="N1157" s="78"/>
      <c r="P1157" s="85"/>
    </row>
    <row r="1158" spans="11:16">
      <c r="K1158" s="85">
        <v>34</v>
      </c>
      <c r="N1158" s="78"/>
      <c r="P1158" s="85"/>
    </row>
    <row r="1159" spans="11:16">
      <c r="K1159" s="85">
        <v>35</v>
      </c>
      <c r="N1159" s="78"/>
      <c r="P1159" s="85"/>
    </row>
    <row r="1160" spans="11:16">
      <c r="K1160" s="85">
        <v>25</v>
      </c>
      <c r="N1160" s="78"/>
      <c r="P1160" s="85"/>
    </row>
    <row r="1161" spans="11:16">
      <c r="K1161" s="85">
        <v>26</v>
      </c>
      <c r="N1161" s="78"/>
      <c r="P1161" s="85"/>
    </row>
    <row r="1162" spans="11:16">
      <c r="K1162" s="85">
        <v>27</v>
      </c>
      <c r="N1162" s="78"/>
      <c r="P1162" s="85"/>
    </row>
    <row r="1163" spans="11:16">
      <c r="K1163" s="85">
        <v>28</v>
      </c>
      <c r="N1163" s="78"/>
      <c r="P1163" s="85"/>
    </row>
    <row r="1164" spans="11:16">
      <c r="K1164" s="85">
        <v>29</v>
      </c>
      <c r="N1164" s="78"/>
      <c r="P1164" s="85"/>
    </row>
    <row r="1165" spans="11:16">
      <c r="K1165" s="85">
        <v>30</v>
      </c>
      <c r="N1165" s="78"/>
      <c r="P1165" s="85"/>
    </row>
    <row r="1166" spans="11:16">
      <c r="K1166" s="85">
        <v>31</v>
      </c>
      <c r="N1166" s="78"/>
      <c r="P1166" s="85"/>
    </row>
    <row r="1167" spans="11:16">
      <c r="K1167" s="85">
        <v>32</v>
      </c>
      <c r="N1167" s="78"/>
      <c r="P1167" s="85"/>
    </row>
    <row r="1168" spans="11:16">
      <c r="K1168" s="85">
        <v>34</v>
      </c>
      <c r="N1168" s="78"/>
      <c r="P1168" s="85"/>
    </row>
    <row r="1169" spans="11:16">
      <c r="K1169" s="85">
        <v>35</v>
      </c>
      <c r="N1169" s="78"/>
      <c r="P1169" s="85"/>
    </row>
    <row r="1170" spans="11:16">
      <c r="K1170" s="85">
        <v>25</v>
      </c>
      <c r="N1170" s="78"/>
      <c r="P1170" s="85"/>
    </row>
    <row r="1171" spans="11:16">
      <c r="K1171" s="85">
        <v>26</v>
      </c>
      <c r="N1171" s="78"/>
      <c r="P1171" s="85"/>
    </row>
    <row r="1172" spans="11:16">
      <c r="K1172" s="85">
        <v>27</v>
      </c>
      <c r="N1172" s="78"/>
      <c r="P1172" s="85"/>
    </row>
    <row r="1173" spans="11:16">
      <c r="K1173" s="85">
        <v>28</v>
      </c>
      <c r="N1173" s="78"/>
      <c r="P1173" s="85"/>
    </row>
    <row r="1174" spans="11:16">
      <c r="K1174" s="85">
        <v>29</v>
      </c>
      <c r="N1174" s="78"/>
      <c r="P1174" s="85"/>
    </row>
    <row r="1175" spans="11:16">
      <c r="K1175" s="85">
        <v>30</v>
      </c>
      <c r="N1175" s="78"/>
      <c r="P1175" s="85"/>
    </row>
    <row r="1176" spans="11:16">
      <c r="K1176" s="85">
        <v>31</v>
      </c>
      <c r="N1176" s="78"/>
      <c r="P1176" s="85"/>
    </row>
    <row r="1177" spans="11:16">
      <c r="K1177" s="85">
        <v>32</v>
      </c>
      <c r="N1177" s="78"/>
      <c r="P1177" s="85"/>
    </row>
    <row r="1178" spans="11:16">
      <c r="K1178" s="85">
        <v>34</v>
      </c>
      <c r="N1178" s="78"/>
      <c r="P1178" s="85"/>
    </row>
    <row r="1179" spans="11:16">
      <c r="K1179" s="85">
        <v>35</v>
      </c>
      <c r="N1179" s="78"/>
      <c r="P1179" s="85"/>
    </row>
    <row r="1180" spans="11:16">
      <c r="K1180" s="85">
        <v>36</v>
      </c>
      <c r="N1180" s="78"/>
      <c r="P1180" s="85"/>
    </row>
    <row r="1181" spans="11:16">
      <c r="K1181" s="85">
        <v>27</v>
      </c>
      <c r="N1181" s="78"/>
      <c r="P1181" s="85"/>
    </row>
    <row r="1182" spans="11:16">
      <c r="K1182" s="85">
        <v>28</v>
      </c>
      <c r="N1182" s="78"/>
      <c r="P1182" s="85"/>
    </row>
    <row r="1183" spans="11:16">
      <c r="K1183" s="85">
        <v>31</v>
      </c>
      <c r="N1183" s="78"/>
      <c r="P1183" s="85"/>
    </row>
    <row r="1184" spans="11:16">
      <c r="K1184" s="85">
        <v>34</v>
      </c>
      <c r="N1184" s="78"/>
      <c r="P1184" s="85"/>
    </row>
    <row r="1185" spans="11:16">
      <c r="K1185" s="85">
        <v>35</v>
      </c>
      <c r="N1185" s="78"/>
      <c r="P1185" s="85"/>
    </row>
    <row r="1186" spans="11:16">
      <c r="K1186" s="85">
        <v>25</v>
      </c>
      <c r="N1186" s="78"/>
      <c r="P1186" s="85"/>
    </row>
    <row r="1187" spans="11:16">
      <c r="K1187" s="85">
        <v>26</v>
      </c>
      <c r="N1187" s="78"/>
      <c r="P1187" s="85"/>
    </row>
    <row r="1188" spans="11:16">
      <c r="K1188" s="85">
        <v>27</v>
      </c>
      <c r="N1188" s="78"/>
      <c r="P1188" s="85"/>
    </row>
    <row r="1189" spans="11:16">
      <c r="K1189" s="85">
        <v>28</v>
      </c>
      <c r="N1189" s="78"/>
      <c r="P1189" s="85"/>
    </row>
    <row r="1190" spans="11:16">
      <c r="K1190" s="85">
        <v>31</v>
      </c>
      <c r="N1190" s="78"/>
      <c r="P1190" s="85"/>
    </row>
    <row r="1191" spans="11:16">
      <c r="K1191" s="85">
        <v>32</v>
      </c>
      <c r="N1191" s="78"/>
      <c r="P1191" s="85"/>
    </row>
    <row r="1192" spans="11:16">
      <c r="K1192" s="85">
        <v>34</v>
      </c>
      <c r="N1192" s="78"/>
      <c r="P1192" s="85"/>
    </row>
    <row r="1193" spans="11:16">
      <c r="K1193" s="85">
        <v>35</v>
      </c>
      <c r="N1193" s="78"/>
      <c r="P1193" s="85"/>
    </row>
    <row r="1194" spans="11:16">
      <c r="K1194" s="85">
        <v>36</v>
      </c>
      <c r="N1194" s="78"/>
      <c r="P1194" s="85"/>
    </row>
    <row r="1195" spans="11:16">
      <c r="K1195" s="85">
        <v>25</v>
      </c>
      <c r="N1195" s="78"/>
      <c r="P1195" s="85"/>
    </row>
    <row r="1196" spans="11:16">
      <c r="K1196" s="85">
        <v>26</v>
      </c>
      <c r="N1196" s="78"/>
      <c r="P1196" s="85"/>
    </row>
    <row r="1197" spans="11:16">
      <c r="K1197" s="85">
        <v>28</v>
      </c>
      <c r="N1197" s="78"/>
      <c r="P1197" s="85"/>
    </row>
    <row r="1198" spans="11:16">
      <c r="K1198" s="85">
        <v>31</v>
      </c>
      <c r="N1198" s="78"/>
      <c r="P1198" s="85"/>
    </row>
    <row r="1199" spans="11:16">
      <c r="K1199" s="85">
        <v>33</v>
      </c>
      <c r="N1199" s="78"/>
      <c r="P1199" s="85"/>
    </row>
    <row r="1200" spans="11:16">
      <c r="K1200" s="85">
        <v>25</v>
      </c>
      <c r="N1200" s="78"/>
      <c r="P1200" s="85"/>
    </row>
    <row r="1201" spans="11:16">
      <c r="K1201" s="85">
        <v>26</v>
      </c>
      <c r="N1201" s="78"/>
      <c r="P1201" s="85"/>
    </row>
    <row r="1202" spans="11:16">
      <c r="K1202" s="85">
        <v>27</v>
      </c>
      <c r="N1202" s="78"/>
      <c r="P1202" s="85"/>
    </row>
    <row r="1203" spans="11:16">
      <c r="K1203" s="85">
        <v>29</v>
      </c>
      <c r="N1203" s="78"/>
      <c r="P1203" s="85"/>
    </row>
    <row r="1204" spans="11:16">
      <c r="K1204" s="85">
        <v>30</v>
      </c>
      <c r="N1204" s="78"/>
      <c r="P1204" s="85"/>
    </row>
    <row r="1205" spans="11:16">
      <c r="K1205" s="85">
        <v>31</v>
      </c>
      <c r="N1205" s="78"/>
      <c r="P1205" s="85"/>
    </row>
    <row r="1206" spans="11:16">
      <c r="K1206" s="85">
        <v>32</v>
      </c>
      <c r="N1206" s="78"/>
      <c r="P1206" s="85"/>
    </row>
    <row r="1207" spans="11:16">
      <c r="K1207" s="85">
        <v>26</v>
      </c>
      <c r="N1207" s="78"/>
      <c r="P1207" s="85"/>
    </row>
    <row r="1208" spans="11:16">
      <c r="K1208" s="85">
        <v>31</v>
      </c>
      <c r="N1208" s="78"/>
      <c r="P1208" s="85"/>
    </row>
    <row r="1209" spans="11:16">
      <c r="K1209" s="85">
        <v>25</v>
      </c>
      <c r="N1209" s="78"/>
      <c r="P1209" s="85"/>
    </row>
    <row r="1210" spans="11:16">
      <c r="K1210" s="85">
        <v>27</v>
      </c>
      <c r="N1210" s="78"/>
      <c r="P1210" s="85"/>
    </row>
    <row r="1211" spans="11:16">
      <c r="K1211" s="85">
        <v>28</v>
      </c>
      <c r="N1211" s="78"/>
      <c r="P1211" s="85"/>
    </row>
    <row r="1212" spans="11:16">
      <c r="K1212" s="85">
        <v>29</v>
      </c>
      <c r="N1212" s="78"/>
      <c r="P1212" s="85"/>
    </row>
    <row r="1213" spans="11:16">
      <c r="K1213" s="85">
        <v>35</v>
      </c>
      <c r="N1213" s="78"/>
      <c r="P1213" s="85"/>
    </row>
    <row r="1214" spans="11:16">
      <c r="K1214" s="85">
        <v>36</v>
      </c>
      <c r="N1214" s="78"/>
      <c r="P1214" s="85"/>
    </row>
    <row r="1215" spans="11:16">
      <c r="K1215" s="85">
        <v>25</v>
      </c>
      <c r="N1215" s="78"/>
      <c r="P1215" s="85"/>
    </row>
    <row r="1216" spans="11:16">
      <c r="K1216" s="85">
        <v>26</v>
      </c>
      <c r="N1216" s="78"/>
      <c r="P1216" s="85"/>
    </row>
    <row r="1217" spans="11:16">
      <c r="K1217" s="85">
        <v>27</v>
      </c>
      <c r="N1217" s="78"/>
      <c r="P1217" s="85"/>
    </row>
    <row r="1218" spans="11:16">
      <c r="K1218" s="85">
        <v>28</v>
      </c>
      <c r="N1218" s="78"/>
      <c r="P1218" s="85"/>
    </row>
    <row r="1219" spans="11:16">
      <c r="K1219" s="85">
        <v>29</v>
      </c>
      <c r="N1219" s="78"/>
      <c r="P1219" s="85"/>
    </row>
    <row r="1220" spans="11:16">
      <c r="K1220" s="85">
        <v>30</v>
      </c>
      <c r="N1220" s="78"/>
      <c r="P1220" s="85"/>
    </row>
    <row r="1221" spans="11:16">
      <c r="K1221" s="85">
        <v>31</v>
      </c>
      <c r="N1221" s="78"/>
      <c r="P1221" s="85"/>
    </row>
    <row r="1222" spans="11:16">
      <c r="K1222" s="85">
        <v>32</v>
      </c>
      <c r="N1222" s="78"/>
      <c r="P1222" s="85"/>
    </row>
    <row r="1223" spans="11:16">
      <c r="K1223" s="85">
        <v>33</v>
      </c>
      <c r="N1223" s="78"/>
      <c r="P1223" s="85"/>
    </row>
    <row r="1224" spans="11:16">
      <c r="K1224" s="85">
        <v>34</v>
      </c>
      <c r="N1224" s="78"/>
      <c r="P1224" s="85"/>
    </row>
    <row r="1225" spans="11:16">
      <c r="K1225" s="85">
        <v>35</v>
      </c>
      <c r="N1225" s="78"/>
      <c r="P1225" s="85"/>
    </row>
    <row r="1226" spans="11:16">
      <c r="K1226" s="85">
        <v>36</v>
      </c>
      <c r="N1226" s="78"/>
      <c r="P1226" s="85"/>
    </row>
    <row r="1227" spans="11:16">
      <c r="K1227" s="85">
        <v>25</v>
      </c>
      <c r="N1227" s="78"/>
      <c r="P1227" s="85"/>
    </row>
    <row r="1228" spans="11:16">
      <c r="K1228" s="85">
        <v>26</v>
      </c>
      <c r="N1228" s="78"/>
      <c r="P1228" s="85"/>
    </row>
    <row r="1229" spans="11:16">
      <c r="K1229" s="85">
        <v>27</v>
      </c>
      <c r="N1229" s="78"/>
      <c r="P1229" s="85"/>
    </row>
    <row r="1230" spans="11:16">
      <c r="K1230" s="85">
        <v>28</v>
      </c>
      <c r="N1230" s="78"/>
      <c r="P1230" s="85"/>
    </row>
    <row r="1231" spans="11:16">
      <c r="K1231" s="85">
        <v>29</v>
      </c>
      <c r="N1231" s="78"/>
      <c r="P1231" s="85"/>
    </row>
    <row r="1232" spans="11:16">
      <c r="K1232" s="85">
        <v>30</v>
      </c>
      <c r="N1232" s="78"/>
      <c r="P1232" s="85"/>
    </row>
    <row r="1233" spans="11:16">
      <c r="K1233" s="85">
        <v>31</v>
      </c>
      <c r="N1233" s="78"/>
      <c r="P1233" s="85"/>
    </row>
    <row r="1234" spans="11:16">
      <c r="K1234" s="85">
        <v>32</v>
      </c>
      <c r="N1234" s="78"/>
      <c r="P1234" s="85"/>
    </row>
    <row r="1235" spans="11:16">
      <c r="K1235" s="85">
        <v>35</v>
      </c>
      <c r="N1235" s="78"/>
      <c r="P1235" s="85"/>
    </row>
    <row r="1236" spans="11:16">
      <c r="K1236" s="85">
        <v>27</v>
      </c>
      <c r="N1236" s="78"/>
      <c r="P1236" s="85"/>
    </row>
    <row r="1237" spans="11:16">
      <c r="K1237" s="85">
        <v>35</v>
      </c>
      <c r="N1237" s="78"/>
      <c r="P1237" s="85"/>
    </row>
    <row r="1238" spans="11:16">
      <c r="K1238" s="85">
        <v>25</v>
      </c>
      <c r="N1238" s="78"/>
      <c r="P1238" s="85"/>
    </row>
    <row r="1239" spans="11:16">
      <c r="K1239" s="85">
        <v>26</v>
      </c>
      <c r="N1239" s="78"/>
      <c r="P1239" s="85"/>
    </row>
    <row r="1240" spans="11:16">
      <c r="K1240" s="85">
        <v>27</v>
      </c>
      <c r="N1240" s="78"/>
      <c r="P1240" s="85"/>
    </row>
    <row r="1241" spans="11:16">
      <c r="K1241" s="85">
        <v>28</v>
      </c>
      <c r="N1241" s="78"/>
      <c r="P1241" s="85"/>
    </row>
    <row r="1242" spans="11:16">
      <c r="K1242" s="85">
        <v>29</v>
      </c>
      <c r="N1242" s="78"/>
      <c r="P1242" s="85"/>
    </row>
    <row r="1243" spans="11:16">
      <c r="K1243" s="85">
        <v>30</v>
      </c>
      <c r="N1243" s="78"/>
      <c r="P1243" s="85"/>
    </row>
    <row r="1244" spans="11:16">
      <c r="K1244" s="85">
        <v>31</v>
      </c>
      <c r="N1244" s="78"/>
      <c r="P1244" s="85"/>
    </row>
    <row r="1245" spans="11:16">
      <c r="K1245" s="85">
        <v>32</v>
      </c>
      <c r="N1245" s="78"/>
      <c r="P1245" s="85"/>
    </row>
    <row r="1246" spans="11:16">
      <c r="K1246" s="85">
        <v>33</v>
      </c>
      <c r="N1246" s="78"/>
      <c r="P1246" s="85"/>
    </row>
    <row r="1247" spans="11:16">
      <c r="K1247" s="85">
        <v>34</v>
      </c>
      <c r="N1247" s="78"/>
      <c r="P1247" s="85"/>
    </row>
    <row r="1248" spans="11:16">
      <c r="K1248" s="85">
        <v>35</v>
      </c>
      <c r="N1248" s="78"/>
      <c r="P1248" s="85"/>
    </row>
    <row r="1249" spans="11:16">
      <c r="K1249" s="85">
        <v>27</v>
      </c>
      <c r="N1249" s="78"/>
      <c r="P1249" s="85"/>
    </row>
    <row r="1250" spans="11:16">
      <c r="K1250" s="85">
        <v>28</v>
      </c>
      <c r="N1250" s="78"/>
      <c r="P1250" s="85"/>
    </row>
    <row r="1251" spans="11:16">
      <c r="K1251" s="85">
        <v>31</v>
      </c>
      <c r="N1251" s="78"/>
      <c r="P1251" s="85"/>
    </row>
    <row r="1252" spans="11:16">
      <c r="K1252" s="85">
        <v>32</v>
      </c>
      <c r="N1252" s="78"/>
      <c r="P1252" s="85"/>
    </row>
    <row r="1253" spans="11:16">
      <c r="K1253" s="85">
        <v>33</v>
      </c>
      <c r="N1253" s="78"/>
      <c r="P1253" s="85"/>
    </row>
    <row r="1254" spans="11:16">
      <c r="K1254" s="85">
        <v>35</v>
      </c>
      <c r="N1254" s="78"/>
      <c r="P1254" s="85"/>
    </row>
    <row r="1255" spans="11:16">
      <c r="K1255" s="85">
        <v>27</v>
      </c>
      <c r="N1255" s="78"/>
      <c r="P1255" s="85"/>
    </row>
    <row r="1256" spans="11:16">
      <c r="K1256" s="85">
        <v>29</v>
      </c>
      <c r="N1256" s="78"/>
      <c r="P1256" s="85"/>
    </row>
    <row r="1257" spans="11:16">
      <c r="K1257" s="85">
        <v>32</v>
      </c>
      <c r="N1257" s="78"/>
      <c r="P1257" s="85"/>
    </row>
    <row r="1258" spans="11:16">
      <c r="K1258" s="85">
        <v>34</v>
      </c>
      <c r="N1258" s="78"/>
      <c r="P1258" s="85"/>
    </row>
    <row r="1259" spans="11:16">
      <c r="K1259" s="85">
        <v>35</v>
      </c>
      <c r="N1259" s="78"/>
      <c r="P1259" s="85"/>
    </row>
    <row r="1260" spans="11:16">
      <c r="K1260" s="85">
        <v>36</v>
      </c>
      <c r="N1260" s="78"/>
      <c r="P1260" s="85"/>
    </row>
    <row r="1261" spans="11:16">
      <c r="K1261" s="85">
        <v>25</v>
      </c>
      <c r="N1261" s="78"/>
      <c r="P1261" s="85"/>
    </row>
    <row r="1262" spans="11:16">
      <c r="K1262" s="85">
        <v>27</v>
      </c>
      <c r="N1262" s="78"/>
      <c r="P1262" s="85"/>
    </row>
    <row r="1263" spans="11:16">
      <c r="K1263" s="85">
        <v>34</v>
      </c>
      <c r="N1263" s="78"/>
      <c r="P1263" s="85"/>
    </row>
    <row r="1264" spans="11:16">
      <c r="K1264" s="85">
        <v>35</v>
      </c>
      <c r="N1264" s="78"/>
      <c r="P1264" s="85"/>
    </row>
    <row r="1265" spans="11:16">
      <c r="K1265" s="85">
        <v>25</v>
      </c>
      <c r="N1265" s="78"/>
      <c r="P1265" s="85"/>
    </row>
    <row r="1266" spans="11:16">
      <c r="K1266" s="85">
        <v>26</v>
      </c>
      <c r="N1266" s="78"/>
      <c r="P1266" s="85"/>
    </row>
    <row r="1267" spans="11:16">
      <c r="K1267" s="85">
        <v>27</v>
      </c>
      <c r="N1267" s="78"/>
      <c r="P1267" s="85"/>
    </row>
    <row r="1268" spans="11:16">
      <c r="K1268" s="85">
        <v>28</v>
      </c>
      <c r="N1268" s="78"/>
      <c r="P1268" s="85"/>
    </row>
    <row r="1269" spans="11:16">
      <c r="K1269" s="85">
        <v>29</v>
      </c>
      <c r="N1269" s="78"/>
      <c r="P1269" s="85"/>
    </row>
    <row r="1270" spans="11:16">
      <c r="K1270" s="85">
        <v>30</v>
      </c>
      <c r="N1270" s="78"/>
      <c r="P1270" s="85"/>
    </row>
    <row r="1271" spans="11:16">
      <c r="K1271" s="85">
        <v>31</v>
      </c>
      <c r="N1271" s="78"/>
      <c r="P1271" s="85"/>
    </row>
    <row r="1272" spans="11:16">
      <c r="K1272" s="85">
        <v>32</v>
      </c>
      <c r="N1272" s="78"/>
      <c r="P1272" s="85"/>
    </row>
    <row r="1273" spans="11:16">
      <c r="K1273" s="85">
        <v>33</v>
      </c>
      <c r="N1273" s="78"/>
      <c r="P1273" s="85"/>
    </row>
    <row r="1274" spans="11:16">
      <c r="K1274" s="85">
        <v>34</v>
      </c>
      <c r="N1274" s="78"/>
      <c r="P1274" s="85"/>
    </row>
    <row r="1275" spans="11:16">
      <c r="K1275" s="85">
        <v>35</v>
      </c>
      <c r="N1275" s="78"/>
      <c r="P1275" s="85"/>
    </row>
    <row r="1276" spans="11:16">
      <c r="K1276" s="85">
        <v>36</v>
      </c>
      <c r="N1276" s="78"/>
      <c r="P1276" s="85"/>
    </row>
    <row r="1277" spans="11:16">
      <c r="K1277" s="85">
        <v>25</v>
      </c>
      <c r="N1277" s="78"/>
      <c r="P1277" s="85"/>
    </row>
    <row r="1278" spans="11:16">
      <c r="K1278" s="85">
        <v>26</v>
      </c>
      <c r="N1278" s="78"/>
      <c r="P1278" s="85"/>
    </row>
    <row r="1279" spans="11:16">
      <c r="K1279" s="85">
        <v>27</v>
      </c>
      <c r="N1279" s="78"/>
      <c r="P1279" s="85"/>
    </row>
    <row r="1280" spans="11:16">
      <c r="K1280" s="85">
        <v>28</v>
      </c>
      <c r="N1280" s="78"/>
      <c r="P1280" s="85"/>
    </row>
    <row r="1281" spans="11:16">
      <c r="K1281" s="85">
        <v>29</v>
      </c>
      <c r="N1281" s="78"/>
      <c r="P1281" s="85"/>
    </row>
    <row r="1282" spans="11:16">
      <c r="K1282" s="85">
        <v>30</v>
      </c>
      <c r="N1282" s="78"/>
      <c r="P1282" s="85"/>
    </row>
    <row r="1283" spans="11:16">
      <c r="K1283" s="85">
        <v>31</v>
      </c>
      <c r="N1283" s="78"/>
      <c r="P1283" s="85"/>
    </row>
    <row r="1284" spans="11:16">
      <c r="K1284" s="85">
        <v>32</v>
      </c>
      <c r="N1284" s="78"/>
      <c r="P1284" s="85"/>
    </row>
    <row r="1285" spans="11:16">
      <c r="K1285" s="85">
        <v>33</v>
      </c>
      <c r="N1285" s="78"/>
      <c r="P1285" s="85"/>
    </row>
    <row r="1286" spans="11:16">
      <c r="K1286" s="85">
        <v>34</v>
      </c>
      <c r="N1286" s="78"/>
      <c r="P1286" s="85"/>
    </row>
    <row r="1287" spans="11:16">
      <c r="K1287" s="85">
        <v>35</v>
      </c>
      <c r="N1287" s="78"/>
      <c r="P1287" s="85"/>
    </row>
    <row r="1288" spans="11:16">
      <c r="K1288" s="85">
        <v>25</v>
      </c>
      <c r="N1288" s="78"/>
      <c r="P1288" s="85"/>
    </row>
    <row r="1289" spans="11:16">
      <c r="K1289" s="85">
        <v>31</v>
      </c>
      <c r="N1289" s="78"/>
      <c r="P1289" s="85"/>
    </row>
    <row r="1290" spans="11:16">
      <c r="K1290" s="85">
        <v>32</v>
      </c>
      <c r="N1290" s="78"/>
      <c r="P1290" s="85"/>
    </row>
    <row r="1291" spans="11:16">
      <c r="K1291" s="85">
        <v>34</v>
      </c>
      <c r="N1291" s="78"/>
      <c r="P1291" s="85"/>
    </row>
    <row r="1292" spans="11:16">
      <c r="K1292" s="85">
        <v>25</v>
      </c>
      <c r="N1292" s="78"/>
      <c r="P1292" s="85"/>
    </row>
    <row r="1293" spans="11:16">
      <c r="K1293" s="85">
        <v>26</v>
      </c>
      <c r="N1293" s="78"/>
      <c r="P1293" s="85"/>
    </row>
    <row r="1294" spans="11:16">
      <c r="K1294" s="85">
        <v>27</v>
      </c>
      <c r="N1294" s="78"/>
      <c r="P1294" s="85"/>
    </row>
    <row r="1295" spans="11:16">
      <c r="K1295" s="85">
        <v>28</v>
      </c>
      <c r="N1295" s="78"/>
      <c r="P1295" s="85"/>
    </row>
    <row r="1296" spans="11:16">
      <c r="K1296" s="85">
        <v>29</v>
      </c>
      <c r="N1296" s="78"/>
      <c r="P1296" s="85"/>
    </row>
    <row r="1297" spans="11:16">
      <c r="K1297" s="85">
        <v>30</v>
      </c>
      <c r="N1297" s="78"/>
      <c r="P1297" s="85"/>
    </row>
    <row r="1298" spans="11:16">
      <c r="K1298" s="85">
        <v>34</v>
      </c>
      <c r="N1298" s="78"/>
      <c r="P1298" s="85"/>
    </row>
    <row r="1299" spans="11:16">
      <c r="K1299" s="85">
        <v>35</v>
      </c>
      <c r="N1299" s="78"/>
      <c r="P1299" s="85"/>
    </row>
    <row r="1300" spans="11:16">
      <c r="K1300" s="85">
        <v>36</v>
      </c>
      <c r="N1300" s="78"/>
      <c r="P1300" s="85"/>
    </row>
    <row r="1301" spans="11:16">
      <c r="K1301" s="85">
        <v>25</v>
      </c>
      <c r="N1301" s="78"/>
      <c r="P1301" s="85"/>
    </row>
    <row r="1302" spans="11:16">
      <c r="K1302" s="85">
        <v>26</v>
      </c>
      <c r="N1302" s="78"/>
      <c r="P1302" s="85"/>
    </row>
    <row r="1303" spans="11:16">
      <c r="K1303" s="85">
        <v>27</v>
      </c>
      <c r="N1303" s="78"/>
      <c r="P1303" s="85"/>
    </row>
    <row r="1304" spans="11:16">
      <c r="K1304" s="85">
        <v>28</v>
      </c>
      <c r="N1304" s="78"/>
      <c r="P1304" s="85"/>
    </row>
    <row r="1305" spans="11:16">
      <c r="K1305" s="85">
        <v>29</v>
      </c>
      <c r="N1305" s="78"/>
      <c r="P1305" s="85"/>
    </row>
    <row r="1306" spans="11:16">
      <c r="K1306" s="85">
        <v>30</v>
      </c>
      <c r="N1306" s="78"/>
      <c r="P1306" s="85"/>
    </row>
    <row r="1307" spans="11:16">
      <c r="K1307" s="85">
        <v>31</v>
      </c>
      <c r="N1307" s="78"/>
      <c r="P1307" s="85"/>
    </row>
    <row r="1308" spans="11:16">
      <c r="K1308" s="85">
        <v>32</v>
      </c>
      <c r="N1308" s="78"/>
      <c r="P1308" s="85"/>
    </row>
    <row r="1309" spans="11:16">
      <c r="K1309" s="85">
        <v>33</v>
      </c>
      <c r="N1309" s="78"/>
      <c r="P1309" s="85"/>
    </row>
    <row r="1310" spans="11:16">
      <c r="K1310" s="85">
        <v>34</v>
      </c>
      <c r="N1310" s="78"/>
      <c r="P1310" s="85"/>
    </row>
    <row r="1311" spans="11:16">
      <c r="K1311" s="85">
        <v>35</v>
      </c>
      <c r="N1311" s="78"/>
      <c r="P1311" s="85"/>
    </row>
    <row r="1312" spans="11:16">
      <c r="K1312" s="85">
        <v>36</v>
      </c>
      <c r="N1312" s="78"/>
      <c r="P1312" s="85"/>
    </row>
    <row r="1313" spans="11:16">
      <c r="K1313" s="85">
        <v>27</v>
      </c>
      <c r="N1313" s="78"/>
      <c r="P1313" s="85"/>
    </row>
    <row r="1314" spans="11:16">
      <c r="K1314" s="85">
        <v>31</v>
      </c>
      <c r="N1314" s="78"/>
      <c r="P1314" s="85"/>
    </row>
    <row r="1315" spans="11:16">
      <c r="K1315" s="85">
        <v>35</v>
      </c>
      <c r="N1315" s="78"/>
      <c r="P1315" s="85"/>
    </row>
    <row r="1316" spans="11:16">
      <c r="K1316" s="85">
        <v>27</v>
      </c>
      <c r="N1316" s="78"/>
      <c r="P1316" s="85"/>
    </row>
    <row r="1317" spans="11:16">
      <c r="K1317" s="85">
        <v>31</v>
      </c>
      <c r="N1317" s="78"/>
      <c r="P1317" s="85"/>
    </row>
    <row r="1318" spans="11:16">
      <c r="K1318" s="85">
        <v>32</v>
      </c>
      <c r="N1318" s="78"/>
      <c r="P1318" s="85"/>
    </row>
    <row r="1319" spans="11:16">
      <c r="K1319" s="85">
        <v>25</v>
      </c>
      <c r="N1319" s="78"/>
      <c r="P1319" s="85"/>
    </row>
    <row r="1320" spans="11:16">
      <c r="K1320" s="85">
        <v>26</v>
      </c>
      <c r="N1320" s="78"/>
      <c r="P1320" s="85"/>
    </row>
    <row r="1321" spans="11:16">
      <c r="K1321" s="85">
        <v>27</v>
      </c>
      <c r="N1321" s="78"/>
      <c r="P1321" s="85"/>
    </row>
    <row r="1322" spans="11:16">
      <c r="K1322" s="85">
        <v>28</v>
      </c>
      <c r="N1322" s="78"/>
      <c r="P1322" s="85"/>
    </row>
    <row r="1323" spans="11:16">
      <c r="K1323" s="85">
        <v>29</v>
      </c>
      <c r="N1323" s="78"/>
      <c r="P1323" s="85"/>
    </row>
    <row r="1324" spans="11:16">
      <c r="K1324" s="85">
        <v>30</v>
      </c>
      <c r="N1324" s="78"/>
      <c r="P1324" s="85"/>
    </row>
    <row r="1325" spans="11:16">
      <c r="K1325" s="85">
        <v>31</v>
      </c>
      <c r="N1325" s="78"/>
      <c r="P1325" s="85"/>
    </row>
    <row r="1326" spans="11:16">
      <c r="K1326" s="85">
        <v>32</v>
      </c>
      <c r="N1326" s="78"/>
      <c r="P1326" s="85"/>
    </row>
    <row r="1327" spans="11:16">
      <c r="K1327" s="85">
        <v>33</v>
      </c>
      <c r="N1327" s="78"/>
      <c r="P1327" s="85"/>
    </row>
    <row r="1328" spans="11:16">
      <c r="K1328" s="85">
        <v>34</v>
      </c>
      <c r="N1328" s="78"/>
      <c r="P1328" s="85"/>
    </row>
    <row r="1329" spans="11:16">
      <c r="K1329" s="85">
        <v>35</v>
      </c>
      <c r="N1329" s="78"/>
      <c r="P1329" s="85"/>
    </row>
    <row r="1330" spans="11:16">
      <c r="K1330" s="85">
        <v>25</v>
      </c>
      <c r="N1330" s="78"/>
      <c r="P1330" s="85"/>
    </row>
    <row r="1331" spans="11:16">
      <c r="K1331" s="85">
        <v>26</v>
      </c>
      <c r="N1331" s="78"/>
      <c r="P1331" s="85"/>
    </row>
    <row r="1332" spans="11:16">
      <c r="K1332" s="85">
        <v>27</v>
      </c>
      <c r="N1332" s="78"/>
      <c r="P1332" s="85"/>
    </row>
    <row r="1333" spans="11:16">
      <c r="K1333" s="85">
        <v>28</v>
      </c>
      <c r="N1333" s="78"/>
      <c r="P1333" s="85"/>
    </row>
    <row r="1334" spans="11:16">
      <c r="K1334" s="85">
        <v>29</v>
      </c>
      <c r="N1334" s="78"/>
      <c r="P1334" s="85"/>
    </row>
    <row r="1335" spans="11:16">
      <c r="K1335" s="85">
        <v>30</v>
      </c>
      <c r="N1335" s="78"/>
      <c r="P1335" s="85"/>
    </row>
    <row r="1336" spans="11:16">
      <c r="K1336" s="85">
        <v>31</v>
      </c>
      <c r="N1336" s="78"/>
      <c r="P1336" s="85"/>
    </row>
    <row r="1337" spans="11:16">
      <c r="K1337" s="85">
        <v>32</v>
      </c>
      <c r="N1337" s="78"/>
      <c r="P1337" s="85"/>
    </row>
    <row r="1338" spans="11:16">
      <c r="K1338" s="85">
        <v>33</v>
      </c>
      <c r="N1338" s="78"/>
      <c r="P1338" s="85"/>
    </row>
    <row r="1339" spans="11:16">
      <c r="K1339" s="85">
        <v>34</v>
      </c>
      <c r="N1339" s="78"/>
      <c r="P1339" s="85"/>
    </row>
    <row r="1340" spans="11:16">
      <c r="K1340" s="85">
        <v>35</v>
      </c>
      <c r="N1340" s="78"/>
      <c r="P1340" s="85"/>
    </row>
    <row r="1341" spans="11:16">
      <c r="K1341" s="85">
        <v>36</v>
      </c>
      <c r="N1341" s="78"/>
      <c r="P1341" s="85"/>
    </row>
    <row r="1342" spans="11:16">
      <c r="K1342" s="85">
        <v>25</v>
      </c>
      <c r="N1342" s="78"/>
      <c r="P1342" s="85"/>
    </row>
    <row r="1343" spans="11:16">
      <c r="K1343" s="85">
        <v>26</v>
      </c>
      <c r="N1343" s="78"/>
      <c r="P1343" s="85"/>
    </row>
    <row r="1344" spans="11:16">
      <c r="K1344" s="85">
        <v>27</v>
      </c>
      <c r="N1344" s="78"/>
      <c r="P1344" s="85"/>
    </row>
    <row r="1345" spans="11:16">
      <c r="K1345" s="85">
        <v>28</v>
      </c>
      <c r="N1345" s="78"/>
      <c r="P1345" s="85"/>
    </row>
    <row r="1346" spans="11:16">
      <c r="K1346" s="85">
        <v>29</v>
      </c>
      <c r="N1346" s="78"/>
      <c r="P1346" s="85"/>
    </row>
    <row r="1347" spans="11:16">
      <c r="K1347" s="85">
        <v>30</v>
      </c>
      <c r="N1347" s="78"/>
      <c r="P1347" s="85"/>
    </row>
    <row r="1348" spans="11:16">
      <c r="K1348" s="85">
        <v>31</v>
      </c>
      <c r="N1348" s="78"/>
      <c r="P1348" s="85"/>
    </row>
    <row r="1349" spans="11:16">
      <c r="K1349" s="85">
        <v>32</v>
      </c>
      <c r="N1349" s="78"/>
      <c r="P1349" s="85"/>
    </row>
    <row r="1350" spans="11:16">
      <c r="K1350" s="85">
        <v>33</v>
      </c>
      <c r="N1350" s="78"/>
      <c r="P1350" s="85"/>
    </row>
    <row r="1351" spans="11:16">
      <c r="K1351" s="85">
        <v>34</v>
      </c>
      <c r="N1351" s="78"/>
      <c r="P1351" s="85"/>
    </row>
    <row r="1352" spans="11:16">
      <c r="K1352" s="85">
        <v>35</v>
      </c>
      <c r="N1352" s="78"/>
      <c r="P1352" s="85"/>
    </row>
    <row r="1353" spans="11:16">
      <c r="K1353" s="85">
        <v>36</v>
      </c>
      <c r="N1353" s="78"/>
      <c r="P1353" s="85"/>
    </row>
    <row r="1354" spans="11:16">
      <c r="K1354" s="85">
        <v>25</v>
      </c>
      <c r="N1354" s="78"/>
      <c r="P1354" s="85"/>
    </row>
    <row r="1355" spans="11:16">
      <c r="K1355" s="85">
        <v>26</v>
      </c>
      <c r="N1355" s="78"/>
      <c r="P1355" s="85"/>
    </row>
    <row r="1356" spans="11:16">
      <c r="K1356" s="85">
        <v>27</v>
      </c>
      <c r="N1356" s="78"/>
      <c r="P1356" s="85"/>
    </row>
    <row r="1357" spans="11:16">
      <c r="K1357" s="85">
        <v>30</v>
      </c>
      <c r="N1357" s="78"/>
      <c r="P1357" s="85"/>
    </row>
    <row r="1358" spans="11:16">
      <c r="K1358" s="85">
        <v>31</v>
      </c>
      <c r="N1358" s="78"/>
      <c r="P1358" s="85"/>
    </row>
    <row r="1359" spans="11:16">
      <c r="K1359" s="85">
        <v>32</v>
      </c>
      <c r="N1359" s="78"/>
      <c r="P1359" s="85"/>
    </row>
    <row r="1360" spans="11:16">
      <c r="K1360" s="85">
        <v>35</v>
      </c>
      <c r="N1360" s="78"/>
      <c r="P1360" s="85"/>
    </row>
    <row r="1361" spans="11:16">
      <c r="K1361" s="85">
        <v>27</v>
      </c>
      <c r="N1361" s="78"/>
      <c r="P1361" s="85"/>
    </row>
    <row r="1362" spans="11:16">
      <c r="K1362" s="85">
        <v>28</v>
      </c>
      <c r="N1362" s="78"/>
      <c r="P1362" s="85"/>
    </row>
    <row r="1363" spans="11:16">
      <c r="K1363" s="85">
        <v>31</v>
      </c>
      <c r="N1363" s="78"/>
      <c r="P1363" s="85"/>
    </row>
    <row r="1364" spans="11:16">
      <c r="K1364" s="85">
        <v>34</v>
      </c>
      <c r="N1364" s="78"/>
      <c r="P1364" s="85"/>
    </row>
    <row r="1365" spans="11:16">
      <c r="K1365" s="85">
        <v>26</v>
      </c>
      <c r="N1365" s="78"/>
      <c r="P1365" s="85"/>
    </row>
    <row r="1366" spans="11:16">
      <c r="K1366" s="85">
        <v>27</v>
      </c>
      <c r="N1366" s="78"/>
      <c r="P1366" s="85"/>
    </row>
    <row r="1367" spans="11:16">
      <c r="K1367" s="85">
        <v>28</v>
      </c>
      <c r="N1367" s="78"/>
      <c r="P1367" s="85"/>
    </row>
    <row r="1368" spans="11:16">
      <c r="K1368" s="85">
        <v>30</v>
      </c>
      <c r="N1368" s="78"/>
      <c r="P1368" s="85"/>
    </row>
    <row r="1369" spans="11:16">
      <c r="K1369" s="85">
        <v>31</v>
      </c>
      <c r="N1369" s="78"/>
      <c r="P1369" s="85"/>
    </row>
    <row r="1370" spans="11:16">
      <c r="K1370" s="85">
        <v>33</v>
      </c>
      <c r="N1370" s="78"/>
      <c r="P1370" s="85"/>
    </row>
    <row r="1371" spans="11:16">
      <c r="K1371" s="85">
        <v>34</v>
      </c>
      <c r="N1371" s="78"/>
      <c r="P1371" s="85"/>
    </row>
    <row r="1372" spans="11:16">
      <c r="K1372" s="85">
        <v>35</v>
      </c>
      <c r="N1372" s="78"/>
      <c r="P1372" s="85"/>
    </row>
    <row r="1373" spans="11:16">
      <c r="K1373" s="85">
        <v>25</v>
      </c>
      <c r="N1373" s="78"/>
      <c r="P1373" s="85"/>
    </row>
    <row r="1374" spans="11:16">
      <c r="K1374" s="85">
        <v>26</v>
      </c>
      <c r="N1374" s="78"/>
      <c r="P1374" s="85"/>
    </row>
    <row r="1375" spans="11:16">
      <c r="K1375" s="85">
        <v>27</v>
      </c>
      <c r="N1375" s="78"/>
      <c r="P1375" s="85"/>
    </row>
    <row r="1376" spans="11:16">
      <c r="K1376" s="85">
        <v>28</v>
      </c>
      <c r="N1376" s="78"/>
      <c r="P1376" s="85"/>
    </row>
    <row r="1377" spans="11:16">
      <c r="K1377" s="85">
        <v>31</v>
      </c>
      <c r="N1377" s="78"/>
      <c r="P1377" s="85"/>
    </row>
    <row r="1378" spans="11:16">
      <c r="K1378" s="85">
        <v>32</v>
      </c>
      <c r="N1378" s="78"/>
      <c r="P1378" s="85"/>
    </row>
    <row r="1379" spans="11:16">
      <c r="K1379" s="85">
        <v>34</v>
      </c>
      <c r="N1379" s="78"/>
      <c r="P1379" s="85"/>
    </row>
    <row r="1380" spans="11:16">
      <c r="K1380" s="85">
        <v>35</v>
      </c>
      <c r="N1380" s="78"/>
      <c r="P1380" s="85"/>
    </row>
    <row r="1381" spans="11:16">
      <c r="K1381" s="85">
        <v>25</v>
      </c>
      <c r="N1381" s="78"/>
      <c r="P1381" s="85"/>
    </row>
    <row r="1382" spans="11:16">
      <c r="K1382" s="85">
        <v>27</v>
      </c>
      <c r="N1382" s="78"/>
      <c r="P1382" s="85"/>
    </row>
    <row r="1383" spans="11:16">
      <c r="K1383" s="85">
        <v>28</v>
      </c>
      <c r="N1383" s="78"/>
      <c r="P1383" s="85"/>
    </row>
    <row r="1384" spans="11:16">
      <c r="K1384" s="85">
        <v>32</v>
      </c>
      <c r="N1384" s="78"/>
      <c r="P1384" s="85"/>
    </row>
    <row r="1385" spans="11:16">
      <c r="K1385" s="85">
        <v>34</v>
      </c>
      <c r="N1385" s="78"/>
      <c r="P1385" s="85"/>
    </row>
    <row r="1386" spans="11:16">
      <c r="K1386" s="85">
        <v>35</v>
      </c>
      <c r="N1386" s="78"/>
      <c r="P1386" s="85"/>
    </row>
    <row r="1387" spans="11:16">
      <c r="K1387" s="85">
        <v>25</v>
      </c>
      <c r="N1387" s="78"/>
      <c r="P1387" s="85"/>
    </row>
    <row r="1388" spans="11:16">
      <c r="K1388" s="85">
        <v>26</v>
      </c>
      <c r="N1388" s="78"/>
      <c r="P1388" s="85"/>
    </row>
    <row r="1389" spans="11:16">
      <c r="K1389" s="85">
        <v>27</v>
      </c>
      <c r="N1389" s="78"/>
      <c r="P1389" s="85"/>
    </row>
    <row r="1390" spans="11:16">
      <c r="K1390" s="85">
        <v>31</v>
      </c>
      <c r="N1390" s="78"/>
      <c r="P1390" s="85"/>
    </row>
    <row r="1391" spans="11:16">
      <c r="K1391" s="85">
        <v>33</v>
      </c>
      <c r="N1391" s="78"/>
      <c r="P1391" s="85"/>
    </row>
    <row r="1392" spans="11:16">
      <c r="K1392" s="85">
        <v>34</v>
      </c>
      <c r="N1392" s="78"/>
      <c r="P1392" s="85"/>
    </row>
    <row r="1393" spans="11:16">
      <c r="K1393" s="85">
        <v>35</v>
      </c>
      <c r="N1393" s="78"/>
      <c r="P1393" s="85"/>
    </row>
    <row r="1394" spans="11:16">
      <c r="K1394" s="85">
        <v>27</v>
      </c>
      <c r="N1394" s="78"/>
      <c r="P1394" s="85"/>
    </row>
    <row r="1395" spans="11:16">
      <c r="K1395" s="85">
        <v>29</v>
      </c>
      <c r="N1395" s="78"/>
      <c r="P1395" s="85"/>
    </row>
    <row r="1396" spans="11:16">
      <c r="K1396" s="85">
        <v>31</v>
      </c>
      <c r="N1396" s="78"/>
      <c r="P1396" s="85"/>
    </row>
    <row r="1397" spans="11:16">
      <c r="K1397" s="85">
        <v>32</v>
      </c>
      <c r="N1397" s="78"/>
      <c r="P1397" s="85"/>
    </row>
    <row r="1398" spans="11:16">
      <c r="K1398" s="85">
        <v>34</v>
      </c>
      <c r="N1398" s="78"/>
      <c r="P1398" s="85"/>
    </row>
    <row r="1399" spans="11:16">
      <c r="K1399" s="85">
        <v>35</v>
      </c>
      <c r="N1399" s="78"/>
      <c r="P1399" s="85"/>
    </row>
    <row r="1400" spans="11:16">
      <c r="K1400" s="85">
        <v>36</v>
      </c>
      <c r="N1400" s="78"/>
      <c r="P1400" s="85"/>
    </row>
    <row r="1401" spans="11:16">
      <c r="K1401" s="85">
        <v>26</v>
      </c>
      <c r="N1401" s="78"/>
      <c r="P1401" s="85"/>
    </row>
    <row r="1402" spans="11:16">
      <c r="K1402" s="85">
        <v>31</v>
      </c>
      <c r="N1402" s="78"/>
      <c r="P1402" s="85"/>
    </row>
    <row r="1403" spans="11:16">
      <c r="K1403" s="85">
        <v>34</v>
      </c>
      <c r="N1403" s="78"/>
      <c r="P1403" s="85"/>
    </row>
    <row r="1404" spans="11:16">
      <c r="K1404" s="85">
        <v>25</v>
      </c>
      <c r="N1404" s="78"/>
      <c r="P1404" s="85"/>
    </row>
    <row r="1405" spans="11:16">
      <c r="K1405" s="85">
        <v>26</v>
      </c>
      <c r="N1405" s="78"/>
      <c r="P1405" s="85"/>
    </row>
    <row r="1406" spans="11:16">
      <c r="K1406" s="85">
        <v>27</v>
      </c>
      <c r="N1406" s="78"/>
      <c r="P1406" s="85"/>
    </row>
    <row r="1407" spans="11:16">
      <c r="K1407" s="85">
        <v>28</v>
      </c>
      <c r="N1407" s="78"/>
      <c r="P1407" s="85"/>
    </row>
    <row r="1408" spans="11:16">
      <c r="K1408" s="85">
        <v>29</v>
      </c>
      <c r="N1408" s="78"/>
      <c r="P1408" s="85"/>
    </row>
    <row r="1409" spans="11:16">
      <c r="K1409" s="85">
        <v>30</v>
      </c>
      <c r="N1409" s="78"/>
      <c r="P1409" s="85"/>
    </row>
    <row r="1410" spans="11:16">
      <c r="K1410" s="85">
        <v>31</v>
      </c>
      <c r="N1410" s="78"/>
      <c r="P1410" s="85"/>
    </row>
    <row r="1411" spans="11:16">
      <c r="K1411" s="85">
        <v>32</v>
      </c>
      <c r="N1411" s="78"/>
      <c r="P1411" s="85"/>
    </row>
    <row r="1412" spans="11:16">
      <c r="K1412" s="85">
        <v>33</v>
      </c>
      <c r="N1412" s="78"/>
      <c r="P1412" s="85"/>
    </row>
    <row r="1413" spans="11:16">
      <c r="K1413" s="85">
        <v>34</v>
      </c>
      <c r="N1413" s="78"/>
      <c r="P1413" s="85"/>
    </row>
    <row r="1414" spans="11:16">
      <c r="K1414" s="85">
        <v>35</v>
      </c>
      <c r="N1414" s="78"/>
      <c r="P1414" s="85"/>
    </row>
    <row r="1415" spans="11:16">
      <c r="K1415" s="85">
        <v>36</v>
      </c>
      <c r="N1415" s="78"/>
      <c r="P1415" s="85"/>
    </row>
    <row r="1416" spans="11:16">
      <c r="K1416" s="85">
        <v>26</v>
      </c>
      <c r="N1416" s="78"/>
      <c r="P1416" s="85"/>
    </row>
    <row r="1417" spans="11:16">
      <c r="K1417" s="85">
        <v>27</v>
      </c>
      <c r="N1417" s="78"/>
      <c r="P1417" s="85"/>
    </row>
    <row r="1418" spans="11:16">
      <c r="K1418" s="85">
        <v>29</v>
      </c>
      <c r="N1418" s="78"/>
      <c r="P1418" s="85"/>
    </row>
    <row r="1419" spans="11:16">
      <c r="K1419" s="85">
        <v>30</v>
      </c>
      <c r="N1419" s="78"/>
      <c r="P1419" s="85"/>
    </row>
    <row r="1420" spans="11:16">
      <c r="K1420" s="85">
        <v>34</v>
      </c>
      <c r="N1420" s="78"/>
      <c r="P1420" s="85"/>
    </row>
    <row r="1421" spans="11:16">
      <c r="K1421" s="85">
        <v>35</v>
      </c>
      <c r="N1421" s="78"/>
      <c r="P1421" s="85"/>
    </row>
    <row r="1422" spans="11:16">
      <c r="K1422" s="85">
        <v>25</v>
      </c>
      <c r="N1422" s="78"/>
      <c r="P1422" s="85"/>
    </row>
    <row r="1423" spans="11:16">
      <c r="K1423" s="85">
        <v>26</v>
      </c>
      <c r="N1423" s="78"/>
      <c r="P1423" s="85"/>
    </row>
    <row r="1424" spans="11:16">
      <c r="K1424" s="85">
        <v>28</v>
      </c>
      <c r="N1424" s="78"/>
      <c r="P1424" s="85"/>
    </row>
    <row r="1425" spans="11:16">
      <c r="K1425" s="85">
        <v>29</v>
      </c>
      <c r="N1425" s="78"/>
      <c r="P1425" s="85"/>
    </row>
    <row r="1426" spans="11:16">
      <c r="K1426" s="85">
        <v>30</v>
      </c>
      <c r="N1426" s="78"/>
      <c r="P1426" s="85"/>
    </row>
    <row r="1427" spans="11:16">
      <c r="K1427" s="85">
        <v>31</v>
      </c>
      <c r="N1427" s="78"/>
      <c r="P1427" s="85"/>
    </row>
    <row r="1428" spans="11:16">
      <c r="K1428" s="85">
        <v>34</v>
      </c>
      <c r="N1428" s="78"/>
      <c r="P1428" s="85"/>
    </row>
    <row r="1429" spans="11:16">
      <c r="K1429" s="85">
        <v>35</v>
      </c>
      <c r="N1429" s="78"/>
      <c r="P1429" s="85"/>
    </row>
    <row r="1430" spans="11:16">
      <c r="K1430" s="85">
        <v>36</v>
      </c>
      <c r="N1430" s="78"/>
      <c r="P1430" s="85"/>
    </row>
    <row r="1431" spans="11:16">
      <c r="K1431" s="85">
        <v>25</v>
      </c>
      <c r="N1431" s="78"/>
      <c r="P1431" s="85"/>
    </row>
    <row r="1432" spans="11:16">
      <c r="K1432" s="85">
        <v>26</v>
      </c>
      <c r="N1432" s="78"/>
      <c r="P1432" s="85"/>
    </row>
    <row r="1433" spans="11:16">
      <c r="K1433" s="85">
        <v>27</v>
      </c>
      <c r="N1433" s="78"/>
      <c r="P1433" s="85"/>
    </row>
    <row r="1434" spans="11:16">
      <c r="K1434" s="85">
        <v>28</v>
      </c>
      <c r="N1434" s="78"/>
      <c r="P1434" s="85"/>
    </row>
    <row r="1435" spans="11:16">
      <c r="K1435" s="85">
        <v>29</v>
      </c>
      <c r="N1435" s="78"/>
      <c r="P1435" s="85"/>
    </row>
    <row r="1436" spans="11:16">
      <c r="K1436" s="85">
        <v>30</v>
      </c>
      <c r="N1436" s="78"/>
      <c r="P1436" s="85"/>
    </row>
    <row r="1437" spans="11:16">
      <c r="K1437" s="85">
        <v>31</v>
      </c>
      <c r="N1437" s="78"/>
      <c r="P1437" s="85"/>
    </row>
    <row r="1438" spans="11:16">
      <c r="K1438" s="85">
        <v>32</v>
      </c>
      <c r="N1438" s="78"/>
      <c r="P1438" s="85"/>
    </row>
    <row r="1439" spans="11:16">
      <c r="K1439" s="85">
        <v>33</v>
      </c>
      <c r="N1439" s="78"/>
      <c r="P1439" s="85"/>
    </row>
    <row r="1440" spans="11:16">
      <c r="K1440" s="85">
        <v>34</v>
      </c>
      <c r="N1440" s="78"/>
      <c r="P1440" s="85"/>
    </row>
    <row r="1441" spans="11:16">
      <c r="K1441" s="85">
        <v>35</v>
      </c>
      <c r="N1441" s="78"/>
      <c r="P1441" s="85"/>
    </row>
    <row r="1442" spans="11:16">
      <c r="K1442" s="85">
        <v>36</v>
      </c>
      <c r="N1442" s="78"/>
      <c r="P1442" s="85"/>
    </row>
    <row r="1443" spans="11:16">
      <c r="K1443" s="85">
        <v>25</v>
      </c>
      <c r="N1443" s="78"/>
      <c r="P1443" s="85"/>
    </row>
    <row r="1444" spans="11:16">
      <c r="K1444" s="85">
        <v>26</v>
      </c>
      <c r="N1444" s="78"/>
      <c r="P1444" s="85"/>
    </row>
    <row r="1445" spans="11:16">
      <c r="K1445" s="85">
        <v>28</v>
      </c>
      <c r="N1445" s="78"/>
      <c r="P1445" s="85"/>
    </row>
    <row r="1446" spans="11:16">
      <c r="K1446" s="85">
        <v>29</v>
      </c>
      <c r="N1446" s="78"/>
      <c r="P1446" s="85"/>
    </row>
    <row r="1447" spans="11:16">
      <c r="K1447" s="85">
        <v>30</v>
      </c>
      <c r="N1447" s="78"/>
      <c r="P1447" s="85"/>
    </row>
    <row r="1448" spans="11:16">
      <c r="K1448" s="85">
        <v>31</v>
      </c>
      <c r="N1448" s="78"/>
      <c r="P1448" s="85"/>
    </row>
    <row r="1449" spans="11:16">
      <c r="K1449" s="85">
        <v>32</v>
      </c>
      <c r="N1449" s="78"/>
      <c r="P1449" s="85"/>
    </row>
    <row r="1450" spans="11:16">
      <c r="K1450" s="85">
        <v>33</v>
      </c>
      <c r="N1450" s="78"/>
      <c r="P1450" s="85"/>
    </row>
    <row r="1451" spans="11:16">
      <c r="K1451" s="85">
        <v>35</v>
      </c>
      <c r="N1451" s="78"/>
      <c r="P1451" s="85"/>
    </row>
    <row r="1452" spans="11:16">
      <c r="K1452" s="85">
        <v>36</v>
      </c>
      <c r="N1452" s="78"/>
      <c r="P1452" s="85"/>
    </row>
    <row r="1453" spans="11:16">
      <c r="K1453" s="85">
        <v>25</v>
      </c>
      <c r="N1453" s="78"/>
      <c r="P1453" s="85"/>
    </row>
    <row r="1454" spans="11:16">
      <c r="K1454" s="85">
        <v>26</v>
      </c>
      <c r="N1454" s="78"/>
      <c r="P1454" s="85"/>
    </row>
    <row r="1455" spans="11:16">
      <c r="K1455" s="85">
        <v>27</v>
      </c>
      <c r="N1455" s="78"/>
      <c r="P1455" s="85"/>
    </row>
    <row r="1456" spans="11:16">
      <c r="K1456" s="85">
        <v>28</v>
      </c>
      <c r="N1456" s="78"/>
      <c r="P1456" s="85"/>
    </row>
    <row r="1457" spans="11:16">
      <c r="K1457" s="85">
        <v>30</v>
      </c>
      <c r="N1457" s="78"/>
      <c r="P1457" s="85"/>
    </row>
    <row r="1458" spans="11:16">
      <c r="K1458" s="85">
        <v>31</v>
      </c>
      <c r="N1458" s="78"/>
      <c r="P1458" s="85"/>
    </row>
    <row r="1459" spans="11:16">
      <c r="K1459" s="85">
        <v>33</v>
      </c>
      <c r="N1459" s="78"/>
      <c r="P1459" s="85"/>
    </row>
    <row r="1460" spans="11:16">
      <c r="K1460" s="85">
        <v>35</v>
      </c>
      <c r="N1460" s="78"/>
      <c r="P1460" s="85"/>
    </row>
    <row r="1461" spans="11:16">
      <c r="K1461" s="85">
        <v>25</v>
      </c>
      <c r="N1461" s="78"/>
      <c r="P1461" s="85"/>
    </row>
    <row r="1462" spans="11:16">
      <c r="K1462" s="85">
        <v>26</v>
      </c>
      <c r="N1462" s="78"/>
      <c r="P1462" s="85"/>
    </row>
    <row r="1463" spans="11:16">
      <c r="K1463" s="85">
        <v>27</v>
      </c>
      <c r="N1463" s="78"/>
      <c r="P1463" s="85"/>
    </row>
    <row r="1464" spans="11:16">
      <c r="K1464" s="85">
        <v>28</v>
      </c>
      <c r="N1464" s="78"/>
      <c r="P1464" s="85"/>
    </row>
    <row r="1465" spans="11:16">
      <c r="K1465" s="85">
        <v>29</v>
      </c>
      <c r="N1465" s="78"/>
      <c r="P1465" s="85"/>
    </row>
    <row r="1466" spans="11:16">
      <c r="K1466" s="85">
        <v>30</v>
      </c>
      <c r="N1466" s="78"/>
      <c r="P1466" s="85"/>
    </row>
    <row r="1467" spans="11:16">
      <c r="K1467" s="85">
        <v>31</v>
      </c>
      <c r="N1467" s="78"/>
      <c r="P1467" s="85"/>
    </row>
    <row r="1468" spans="11:16">
      <c r="K1468" s="85">
        <v>32</v>
      </c>
      <c r="N1468" s="78"/>
      <c r="P1468" s="85"/>
    </row>
    <row r="1469" spans="11:16">
      <c r="K1469" s="85">
        <v>33</v>
      </c>
      <c r="N1469" s="78"/>
      <c r="P1469" s="85"/>
    </row>
    <row r="1470" spans="11:16">
      <c r="K1470" s="85">
        <v>34</v>
      </c>
      <c r="N1470" s="78"/>
      <c r="P1470" s="85"/>
    </row>
    <row r="1471" spans="11:16">
      <c r="K1471" s="85">
        <v>35</v>
      </c>
      <c r="N1471" s="78"/>
      <c r="P1471" s="85"/>
    </row>
    <row r="1472" spans="11:16">
      <c r="K1472" s="85">
        <v>25</v>
      </c>
      <c r="N1472" s="78"/>
      <c r="P1472" s="85"/>
    </row>
    <row r="1473" spans="11:16">
      <c r="K1473" s="85">
        <v>26</v>
      </c>
      <c r="N1473" s="78"/>
      <c r="P1473" s="85"/>
    </row>
    <row r="1474" spans="11:16">
      <c r="K1474" s="85">
        <v>27</v>
      </c>
      <c r="N1474" s="78"/>
      <c r="P1474" s="85"/>
    </row>
    <row r="1475" spans="11:16">
      <c r="K1475" s="85">
        <v>28</v>
      </c>
      <c r="N1475" s="78"/>
      <c r="P1475" s="85"/>
    </row>
    <row r="1476" spans="11:16">
      <c r="K1476" s="85">
        <v>30</v>
      </c>
      <c r="N1476" s="78"/>
      <c r="P1476" s="85"/>
    </row>
    <row r="1477" spans="11:16">
      <c r="K1477" s="85">
        <v>31</v>
      </c>
      <c r="N1477" s="78"/>
      <c r="P1477" s="85"/>
    </row>
    <row r="1478" spans="11:16">
      <c r="K1478" s="85">
        <v>34</v>
      </c>
      <c r="N1478" s="78"/>
      <c r="P1478" s="85"/>
    </row>
    <row r="1479" spans="11:16">
      <c r="K1479" s="85">
        <v>36</v>
      </c>
      <c r="N1479" s="78"/>
      <c r="P1479" s="85"/>
    </row>
    <row r="1480" spans="11:16">
      <c r="K1480" s="85">
        <v>25</v>
      </c>
      <c r="N1480" s="78"/>
      <c r="P1480" s="85"/>
    </row>
    <row r="1481" spans="11:16">
      <c r="K1481" s="85">
        <v>26</v>
      </c>
      <c r="N1481" s="78"/>
      <c r="P1481" s="85"/>
    </row>
    <row r="1482" spans="11:16">
      <c r="K1482" s="85">
        <v>27</v>
      </c>
      <c r="N1482" s="78"/>
      <c r="P1482" s="85"/>
    </row>
    <row r="1483" spans="11:16">
      <c r="K1483" s="85">
        <v>28</v>
      </c>
      <c r="N1483" s="78"/>
      <c r="P1483" s="85"/>
    </row>
    <row r="1484" spans="11:16">
      <c r="K1484" s="85">
        <v>31</v>
      </c>
      <c r="N1484" s="78"/>
      <c r="P1484" s="85"/>
    </row>
    <row r="1485" spans="11:16">
      <c r="K1485" s="85">
        <v>32</v>
      </c>
      <c r="N1485" s="78"/>
      <c r="P1485" s="85"/>
    </row>
    <row r="1486" spans="11:16">
      <c r="K1486" s="85">
        <v>34</v>
      </c>
      <c r="N1486" s="78"/>
      <c r="P1486" s="85"/>
    </row>
    <row r="1487" spans="11:16">
      <c r="K1487" s="85">
        <v>35</v>
      </c>
      <c r="N1487" s="78"/>
      <c r="P1487" s="85"/>
    </row>
    <row r="1488" spans="11:16">
      <c r="K1488" s="85">
        <v>25</v>
      </c>
      <c r="N1488" s="78"/>
      <c r="P1488" s="85"/>
    </row>
    <row r="1489" spans="11:16">
      <c r="K1489" s="85">
        <v>26</v>
      </c>
      <c r="N1489" s="78"/>
      <c r="P1489" s="85"/>
    </row>
    <row r="1490" spans="11:16">
      <c r="K1490" s="85">
        <v>27</v>
      </c>
      <c r="N1490" s="78"/>
      <c r="P1490" s="85"/>
    </row>
    <row r="1491" spans="11:16">
      <c r="K1491" s="85">
        <v>28</v>
      </c>
      <c r="N1491" s="78"/>
      <c r="P1491" s="85"/>
    </row>
    <row r="1492" spans="11:16">
      <c r="K1492" s="85">
        <v>29</v>
      </c>
      <c r="N1492" s="78"/>
      <c r="P1492" s="85"/>
    </row>
    <row r="1493" spans="11:16">
      <c r="K1493" s="85">
        <v>30</v>
      </c>
      <c r="N1493" s="78"/>
      <c r="P1493" s="85"/>
    </row>
    <row r="1494" spans="11:16">
      <c r="K1494" s="85">
        <v>31</v>
      </c>
      <c r="N1494" s="78"/>
      <c r="P1494" s="85"/>
    </row>
    <row r="1495" spans="11:16">
      <c r="K1495" s="85">
        <v>32</v>
      </c>
      <c r="N1495" s="78"/>
      <c r="P1495" s="85"/>
    </row>
    <row r="1496" spans="11:16">
      <c r="K1496" s="85">
        <v>33</v>
      </c>
      <c r="N1496" s="78"/>
      <c r="P1496" s="85"/>
    </row>
    <row r="1497" spans="11:16">
      <c r="K1497" s="85">
        <v>34</v>
      </c>
      <c r="N1497" s="78"/>
      <c r="P1497" s="85"/>
    </row>
    <row r="1498" spans="11:16">
      <c r="K1498" s="85">
        <v>35</v>
      </c>
      <c r="N1498" s="78"/>
      <c r="P1498" s="85"/>
    </row>
    <row r="1499" spans="11:16">
      <c r="K1499" s="85">
        <v>36</v>
      </c>
      <c r="N1499" s="78"/>
      <c r="P1499" s="85"/>
    </row>
    <row r="1500" spans="11:16">
      <c r="K1500" s="85">
        <v>27</v>
      </c>
      <c r="N1500" s="78"/>
      <c r="P1500" s="85"/>
    </row>
    <row r="1501" spans="11:16">
      <c r="K1501" s="85">
        <v>31</v>
      </c>
      <c r="N1501" s="78"/>
      <c r="P1501" s="85"/>
    </row>
    <row r="1502" spans="11:16">
      <c r="K1502" s="85">
        <v>32</v>
      </c>
      <c r="N1502" s="78"/>
      <c r="P1502" s="85"/>
    </row>
    <row r="1503" spans="11:16">
      <c r="K1503" s="85">
        <v>34</v>
      </c>
      <c r="N1503" s="78"/>
      <c r="P1503" s="85"/>
    </row>
    <row r="1504" spans="11:16">
      <c r="K1504" s="85">
        <v>35</v>
      </c>
      <c r="N1504" s="78"/>
      <c r="P1504" s="85"/>
    </row>
    <row r="1505" spans="11:16">
      <c r="K1505" s="85">
        <v>25</v>
      </c>
      <c r="N1505" s="78"/>
      <c r="P1505" s="85"/>
    </row>
    <row r="1506" spans="11:16">
      <c r="K1506" s="85">
        <v>27</v>
      </c>
      <c r="N1506" s="78"/>
      <c r="P1506" s="85"/>
    </row>
    <row r="1507" spans="11:16">
      <c r="K1507" s="85">
        <v>28</v>
      </c>
      <c r="N1507" s="78"/>
      <c r="P1507" s="85"/>
    </row>
    <row r="1508" spans="11:16">
      <c r="K1508" s="85">
        <v>29</v>
      </c>
      <c r="N1508" s="78"/>
      <c r="P1508" s="85"/>
    </row>
    <row r="1509" spans="11:16">
      <c r="K1509" s="85">
        <v>31</v>
      </c>
      <c r="N1509" s="78"/>
      <c r="P1509" s="85"/>
    </row>
    <row r="1510" spans="11:16">
      <c r="K1510" s="85">
        <v>32</v>
      </c>
      <c r="N1510" s="78"/>
      <c r="P1510" s="85"/>
    </row>
    <row r="1511" spans="11:16">
      <c r="K1511" s="85">
        <v>34</v>
      </c>
      <c r="N1511" s="78"/>
      <c r="P1511" s="85"/>
    </row>
    <row r="1512" spans="11:16">
      <c r="K1512" s="85">
        <v>35</v>
      </c>
      <c r="N1512" s="78"/>
      <c r="P1512" s="85"/>
    </row>
    <row r="1513" spans="11:16">
      <c r="K1513" s="85">
        <v>36</v>
      </c>
      <c r="N1513" s="78"/>
      <c r="P1513" s="85"/>
    </row>
    <row r="1514" spans="11:16">
      <c r="K1514" s="85">
        <v>27</v>
      </c>
      <c r="N1514" s="78"/>
      <c r="P1514" s="85"/>
    </row>
    <row r="1515" spans="11:16">
      <c r="K1515" s="85">
        <v>28</v>
      </c>
      <c r="N1515" s="78"/>
      <c r="P1515" s="85"/>
    </row>
    <row r="1516" spans="11:16">
      <c r="K1516" s="85">
        <v>31</v>
      </c>
      <c r="N1516" s="78"/>
      <c r="P1516" s="85"/>
    </row>
    <row r="1517" spans="11:16">
      <c r="K1517" s="85">
        <v>35</v>
      </c>
      <c r="N1517" s="78"/>
      <c r="P1517" s="85"/>
    </row>
    <row r="1518" spans="11:16">
      <c r="K1518" s="85">
        <v>28</v>
      </c>
      <c r="N1518" s="78"/>
      <c r="P1518" s="85"/>
    </row>
    <row r="1519" spans="11:16">
      <c r="K1519" s="85">
        <v>25</v>
      </c>
      <c r="N1519" s="78"/>
      <c r="P1519" s="85"/>
    </row>
    <row r="1520" spans="11:16">
      <c r="K1520" s="85">
        <v>26</v>
      </c>
      <c r="N1520" s="78"/>
      <c r="P1520" s="85"/>
    </row>
    <row r="1521" spans="11:16">
      <c r="K1521" s="85">
        <v>27</v>
      </c>
      <c r="N1521" s="78"/>
      <c r="P1521" s="85"/>
    </row>
    <row r="1522" spans="11:16">
      <c r="K1522" s="85">
        <v>28</v>
      </c>
      <c r="N1522" s="78"/>
      <c r="P1522" s="85"/>
    </row>
    <row r="1523" spans="11:16">
      <c r="K1523" s="85">
        <v>29</v>
      </c>
      <c r="N1523" s="78"/>
      <c r="P1523" s="85"/>
    </row>
    <row r="1524" spans="11:16">
      <c r="K1524" s="85">
        <v>31</v>
      </c>
      <c r="N1524" s="78"/>
      <c r="P1524" s="85"/>
    </row>
    <row r="1525" spans="11:16">
      <c r="K1525" s="85">
        <v>32</v>
      </c>
      <c r="N1525" s="78"/>
      <c r="P1525" s="85"/>
    </row>
    <row r="1526" spans="11:16">
      <c r="K1526" s="85">
        <v>33</v>
      </c>
      <c r="N1526" s="78"/>
      <c r="P1526" s="85"/>
    </row>
    <row r="1527" spans="11:16">
      <c r="K1527" s="85">
        <v>34</v>
      </c>
      <c r="N1527" s="78"/>
      <c r="P1527" s="85"/>
    </row>
    <row r="1528" spans="11:16">
      <c r="K1528" s="85">
        <v>35</v>
      </c>
      <c r="N1528" s="78"/>
      <c r="P1528" s="85"/>
    </row>
    <row r="1529" spans="11:16">
      <c r="K1529" s="85">
        <v>26</v>
      </c>
      <c r="N1529" s="78"/>
      <c r="P1529" s="85"/>
    </row>
    <row r="1530" spans="11:16">
      <c r="K1530" s="85">
        <v>27</v>
      </c>
      <c r="N1530" s="78"/>
      <c r="P1530" s="85"/>
    </row>
    <row r="1531" spans="11:16">
      <c r="K1531" s="85">
        <v>30</v>
      </c>
      <c r="N1531" s="78"/>
      <c r="P1531" s="85"/>
    </row>
    <row r="1532" spans="11:16">
      <c r="K1532" s="85">
        <v>31</v>
      </c>
      <c r="N1532" s="78"/>
      <c r="P1532" s="85"/>
    </row>
    <row r="1533" spans="11:16">
      <c r="K1533" s="85">
        <v>33</v>
      </c>
      <c r="N1533" s="78"/>
      <c r="P1533" s="85"/>
    </row>
    <row r="1534" spans="11:16">
      <c r="K1534" s="85">
        <v>35</v>
      </c>
      <c r="N1534" s="78"/>
      <c r="P1534" s="85"/>
    </row>
    <row r="1535" spans="11:16">
      <c r="K1535" s="85">
        <v>25</v>
      </c>
      <c r="N1535" s="78"/>
      <c r="P1535" s="85"/>
    </row>
    <row r="1536" spans="11:16">
      <c r="K1536" s="85">
        <v>27</v>
      </c>
      <c r="N1536" s="78"/>
      <c r="P1536" s="85"/>
    </row>
    <row r="1537" spans="11:16">
      <c r="K1537" s="85">
        <v>28</v>
      </c>
      <c r="N1537" s="78"/>
      <c r="P1537" s="85"/>
    </row>
    <row r="1538" spans="11:16">
      <c r="K1538" s="85">
        <v>31</v>
      </c>
      <c r="N1538" s="78"/>
      <c r="P1538" s="85"/>
    </row>
    <row r="1539" spans="11:16">
      <c r="K1539" s="85">
        <v>32</v>
      </c>
      <c r="N1539" s="78"/>
      <c r="P1539" s="85"/>
    </row>
    <row r="1540" spans="11:16">
      <c r="K1540" s="85">
        <v>33</v>
      </c>
      <c r="N1540" s="78"/>
      <c r="P1540" s="85"/>
    </row>
    <row r="1541" spans="11:16">
      <c r="K1541" s="85">
        <v>34</v>
      </c>
      <c r="N1541" s="78"/>
      <c r="P1541" s="85"/>
    </row>
    <row r="1542" spans="11:16">
      <c r="K1542" s="85">
        <v>35</v>
      </c>
      <c r="N1542" s="78"/>
      <c r="P1542" s="85"/>
    </row>
    <row r="1543" spans="11:16">
      <c r="K1543" s="85">
        <v>36</v>
      </c>
      <c r="N1543" s="78"/>
      <c r="P1543" s="85"/>
    </row>
    <row r="1544" spans="11:16">
      <c r="K1544" s="85">
        <v>25</v>
      </c>
      <c r="N1544" s="78"/>
      <c r="P1544" s="85"/>
    </row>
    <row r="1545" spans="11:16">
      <c r="K1545" s="85">
        <v>26</v>
      </c>
      <c r="N1545" s="78"/>
      <c r="P1545" s="85"/>
    </row>
    <row r="1546" spans="11:16">
      <c r="K1546" s="85">
        <v>27</v>
      </c>
      <c r="N1546" s="78"/>
      <c r="P1546" s="85"/>
    </row>
    <row r="1547" spans="11:16">
      <c r="K1547" s="85">
        <v>28</v>
      </c>
      <c r="N1547" s="78"/>
      <c r="P1547" s="85"/>
    </row>
    <row r="1548" spans="11:16">
      <c r="K1548" s="85">
        <v>29</v>
      </c>
      <c r="N1548" s="78"/>
      <c r="P1548" s="85"/>
    </row>
    <row r="1549" spans="11:16">
      <c r="K1549" s="85">
        <v>30</v>
      </c>
      <c r="N1549" s="78"/>
      <c r="P1549" s="85"/>
    </row>
    <row r="1550" spans="11:16">
      <c r="K1550" s="85">
        <v>31</v>
      </c>
      <c r="N1550" s="78"/>
      <c r="P1550" s="85"/>
    </row>
    <row r="1551" spans="11:16">
      <c r="K1551" s="85">
        <v>32</v>
      </c>
      <c r="N1551" s="78"/>
      <c r="P1551" s="85"/>
    </row>
    <row r="1552" spans="11:16">
      <c r="K1552" s="85">
        <v>33</v>
      </c>
      <c r="N1552" s="78"/>
      <c r="P1552" s="85"/>
    </row>
    <row r="1553" spans="11:16">
      <c r="K1553" s="85">
        <v>34</v>
      </c>
      <c r="N1553" s="78"/>
      <c r="P1553" s="85"/>
    </row>
    <row r="1554" spans="11:16">
      <c r="K1554" s="85">
        <v>35</v>
      </c>
      <c r="N1554" s="78"/>
      <c r="P1554" s="85"/>
    </row>
    <row r="1555" spans="11:16">
      <c r="K1555" s="85">
        <v>36</v>
      </c>
      <c r="N1555" s="78"/>
      <c r="P1555" s="85"/>
    </row>
    <row r="1556" spans="11:16">
      <c r="K1556" s="85">
        <v>25</v>
      </c>
      <c r="N1556" s="78"/>
      <c r="P1556" s="85"/>
    </row>
    <row r="1557" spans="11:16">
      <c r="K1557" s="85">
        <v>26</v>
      </c>
      <c r="N1557" s="78"/>
      <c r="P1557" s="85"/>
    </row>
    <row r="1558" spans="11:16">
      <c r="K1558" s="85">
        <v>27</v>
      </c>
      <c r="N1558" s="78"/>
      <c r="P1558" s="85"/>
    </row>
    <row r="1559" spans="11:16">
      <c r="K1559" s="85">
        <v>28</v>
      </c>
      <c r="N1559" s="78"/>
      <c r="P1559" s="85"/>
    </row>
    <row r="1560" spans="11:16">
      <c r="K1560" s="85">
        <v>29</v>
      </c>
      <c r="N1560" s="78"/>
      <c r="P1560" s="85"/>
    </row>
    <row r="1561" spans="11:16">
      <c r="K1561" s="85">
        <v>30</v>
      </c>
      <c r="N1561" s="78"/>
      <c r="P1561" s="85"/>
    </row>
    <row r="1562" spans="11:16">
      <c r="K1562" s="85">
        <v>31</v>
      </c>
      <c r="N1562" s="78"/>
      <c r="P1562" s="85"/>
    </row>
    <row r="1563" spans="11:16">
      <c r="K1563" s="85">
        <v>32</v>
      </c>
      <c r="N1563" s="78"/>
      <c r="P1563" s="85"/>
    </row>
    <row r="1564" spans="11:16">
      <c r="K1564" s="85">
        <v>33</v>
      </c>
      <c r="N1564" s="78"/>
      <c r="P1564" s="85"/>
    </row>
    <row r="1565" spans="11:16">
      <c r="K1565" s="85">
        <v>34</v>
      </c>
      <c r="N1565" s="78"/>
      <c r="P1565" s="85"/>
    </row>
    <row r="1566" spans="11:16">
      <c r="K1566" s="85">
        <v>35</v>
      </c>
      <c r="N1566" s="78"/>
      <c r="P1566" s="85"/>
    </row>
    <row r="1567" spans="11:16">
      <c r="K1567" s="85">
        <v>30</v>
      </c>
      <c r="N1567" s="78"/>
      <c r="P1567" s="85"/>
    </row>
    <row r="1568" spans="11:16">
      <c r="K1568" s="85">
        <v>35</v>
      </c>
      <c r="N1568" s="78"/>
      <c r="P1568" s="85"/>
    </row>
    <row r="1569" spans="11:16">
      <c r="K1569" s="85">
        <v>25</v>
      </c>
      <c r="N1569" s="78"/>
      <c r="P1569" s="85"/>
    </row>
    <row r="1570" spans="11:16">
      <c r="K1570" s="85">
        <v>27</v>
      </c>
      <c r="N1570" s="78"/>
      <c r="P1570" s="85"/>
    </row>
    <row r="1571" spans="11:16">
      <c r="K1571" s="85">
        <v>31</v>
      </c>
      <c r="N1571" s="78"/>
      <c r="P1571" s="85"/>
    </row>
    <row r="1572" spans="11:16">
      <c r="K1572" s="85">
        <v>32</v>
      </c>
      <c r="N1572" s="78"/>
      <c r="P1572" s="85"/>
    </row>
    <row r="1573" spans="11:16">
      <c r="K1573" s="85">
        <v>26</v>
      </c>
      <c r="N1573" s="78"/>
      <c r="P1573" s="85"/>
    </row>
    <row r="1574" spans="11:16">
      <c r="K1574" s="85">
        <v>27</v>
      </c>
      <c r="N1574" s="78"/>
      <c r="P1574" s="85"/>
    </row>
    <row r="1575" spans="11:16">
      <c r="K1575" s="85">
        <v>28</v>
      </c>
      <c r="N1575" s="78"/>
      <c r="P1575" s="85"/>
    </row>
    <row r="1576" spans="11:16">
      <c r="K1576" s="85">
        <v>31</v>
      </c>
      <c r="N1576" s="78"/>
      <c r="P1576" s="85"/>
    </row>
    <row r="1577" spans="11:16">
      <c r="K1577" s="85">
        <v>32</v>
      </c>
      <c r="N1577" s="78"/>
      <c r="P1577" s="85"/>
    </row>
    <row r="1578" spans="11:16">
      <c r="K1578" s="85">
        <v>34</v>
      </c>
      <c r="N1578" s="78"/>
      <c r="P1578" s="85"/>
    </row>
    <row r="1579" spans="11:16">
      <c r="K1579" s="85">
        <v>35</v>
      </c>
      <c r="N1579" s="78"/>
      <c r="P1579" s="85"/>
    </row>
    <row r="1580" spans="11:16">
      <c r="K1580" s="85">
        <v>36</v>
      </c>
      <c r="N1580" s="78"/>
      <c r="P1580" s="85"/>
    </row>
    <row r="1581" spans="11:16">
      <c r="K1581" s="85">
        <v>25</v>
      </c>
      <c r="N1581" s="78"/>
      <c r="P1581" s="85"/>
    </row>
    <row r="1582" spans="11:16">
      <c r="K1582" s="85">
        <v>26</v>
      </c>
      <c r="N1582" s="78"/>
      <c r="P1582" s="85"/>
    </row>
    <row r="1583" spans="11:16">
      <c r="K1583" s="85">
        <v>27</v>
      </c>
      <c r="N1583" s="78"/>
      <c r="P1583" s="85"/>
    </row>
    <row r="1584" spans="11:16">
      <c r="K1584" s="85">
        <v>28</v>
      </c>
      <c r="N1584" s="78"/>
      <c r="P1584" s="85"/>
    </row>
    <row r="1585" spans="11:16">
      <c r="K1585" s="85">
        <v>29</v>
      </c>
      <c r="N1585" s="78"/>
      <c r="P1585" s="85"/>
    </row>
    <row r="1586" spans="11:16">
      <c r="K1586" s="85">
        <v>30</v>
      </c>
      <c r="N1586" s="78"/>
      <c r="P1586" s="85"/>
    </row>
    <row r="1587" spans="11:16">
      <c r="K1587" s="85">
        <v>31</v>
      </c>
      <c r="N1587" s="78"/>
      <c r="P1587" s="85"/>
    </row>
    <row r="1588" spans="11:16">
      <c r="K1588" s="85">
        <v>32</v>
      </c>
      <c r="N1588" s="78"/>
      <c r="P1588" s="85"/>
    </row>
    <row r="1589" spans="11:16">
      <c r="K1589" s="85">
        <v>34</v>
      </c>
      <c r="N1589" s="78"/>
      <c r="P1589" s="85"/>
    </row>
    <row r="1590" spans="11:16">
      <c r="K1590" s="85">
        <v>35</v>
      </c>
      <c r="N1590" s="78"/>
      <c r="P1590" s="85"/>
    </row>
    <row r="1591" spans="11:16">
      <c r="K1591" s="85">
        <v>36</v>
      </c>
      <c r="N1591" s="78"/>
      <c r="P1591" s="85"/>
    </row>
    <row r="1592" spans="11:16">
      <c r="K1592" s="85">
        <v>25</v>
      </c>
      <c r="N1592" s="78"/>
      <c r="P1592" s="85"/>
    </row>
    <row r="1593" spans="11:16">
      <c r="K1593" s="85">
        <v>27</v>
      </c>
      <c r="N1593" s="78"/>
      <c r="P1593" s="85"/>
    </row>
    <row r="1594" spans="11:16">
      <c r="K1594" s="85">
        <v>29</v>
      </c>
      <c r="N1594" s="78"/>
      <c r="P1594" s="85"/>
    </row>
    <row r="1595" spans="11:16">
      <c r="K1595" s="85">
        <v>31</v>
      </c>
      <c r="N1595" s="78"/>
      <c r="P1595" s="85"/>
    </row>
    <row r="1596" spans="11:16">
      <c r="K1596" s="85">
        <v>32</v>
      </c>
      <c r="N1596" s="78"/>
      <c r="P1596" s="85"/>
    </row>
    <row r="1597" spans="11:16">
      <c r="K1597" s="85">
        <v>33</v>
      </c>
      <c r="N1597" s="78"/>
      <c r="P1597" s="85"/>
    </row>
    <row r="1598" spans="11:16">
      <c r="K1598" s="85">
        <v>34</v>
      </c>
      <c r="N1598" s="78"/>
      <c r="P1598" s="85"/>
    </row>
    <row r="1599" spans="11:16">
      <c r="K1599" s="85">
        <v>35</v>
      </c>
      <c r="N1599" s="78"/>
      <c r="P1599" s="85"/>
    </row>
    <row r="1600" spans="11:16">
      <c r="K1600" s="85">
        <v>25</v>
      </c>
      <c r="N1600" s="78"/>
      <c r="P1600" s="85"/>
    </row>
    <row r="1601" spans="11:16">
      <c r="K1601" s="85">
        <v>27</v>
      </c>
      <c r="N1601" s="78"/>
      <c r="P1601" s="85"/>
    </row>
    <row r="1602" spans="11:16">
      <c r="K1602" s="85">
        <v>28</v>
      </c>
      <c r="N1602" s="78"/>
      <c r="P1602" s="85"/>
    </row>
    <row r="1603" spans="11:16">
      <c r="K1603" s="85">
        <v>31</v>
      </c>
      <c r="N1603" s="78"/>
      <c r="P1603" s="85"/>
    </row>
    <row r="1604" spans="11:16">
      <c r="K1604" s="85">
        <v>34</v>
      </c>
      <c r="N1604" s="78"/>
      <c r="P1604" s="85"/>
    </row>
    <row r="1605" spans="11:16">
      <c r="K1605" s="85">
        <v>35</v>
      </c>
      <c r="N1605" s="78"/>
      <c r="P1605" s="85"/>
    </row>
    <row r="1606" spans="11:16">
      <c r="K1606" s="85">
        <v>34</v>
      </c>
      <c r="N1606" s="78"/>
      <c r="P1606" s="85"/>
    </row>
    <row r="1607" spans="11:16">
      <c r="K1607" s="85">
        <v>35</v>
      </c>
      <c r="N1607" s="78"/>
      <c r="P1607" s="85"/>
    </row>
    <row r="1608" spans="11:16">
      <c r="K1608" s="85">
        <v>25</v>
      </c>
      <c r="N1608" s="78"/>
      <c r="P1608" s="85"/>
    </row>
    <row r="1609" spans="11:16">
      <c r="K1609" s="85">
        <v>26</v>
      </c>
      <c r="N1609" s="78"/>
      <c r="P1609" s="85"/>
    </row>
    <row r="1610" spans="11:16">
      <c r="K1610" s="85">
        <v>27</v>
      </c>
      <c r="N1610" s="78"/>
      <c r="P1610" s="85"/>
    </row>
    <row r="1611" spans="11:16">
      <c r="K1611" s="85">
        <v>28</v>
      </c>
      <c r="N1611" s="78"/>
      <c r="P1611" s="85"/>
    </row>
    <row r="1612" spans="11:16">
      <c r="K1612" s="85">
        <v>29</v>
      </c>
      <c r="N1612" s="78"/>
      <c r="P1612" s="85"/>
    </row>
    <row r="1613" spans="11:16">
      <c r="K1613" s="85">
        <v>30</v>
      </c>
      <c r="N1613" s="78"/>
      <c r="P1613" s="85"/>
    </row>
    <row r="1614" spans="11:16">
      <c r="K1614" s="85">
        <v>31</v>
      </c>
      <c r="N1614" s="78"/>
      <c r="P1614" s="85"/>
    </row>
    <row r="1615" spans="11:16">
      <c r="K1615" s="85">
        <v>32</v>
      </c>
      <c r="N1615" s="78"/>
      <c r="P1615" s="85"/>
    </row>
    <row r="1616" spans="11:16">
      <c r="K1616" s="85">
        <v>33</v>
      </c>
      <c r="N1616" s="78"/>
      <c r="P1616" s="85"/>
    </row>
    <row r="1617" spans="11:16">
      <c r="K1617" s="85">
        <v>34</v>
      </c>
      <c r="N1617" s="78"/>
      <c r="P1617" s="85"/>
    </row>
    <row r="1618" spans="11:16">
      <c r="K1618" s="85">
        <v>35</v>
      </c>
      <c r="N1618" s="78"/>
      <c r="P1618" s="85"/>
    </row>
    <row r="1619" spans="11:16">
      <c r="K1619" s="85">
        <v>36</v>
      </c>
      <c r="N1619" s="78"/>
      <c r="P1619" s="85"/>
    </row>
    <row r="1620" spans="11:16">
      <c r="K1620" s="85">
        <v>25</v>
      </c>
      <c r="N1620" s="78"/>
      <c r="P1620" s="85"/>
    </row>
    <row r="1621" spans="11:16">
      <c r="K1621" s="85">
        <v>34</v>
      </c>
      <c r="N1621" s="78"/>
      <c r="P1621" s="85"/>
    </row>
    <row r="1622" spans="11:16">
      <c r="K1622" s="85">
        <v>35</v>
      </c>
      <c r="N1622" s="78"/>
      <c r="P1622" s="85"/>
    </row>
    <row r="1623" spans="11:16">
      <c r="K1623" s="85">
        <v>25</v>
      </c>
      <c r="N1623" s="78"/>
      <c r="P1623" s="85"/>
    </row>
    <row r="1624" spans="11:16">
      <c r="K1624" s="85">
        <v>26</v>
      </c>
      <c r="N1624" s="78"/>
      <c r="P1624" s="85"/>
    </row>
    <row r="1625" spans="11:16">
      <c r="K1625" s="85">
        <v>27</v>
      </c>
      <c r="N1625" s="78"/>
      <c r="P1625" s="85"/>
    </row>
    <row r="1626" spans="11:16">
      <c r="K1626" s="85">
        <v>28</v>
      </c>
      <c r="N1626" s="78"/>
      <c r="P1626" s="85"/>
    </row>
    <row r="1627" spans="11:16">
      <c r="K1627" s="85">
        <v>31</v>
      </c>
      <c r="N1627" s="78"/>
      <c r="P1627" s="85"/>
    </row>
    <row r="1628" spans="11:16">
      <c r="K1628" s="85">
        <v>34</v>
      </c>
      <c r="N1628" s="78"/>
      <c r="P1628" s="85"/>
    </row>
    <row r="1629" spans="11:16">
      <c r="K1629" s="85">
        <v>25</v>
      </c>
      <c r="N1629" s="78"/>
      <c r="P1629" s="85"/>
    </row>
    <row r="1630" spans="11:16">
      <c r="K1630" s="85">
        <v>26</v>
      </c>
      <c r="N1630" s="78"/>
      <c r="P1630" s="85"/>
    </row>
    <row r="1631" spans="11:16">
      <c r="K1631" s="85">
        <v>27</v>
      </c>
      <c r="N1631" s="78"/>
      <c r="P1631" s="85"/>
    </row>
    <row r="1632" spans="11:16">
      <c r="K1632" s="85">
        <v>31</v>
      </c>
      <c r="N1632" s="78"/>
      <c r="P1632" s="85"/>
    </row>
    <row r="1633" spans="11:16">
      <c r="K1633" s="85">
        <v>35</v>
      </c>
      <c r="N1633" s="78"/>
      <c r="P1633" s="85"/>
    </row>
    <row r="1634" spans="11:16">
      <c r="K1634" s="85">
        <v>31</v>
      </c>
      <c r="N1634" s="78"/>
      <c r="P1634" s="85"/>
    </row>
    <row r="1635" spans="11:16">
      <c r="K1635" s="85">
        <v>35</v>
      </c>
      <c r="N1635" s="78"/>
      <c r="P1635" s="85"/>
    </row>
    <row r="1636" spans="11:16">
      <c r="K1636" s="85">
        <v>25</v>
      </c>
      <c r="N1636" s="78"/>
      <c r="P1636" s="85"/>
    </row>
    <row r="1637" spans="11:16">
      <c r="K1637" s="85">
        <v>26</v>
      </c>
      <c r="N1637" s="78"/>
      <c r="P1637" s="85"/>
    </row>
    <row r="1638" spans="11:16">
      <c r="K1638" s="85">
        <v>27</v>
      </c>
      <c r="N1638" s="78"/>
      <c r="P1638" s="85"/>
    </row>
    <row r="1639" spans="11:16">
      <c r="K1639" s="85">
        <v>28</v>
      </c>
      <c r="N1639" s="78"/>
      <c r="P1639" s="85"/>
    </row>
    <row r="1640" spans="11:16">
      <c r="K1640" s="85">
        <v>31</v>
      </c>
      <c r="N1640" s="78"/>
      <c r="P1640" s="85"/>
    </row>
    <row r="1641" spans="11:16">
      <c r="K1641" s="85">
        <v>34</v>
      </c>
      <c r="N1641" s="78"/>
      <c r="P1641" s="85"/>
    </row>
    <row r="1642" spans="11:16">
      <c r="K1642" s="85">
        <v>35</v>
      </c>
      <c r="N1642" s="78"/>
      <c r="P1642" s="85"/>
    </row>
    <row r="1643" spans="11:16">
      <c r="K1643" s="85">
        <v>36</v>
      </c>
      <c r="N1643" s="78"/>
      <c r="P1643" s="85"/>
    </row>
    <row r="1644" spans="11:16">
      <c r="K1644" s="85">
        <v>27</v>
      </c>
      <c r="N1644" s="78"/>
      <c r="P1644" s="85"/>
    </row>
    <row r="1645" spans="11:16">
      <c r="K1645" s="85">
        <v>31</v>
      </c>
      <c r="N1645" s="78"/>
      <c r="P1645" s="85"/>
    </row>
    <row r="1646" spans="11:16">
      <c r="K1646" s="85">
        <v>34</v>
      </c>
      <c r="N1646" s="78"/>
      <c r="P1646" s="85"/>
    </row>
    <row r="1647" spans="11:16">
      <c r="K1647" s="85">
        <v>35</v>
      </c>
      <c r="N1647" s="78"/>
      <c r="P1647" s="85"/>
    </row>
    <row r="1648" spans="11:16">
      <c r="K1648" s="85">
        <v>36</v>
      </c>
      <c r="N1648" s="78"/>
      <c r="P1648" s="85"/>
    </row>
    <row r="1649" spans="11:16">
      <c r="K1649" s="85">
        <v>25</v>
      </c>
      <c r="N1649" s="78"/>
      <c r="P1649" s="85"/>
    </row>
    <row r="1650" spans="11:16">
      <c r="K1650" s="85">
        <v>26</v>
      </c>
      <c r="N1650" s="78"/>
      <c r="P1650" s="85"/>
    </row>
    <row r="1651" spans="11:16">
      <c r="K1651" s="85">
        <v>27</v>
      </c>
      <c r="N1651" s="78"/>
      <c r="P1651" s="85"/>
    </row>
    <row r="1652" spans="11:16">
      <c r="K1652" s="85">
        <v>28</v>
      </c>
      <c r="N1652" s="78"/>
      <c r="P1652" s="85"/>
    </row>
    <row r="1653" spans="11:16">
      <c r="K1653" s="85">
        <v>29</v>
      </c>
      <c r="N1653" s="78"/>
      <c r="P1653" s="85"/>
    </row>
    <row r="1654" spans="11:16">
      <c r="K1654" s="85">
        <v>30</v>
      </c>
      <c r="N1654" s="78"/>
      <c r="P1654" s="85"/>
    </row>
    <row r="1655" spans="11:16">
      <c r="K1655" s="85">
        <v>31</v>
      </c>
      <c r="N1655" s="78"/>
      <c r="P1655" s="85"/>
    </row>
    <row r="1656" spans="11:16">
      <c r="K1656" s="85">
        <v>32</v>
      </c>
      <c r="N1656" s="78"/>
      <c r="P1656" s="85"/>
    </row>
    <row r="1657" spans="11:16">
      <c r="K1657" s="85">
        <v>33</v>
      </c>
      <c r="N1657" s="78"/>
      <c r="P1657" s="85"/>
    </row>
    <row r="1658" spans="11:16">
      <c r="K1658" s="85">
        <v>34</v>
      </c>
      <c r="N1658" s="78"/>
      <c r="P1658" s="85"/>
    </row>
    <row r="1659" spans="11:16">
      <c r="K1659" s="85">
        <v>35</v>
      </c>
      <c r="N1659" s="78"/>
      <c r="P1659" s="85"/>
    </row>
    <row r="1660" spans="11:16">
      <c r="K1660" s="85">
        <v>36</v>
      </c>
      <c r="N1660" s="78"/>
      <c r="P1660" s="85"/>
    </row>
    <row r="1661" spans="11:16">
      <c r="K1661" s="85">
        <v>25</v>
      </c>
      <c r="N1661" s="78"/>
      <c r="P1661" s="85"/>
    </row>
    <row r="1662" spans="11:16">
      <c r="K1662" s="85">
        <v>26</v>
      </c>
      <c r="N1662" s="78"/>
      <c r="P1662" s="85"/>
    </row>
    <row r="1663" spans="11:16">
      <c r="K1663" s="85">
        <v>27</v>
      </c>
      <c r="N1663" s="78"/>
      <c r="P1663" s="85"/>
    </row>
    <row r="1664" spans="11:16">
      <c r="K1664" s="85">
        <v>28</v>
      </c>
      <c r="N1664" s="78"/>
      <c r="P1664" s="85"/>
    </row>
    <row r="1665" spans="11:16">
      <c r="K1665" s="85">
        <v>29</v>
      </c>
      <c r="N1665" s="78"/>
      <c r="P1665" s="85"/>
    </row>
    <row r="1666" spans="11:16">
      <c r="K1666" s="85">
        <v>30</v>
      </c>
      <c r="N1666" s="78"/>
      <c r="P1666" s="85"/>
    </row>
    <row r="1667" spans="11:16">
      <c r="K1667" s="85">
        <v>31</v>
      </c>
      <c r="N1667" s="78"/>
      <c r="P1667" s="85"/>
    </row>
    <row r="1668" spans="11:16">
      <c r="K1668" s="85">
        <v>32</v>
      </c>
      <c r="N1668" s="78"/>
      <c r="P1668" s="85"/>
    </row>
    <row r="1669" spans="11:16">
      <c r="K1669" s="85">
        <v>33</v>
      </c>
      <c r="N1669" s="78"/>
      <c r="P1669" s="85"/>
    </row>
    <row r="1670" spans="11:16">
      <c r="K1670" s="85">
        <v>34</v>
      </c>
      <c r="N1670" s="78"/>
      <c r="P1670" s="85"/>
    </row>
    <row r="1671" spans="11:16">
      <c r="K1671" s="85">
        <v>35</v>
      </c>
      <c r="N1671" s="78"/>
      <c r="P1671" s="85"/>
    </row>
    <row r="1672" spans="11:16">
      <c r="K1672" s="85">
        <v>36</v>
      </c>
      <c r="N1672" s="78"/>
      <c r="P1672" s="85"/>
    </row>
    <row r="1673" spans="11:16">
      <c r="K1673" s="85">
        <v>25</v>
      </c>
      <c r="N1673" s="78"/>
      <c r="P1673" s="85"/>
    </row>
    <row r="1674" spans="11:16">
      <c r="K1674" s="85">
        <v>26</v>
      </c>
      <c r="N1674" s="78"/>
      <c r="P1674" s="85"/>
    </row>
    <row r="1675" spans="11:16">
      <c r="K1675" s="85">
        <v>27</v>
      </c>
      <c r="N1675" s="78"/>
      <c r="P1675" s="85"/>
    </row>
    <row r="1676" spans="11:16">
      <c r="K1676" s="85">
        <v>28</v>
      </c>
      <c r="N1676" s="78"/>
      <c r="P1676" s="85"/>
    </row>
    <row r="1677" spans="11:16">
      <c r="K1677" s="85">
        <v>29</v>
      </c>
      <c r="N1677" s="78"/>
      <c r="P1677" s="85"/>
    </row>
    <row r="1678" spans="11:16">
      <c r="K1678" s="85">
        <v>30</v>
      </c>
      <c r="N1678" s="78"/>
      <c r="P1678" s="85"/>
    </row>
    <row r="1679" spans="11:16">
      <c r="K1679" s="85">
        <v>31</v>
      </c>
      <c r="N1679" s="78"/>
      <c r="P1679" s="85"/>
    </row>
    <row r="1680" spans="11:16">
      <c r="K1680" s="85">
        <v>32</v>
      </c>
      <c r="N1680" s="78"/>
      <c r="P1680" s="85"/>
    </row>
    <row r="1681" spans="11:16">
      <c r="K1681" s="85">
        <v>33</v>
      </c>
      <c r="N1681" s="78"/>
      <c r="P1681" s="85"/>
    </row>
    <row r="1682" spans="11:16">
      <c r="K1682" s="85">
        <v>34</v>
      </c>
      <c r="N1682" s="78"/>
      <c r="P1682" s="85"/>
    </row>
    <row r="1683" spans="11:16">
      <c r="K1683" s="85">
        <v>35</v>
      </c>
      <c r="N1683" s="78"/>
      <c r="P1683" s="85"/>
    </row>
    <row r="1684" spans="11:16">
      <c r="K1684" s="85">
        <v>36</v>
      </c>
      <c r="N1684" s="78"/>
      <c r="P1684" s="85"/>
    </row>
    <row r="1685" spans="11:16">
      <c r="K1685" s="85">
        <v>27</v>
      </c>
      <c r="N1685" s="78"/>
      <c r="P1685" s="85"/>
    </row>
    <row r="1686" spans="11:16">
      <c r="K1686" s="85">
        <v>29</v>
      </c>
      <c r="N1686" s="78"/>
      <c r="P1686" s="85"/>
    </row>
    <row r="1687" spans="11:16">
      <c r="K1687" s="85">
        <v>32</v>
      </c>
      <c r="N1687" s="78"/>
      <c r="P1687" s="85"/>
    </row>
    <row r="1688" spans="11:16">
      <c r="K1688" s="85">
        <v>34</v>
      </c>
      <c r="N1688" s="78"/>
      <c r="P1688" s="85"/>
    </row>
    <row r="1689" spans="11:16">
      <c r="K1689" s="85">
        <v>35</v>
      </c>
      <c r="N1689" s="78"/>
      <c r="P1689" s="85"/>
    </row>
    <row r="1690" spans="11:16">
      <c r="K1690" s="85">
        <v>25</v>
      </c>
      <c r="N1690" s="78"/>
      <c r="P1690" s="85"/>
    </row>
    <row r="1691" spans="11:16">
      <c r="K1691" s="85">
        <v>26</v>
      </c>
      <c r="N1691" s="78"/>
      <c r="P1691" s="85"/>
    </row>
    <row r="1692" spans="11:16">
      <c r="K1692" s="85">
        <v>27</v>
      </c>
      <c r="N1692" s="78"/>
      <c r="P1692" s="85"/>
    </row>
    <row r="1693" spans="11:16">
      <c r="K1693" s="85">
        <v>28</v>
      </c>
      <c r="N1693" s="78"/>
      <c r="P1693" s="85"/>
    </row>
    <row r="1694" spans="11:16">
      <c r="K1694" s="85">
        <v>29</v>
      </c>
      <c r="N1694" s="78"/>
      <c r="P1694" s="85"/>
    </row>
    <row r="1695" spans="11:16">
      <c r="K1695" s="85">
        <v>30</v>
      </c>
      <c r="N1695" s="78"/>
      <c r="P1695" s="85"/>
    </row>
    <row r="1696" spans="11:16">
      <c r="K1696" s="85">
        <v>34</v>
      </c>
      <c r="N1696" s="78"/>
      <c r="P1696" s="85"/>
    </row>
    <row r="1697" spans="11:16">
      <c r="K1697" s="85">
        <v>35</v>
      </c>
      <c r="N1697" s="78"/>
      <c r="P1697" s="85"/>
    </row>
    <row r="1698" spans="11:16">
      <c r="K1698" s="85">
        <v>31</v>
      </c>
      <c r="N1698" s="78"/>
      <c r="P1698" s="85"/>
    </row>
    <row r="1699" spans="11:16">
      <c r="K1699" s="85">
        <v>27</v>
      </c>
      <c r="N1699" s="78"/>
      <c r="P1699" s="85"/>
    </row>
    <row r="1700" spans="11:16">
      <c r="K1700" s="85">
        <v>32</v>
      </c>
      <c r="N1700" s="78"/>
      <c r="P1700" s="85"/>
    </row>
    <row r="1701" spans="11:16">
      <c r="K1701" s="85">
        <v>35</v>
      </c>
      <c r="N1701" s="78"/>
      <c r="P1701" s="85"/>
    </row>
    <row r="1702" spans="11:16">
      <c r="K1702" s="85">
        <v>27</v>
      </c>
      <c r="N1702" s="78"/>
      <c r="P1702" s="85"/>
    </row>
    <row r="1703" spans="11:16">
      <c r="K1703" s="85">
        <v>28</v>
      </c>
      <c r="N1703" s="78"/>
      <c r="P1703" s="85"/>
    </row>
    <row r="1704" spans="11:16">
      <c r="K1704" s="85">
        <v>31</v>
      </c>
      <c r="N1704" s="78"/>
      <c r="P1704" s="85"/>
    </row>
    <row r="1705" spans="11:16">
      <c r="K1705" s="85">
        <v>33</v>
      </c>
      <c r="N1705" s="78"/>
      <c r="P1705" s="85"/>
    </row>
    <row r="1706" spans="11:16">
      <c r="K1706" s="85">
        <v>35</v>
      </c>
      <c r="N1706" s="78"/>
      <c r="P1706" s="85"/>
    </row>
    <row r="1707" spans="11:16">
      <c r="K1707" s="85">
        <v>25</v>
      </c>
      <c r="N1707" s="78"/>
      <c r="P1707" s="85"/>
    </row>
    <row r="1708" spans="11:16">
      <c r="K1708" s="85">
        <v>26</v>
      </c>
      <c r="N1708" s="78"/>
      <c r="P1708" s="85"/>
    </row>
    <row r="1709" spans="11:16">
      <c r="K1709" s="85">
        <v>27</v>
      </c>
      <c r="N1709" s="78"/>
      <c r="P1709" s="85"/>
    </row>
    <row r="1710" spans="11:16">
      <c r="K1710" s="85">
        <v>28</v>
      </c>
      <c r="N1710" s="78"/>
      <c r="P1710" s="85"/>
    </row>
    <row r="1711" spans="11:16">
      <c r="K1711" s="85">
        <v>30</v>
      </c>
      <c r="N1711" s="78"/>
      <c r="P1711" s="85"/>
    </row>
    <row r="1712" spans="11:16">
      <c r="K1712" s="85">
        <v>31</v>
      </c>
      <c r="N1712" s="78"/>
      <c r="P1712" s="85"/>
    </row>
    <row r="1713" spans="11:16">
      <c r="K1713" s="85">
        <v>32</v>
      </c>
      <c r="N1713" s="78"/>
      <c r="P1713" s="85"/>
    </row>
    <row r="1714" spans="11:16">
      <c r="K1714" s="85">
        <v>33</v>
      </c>
      <c r="N1714" s="78"/>
      <c r="P1714" s="85"/>
    </row>
    <row r="1715" spans="11:16">
      <c r="K1715" s="85">
        <v>34</v>
      </c>
      <c r="N1715" s="78"/>
      <c r="P1715" s="85"/>
    </row>
    <row r="1716" spans="11:16">
      <c r="K1716" s="85">
        <v>35</v>
      </c>
      <c r="N1716" s="78"/>
      <c r="P1716" s="85"/>
    </row>
    <row r="1717" spans="11:16">
      <c r="K1717" s="85">
        <v>36</v>
      </c>
      <c r="N1717" s="78"/>
      <c r="P1717" s="85"/>
    </row>
    <row r="1718" spans="11:16">
      <c r="K1718" s="85">
        <v>35</v>
      </c>
      <c r="N1718" s="78"/>
      <c r="P1718" s="85"/>
    </row>
    <row r="1719" spans="11:16">
      <c r="K1719" s="85">
        <v>25</v>
      </c>
      <c r="N1719" s="78"/>
      <c r="P1719" s="85"/>
    </row>
    <row r="1720" spans="11:16">
      <c r="K1720" s="85">
        <v>26</v>
      </c>
      <c r="N1720" s="78"/>
      <c r="P1720" s="85"/>
    </row>
    <row r="1721" spans="11:16">
      <c r="K1721" s="85">
        <v>27</v>
      </c>
      <c r="N1721" s="78"/>
      <c r="P1721" s="85"/>
    </row>
    <row r="1722" spans="11:16">
      <c r="K1722" s="85">
        <v>31</v>
      </c>
      <c r="N1722" s="78"/>
      <c r="P1722" s="85"/>
    </row>
    <row r="1723" spans="11:16">
      <c r="K1723" s="85">
        <v>32</v>
      </c>
      <c r="N1723" s="78"/>
      <c r="P1723" s="85"/>
    </row>
    <row r="1724" spans="11:16">
      <c r="K1724" s="85">
        <v>33</v>
      </c>
      <c r="N1724" s="78"/>
      <c r="P1724" s="85"/>
    </row>
    <row r="1725" spans="11:16">
      <c r="K1725" s="85">
        <v>34</v>
      </c>
      <c r="N1725" s="78"/>
      <c r="P1725" s="85"/>
    </row>
    <row r="1726" spans="11:16">
      <c r="K1726" s="85">
        <v>35</v>
      </c>
      <c r="N1726" s="78"/>
      <c r="P1726" s="85"/>
    </row>
    <row r="1727" spans="11:16">
      <c r="K1727" s="85">
        <v>25</v>
      </c>
      <c r="N1727" s="78"/>
      <c r="P1727" s="85"/>
    </row>
    <row r="1728" spans="11:16">
      <c r="K1728" s="85">
        <v>26</v>
      </c>
      <c r="N1728" s="78"/>
      <c r="P1728" s="85"/>
    </row>
    <row r="1729" spans="11:16">
      <c r="K1729" s="85">
        <v>27</v>
      </c>
      <c r="N1729" s="78"/>
      <c r="P1729" s="85"/>
    </row>
    <row r="1730" spans="11:16">
      <c r="K1730" s="85">
        <v>28</v>
      </c>
      <c r="N1730" s="78"/>
      <c r="P1730" s="85"/>
    </row>
    <row r="1731" spans="11:16">
      <c r="K1731" s="85">
        <v>29</v>
      </c>
      <c r="N1731" s="78"/>
      <c r="P1731" s="85"/>
    </row>
    <row r="1732" spans="11:16">
      <c r="K1732" s="85">
        <v>30</v>
      </c>
      <c r="N1732" s="78"/>
      <c r="P1732" s="85"/>
    </row>
    <row r="1733" spans="11:16">
      <c r="K1733" s="85">
        <v>31</v>
      </c>
      <c r="N1733" s="78"/>
      <c r="P1733" s="85"/>
    </row>
    <row r="1734" spans="11:16">
      <c r="K1734" s="85">
        <v>32</v>
      </c>
      <c r="N1734" s="78"/>
      <c r="P1734" s="85"/>
    </row>
    <row r="1735" spans="11:16">
      <c r="K1735" s="85">
        <v>33</v>
      </c>
      <c r="N1735" s="78"/>
      <c r="P1735" s="85"/>
    </row>
    <row r="1736" spans="11:16">
      <c r="K1736" s="85">
        <v>34</v>
      </c>
      <c r="N1736" s="78"/>
      <c r="P1736" s="85"/>
    </row>
    <row r="1737" spans="11:16">
      <c r="K1737" s="85">
        <v>35</v>
      </c>
      <c r="N1737" s="78"/>
      <c r="P1737" s="85"/>
    </row>
    <row r="1738" spans="11:16">
      <c r="K1738" s="85">
        <v>36</v>
      </c>
      <c r="N1738" s="78"/>
      <c r="P1738" s="85"/>
    </row>
    <row r="1739" spans="11:16">
      <c r="K1739" s="85">
        <v>25</v>
      </c>
      <c r="N1739" s="78"/>
      <c r="P1739" s="85"/>
    </row>
    <row r="1740" spans="11:16">
      <c r="K1740" s="85">
        <v>26</v>
      </c>
      <c r="N1740" s="78"/>
      <c r="P1740" s="85"/>
    </row>
    <row r="1741" spans="11:16">
      <c r="K1741" s="85">
        <v>27</v>
      </c>
      <c r="N1741" s="78"/>
      <c r="P1741" s="85"/>
    </row>
    <row r="1742" spans="11:16">
      <c r="K1742" s="85">
        <v>28</v>
      </c>
      <c r="N1742" s="78"/>
      <c r="P1742" s="85"/>
    </row>
    <row r="1743" spans="11:16">
      <c r="K1743" s="85">
        <v>30</v>
      </c>
      <c r="N1743" s="78"/>
      <c r="P1743" s="85"/>
    </row>
    <row r="1744" spans="11:16">
      <c r="K1744" s="85">
        <v>31</v>
      </c>
      <c r="N1744" s="78"/>
      <c r="P1744" s="85"/>
    </row>
    <row r="1745" spans="11:16">
      <c r="K1745" s="85">
        <v>32</v>
      </c>
      <c r="N1745" s="78"/>
      <c r="P1745" s="85"/>
    </row>
    <row r="1746" spans="11:16">
      <c r="K1746" s="85">
        <v>33</v>
      </c>
      <c r="N1746" s="78"/>
      <c r="P1746" s="85"/>
    </row>
    <row r="1747" spans="11:16">
      <c r="K1747" s="85">
        <v>34</v>
      </c>
      <c r="N1747" s="78"/>
      <c r="P1747" s="85"/>
    </row>
    <row r="1748" spans="11:16">
      <c r="K1748" s="85">
        <v>35</v>
      </c>
      <c r="N1748" s="78"/>
      <c r="P1748" s="85"/>
    </row>
    <row r="1749" spans="11:16">
      <c r="K1749" s="85">
        <v>36</v>
      </c>
      <c r="N1749" s="78"/>
      <c r="P1749" s="85"/>
    </row>
    <row r="1750" spans="11:16">
      <c r="K1750" s="85">
        <v>25</v>
      </c>
      <c r="N1750" s="78"/>
      <c r="P1750" s="85"/>
    </row>
    <row r="1751" spans="11:16">
      <c r="K1751" s="85">
        <v>26</v>
      </c>
      <c r="N1751" s="78"/>
      <c r="P1751" s="85"/>
    </row>
    <row r="1752" spans="11:16">
      <c r="K1752" s="85">
        <v>27</v>
      </c>
      <c r="N1752" s="78"/>
      <c r="P1752" s="85"/>
    </row>
    <row r="1753" spans="11:16">
      <c r="K1753" s="85">
        <v>31</v>
      </c>
      <c r="N1753" s="78"/>
      <c r="P1753" s="85"/>
    </row>
    <row r="1754" spans="11:16">
      <c r="K1754" s="85">
        <v>33</v>
      </c>
      <c r="N1754" s="78"/>
      <c r="P1754" s="85"/>
    </row>
    <row r="1755" spans="11:16">
      <c r="K1755" s="85">
        <v>35</v>
      </c>
      <c r="N1755" s="78"/>
      <c r="P1755" s="85"/>
    </row>
    <row r="1756" spans="11:16">
      <c r="K1756" s="85">
        <v>25</v>
      </c>
      <c r="N1756" s="78"/>
      <c r="P1756" s="85"/>
    </row>
    <row r="1757" spans="11:16">
      <c r="K1757" s="85">
        <v>26</v>
      </c>
      <c r="N1757" s="78"/>
      <c r="P1757" s="85"/>
    </row>
    <row r="1758" spans="11:16">
      <c r="K1758" s="85">
        <v>27</v>
      </c>
      <c r="N1758" s="78"/>
      <c r="P1758" s="85"/>
    </row>
    <row r="1759" spans="11:16">
      <c r="K1759" s="85">
        <v>28</v>
      </c>
      <c r="N1759" s="78"/>
      <c r="P1759" s="85"/>
    </row>
    <row r="1760" spans="11:16">
      <c r="K1760" s="85">
        <v>29</v>
      </c>
      <c r="N1760" s="78"/>
      <c r="P1760" s="85"/>
    </row>
    <row r="1761" spans="11:16">
      <c r="K1761" s="85">
        <v>30</v>
      </c>
      <c r="N1761" s="78"/>
      <c r="P1761" s="85"/>
    </row>
    <row r="1762" spans="11:16">
      <c r="K1762" s="85">
        <v>31</v>
      </c>
      <c r="N1762" s="78"/>
      <c r="P1762" s="85"/>
    </row>
    <row r="1763" spans="11:16">
      <c r="K1763" s="85">
        <v>32</v>
      </c>
      <c r="N1763" s="78"/>
      <c r="P1763" s="85"/>
    </row>
    <row r="1764" spans="11:16">
      <c r="K1764" s="85">
        <v>33</v>
      </c>
      <c r="N1764" s="78"/>
      <c r="P1764" s="85"/>
    </row>
    <row r="1765" spans="11:16">
      <c r="K1765" s="85">
        <v>34</v>
      </c>
      <c r="N1765" s="78"/>
      <c r="P1765" s="85"/>
    </row>
    <row r="1766" spans="11:16">
      <c r="K1766" s="85">
        <v>35</v>
      </c>
      <c r="N1766" s="78"/>
      <c r="P1766" s="85"/>
    </row>
    <row r="1767" spans="11:16">
      <c r="K1767" s="85">
        <v>36</v>
      </c>
      <c r="N1767" s="78"/>
      <c r="P1767" s="85"/>
    </row>
    <row r="1768" spans="11:16">
      <c r="K1768" s="85">
        <v>25</v>
      </c>
      <c r="N1768" s="78"/>
      <c r="P1768" s="85"/>
    </row>
    <row r="1769" spans="11:16">
      <c r="K1769" s="85">
        <v>26</v>
      </c>
      <c r="N1769" s="78"/>
      <c r="P1769" s="85"/>
    </row>
    <row r="1770" spans="11:16">
      <c r="K1770" s="85">
        <v>27</v>
      </c>
      <c r="N1770" s="78"/>
      <c r="P1770" s="85"/>
    </row>
    <row r="1771" spans="11:16">
      <c r="K1771" s="85">
        <v>28</v>
      </c>
      <c r="N1771" s="78"/>
      <c r="P1771" s="85"/>
    </row>
    <row r="1772" spans="11:16">
      <c r="K1772" s="85">
        <v>29</v>
      </c>
      <c r="N1772" s="78"/>
      <c r="P1772" s="85"/>
    </row>
    <row r="1773" spans="11:16">
      <c r="K1773" s="85">
        <v>30</v>
      </c>
      <c r="N1773" s="78"/>
      <c r="P1773" s="85"/>
    </row>
    <row r="1774" spans="11:16">
      <c r="K1774" s="85">
        <v>31</v>
      </c>
      <c r="N1774" s="78"/>
      <c r="P1774" s="85"/>
    </row>
    <row r="1775" spans="11:16">
      <c r="K1775" s="85">
        <v>32</v>
      </c>
      <c r="N1775" s="78"/>
      <c r="P1775" s="85"/>
    </row>
    <row r="1776" spans="11:16">
      <c r="K1776" s="85">
        <v>33</v>
      </c>
      <c r="N1776" s="78"/>
      <c r="P1776" s="85"/>
    </row>
    <row r="1777" spans="11:16">
      <c r="K1777" s="85">
        <v>34</v>
      </c>
      <c r="N1777" s="78"/>
      <c r="P1777" s="85"/>
    </row>
    <row r="1778" spans="11:16">
      <c r="K1778" s="85">
        <v>35</v>
      </c>
      <c r="N1778" s="78"/>
      <c r="P1778" s="85"/>
    </row>
    <row r="1779" spans="11:16">
      <c r="K1779" s="85">
        <v>36</v>
      </c>
      <c r="N1779" s="78"/>
      <c r="P1779" s="85"/>
    </row>
    <row r="1780" spans="11:16">
      <c r="K1780" s="85">
        <v>25</v>
      </c>
      <c r="N1780" s="78"/>
      <c r="P1780" s="85"/>
    </row>
    <row r="1781" spans="11:16">
      <c r="K1781" s="85">
        <v>26</v>
      </c>
      <c r="N1781" s="78"/>
      <c r="P1781" s="85"/>
    </row>
    <row r="1782" spans="11:16">
      <c r="K1782" s="85">
        <v>27</v>
      </c>
      <c r="N1782" s="78"/>
      <c r="P1782" s="85"/>
    </row>
    <row r="1783" spans="11:16">
      <c r="K1783" s="85">
        <v>28</v>
      </c>
      <c r="N1783" s="78"/>
      <c r="P1783" s="85"/>
    </row>
    <row r="1784" spans="11:16">
      <c r="K1784" s="85">
        <v>29</v>
      </c>
      <c r="N1784" s="78"/>
      <c r="P1784" s="85"/>
    </row>
    <row r="1785" spans="11:16">
      <c r="K1785" s="85">
        <v>30</v>
      </c>
      <c r="N1785" s="78"/>
      <c r="P1785" s="85"/>
    </row>
    <row r="1786" spans="11:16">
      <c r="K1786" s="85">
        <v>31</v>
      </c>
      <c r="N1786" s="78"/>
      <c r="P1786" s="85"/>
    </row>
    <row r="1787" spans="11:16">
      <c r="K1787" s="85">
        <v>32</v>
      </c>
      <c r="N1787" s="78"/>
      <c r="P1787" s="85"/>
    </row>
    <row r="1788" spans="11:16">
      <c r="K1788" s="85">
        <v>33</v>
      </c>
      <c r="N1788" s="78"/>
      <c r="P1788" s="85"/>
    </row>
    <row r="1789" spans="11:16">
      <c r="K1789" s="85">
        <v>34</v>
      </c>
      <c r="N1789" s="78"/>
      <c r="P1789" s="85"/>
    </row>
    <row r="1790" spans="11:16">
      <c r="K1790" s="85">
        <v>35</v>
      </c>
      <c r="N1790" s="78"/>
      <c r="P1790" s="85"/>
    </row>
    <row r="1791" spans="11:16">
      <c r="K1791" s="85">
        <v>36</v>
      </c>
      <c r="N1791" s="78"/>
      <c r="P1791" s="85"/>
    </row>
    <row r="1792" spans="11:16">
      <c r="K1792" s="85">
        <v>25</v>
      </c>
      <c r="N1792" s="78"/>
      <c r="P1792" s="85"/>
    </row>
    <row r="1793" spans="11:16">
      <c r="K1793" s="85">
        <v>26</v>
      </c>
      <c r="N1793" s="78"/>
      <c r="P1793" s="85"/>
    </row>
    <row r="1794" spans="11:16">
      <c r="K1794" s="85">
        <v>27</v>
      </c>
      <c r="N1794" s="78"/>
      <c r="P1794" s="85"/>
    </row>
    <row r="1795" spans="11:16">
      <c r="K1795" s="85">
        <v>28</v>
      </c>
      <c r="N1795" s="78"/>
      <c r="P1795" s="85"/>
    </row>
    <row r="1796" spans="11:16">
      <c r="K1796" s="85">
        <v>29</v>
      </c>
      <c r="N1796" s="78"/>
      <c r="P1796" s="85"/>
    </row>
    <row r="1797" spans="11:16">
      <c r="K1797" s="85">
        <v>30</v>
      </c>
      <c r="N1797" s="78"/>
      <c r="P1797" s="85"/>
    </row>
    <row r="1798" spans="11:16">
      <c r="K1798" s="85">
        <v>31</v>
      </c>
      <c r="N1798" s="78"/>
      <c r="P1798" s="85"/>
    </row>
    <row r="1799" spans="11:16">
      <c r="K1799" s="85">
        <v>32</v>
      </c>
      <c r="N1799" s="78"/>
      <c r="P1799" s="85"/>
    </row>
    <row r="1800" spans="11:16">
      <c r="K1800" s="85">
        <v>35</v>
      </c>
      <c r="N1800" s="78"/>
      <c r="P1800" s="85"/>
    </row>
    <row r="1801" spans="11:16">
      <c r="K1801" s="85">
        <v>36</v>
      </c>
      <c r="N1801" s="78"/>
      <c r="P1801" s="85"/>
    </row>
    <row r="1802" spans="11:16">
      <c r="K1802" s="85">
        <v>25</v>
      </c>
      <c r="N1802" s="78"/>
      <c r="P1802" s="85"/>
    </row>
    <row r="1803" spans="11:16">
      <c r="K1803" s="85">
        <v>27</v>
      </c>
      <c r="N1803" s="78"/>
      <c r="P1803" s="85"/>
    </row>
    <row r="1804" spans="11:16">
      <c r="K1804" s="85">
        <v>31</v>
      </c>
      <c r="N1804" s="78"/>
      <c r="P1804" s="85"/>
    </row>
    <row r="1805" spans="11:16">
      <c r="K1805" s="85">
        <v>25</v>
      </c>
      <c r="N1805" s="78"/>
      <c r="P1805" s="85"/>
    </row>
    <row r="1806" spans="11:16">
      <c r="K1806" s="85">
        <v>26</v>
      </c>
      <c r="N1806" s="78"/>
      <c r="P1806" s="85"/>
    </row>
    <row r="1807" spans="11:16">
      <c r="K1807" s="85">
        <v>27</v>
      </c>
      <c r="N1807" s="78"/>
      <c r="P1807" s="85"/>
    </row>
    <row r="1808" spans="11:16">
      <c r="K1808" s="85">
        <v>28</v>
      </c>
      <c r="N1808" s="78"/>
      <c r="P1808" s="85"/>
    </row>
    <row r="1809" spans="11:16">
      <c r="K1809" s="85">
        <v>29</v>
      </c>
      <c r="N1809" s="78"/>
      <c r="P1809" s="85"/>
    </row>
    <row r="1810" spans="11:16">
      <c r="K1810" s="85">
        <v>30</v>
      </c>
      <c r="N1810" s="78"/>
      <c r="P1810" s="85"/>
    </row>
    <row r="1811" spans="11:16">
      <c r="K1811" s="85">
        <v>31</v>
      </c>
      <c r="N1811" s="78"/>
      <c r="P1811" s="85"/>
    </row>
    <row r="1812" spans="11:16">
      <c r="K1812" s="85">
        <v>32</v>
      </c>
      <c r="N1812" s="78"/>
      <c r="P1812" s="85"/>
    </row>
    <row r="1813" spans="11:16">
      <c r="K1813" s="85">
        <v>33</v>
      </c>
      <c r="N1813" s="78"/>
      <c r="P1813" s="85"/>
    </row>
    <row r="1814" spans="11:16">
      <c r="K1814" s="85">
        <v>35</v>
      </c>
      <c r="N1814" s="78"/>
      <c r="P1814" s="85"/>
    </row>
    <row r="1815" spans="11:16">
      <c r="K1815" s="85">
        <v>36</v>
      </c>
      <c r="N1815" s="78"/>
      <c r="P1815" s="85"/>
    </row>
    <row r="1816" spans="11:16">
      <c r="K1816" s="85">
        <v>25</v>
      </c>
      <c r="N1816" s="78"/>
      <c r="P1816" s="85"/>
    </row>
    <row r="1817" spans="11:16">
      <c r="K1817" s="85">
        <v>26</v>
      </c>
      <c r="N1817" s="78"/>
      <c r="P1817" s="85"/>
    </row>
    <row r="1818" spans="11:16">
      <c r="K1818" s="85">
        <v>27</v>
      </c>
      <c r="N1818" s="78"/>
      <c r="P1818" s="85"/>
    </row>
    <row r="1819" spans="11:16">
      <c r="K1819" s="85">
        <v>28</v>
      </c>
      <c r="N1819" s="78"/>
      <c r="P1819" s="85"/>
    </row>
    <row r="1820" spans="11:16">
      <c r="K1820" s="85">
        <v>29</v>
      </c>
      <c r="N1820" s="78"/>
      <c r="P1820" s="85"/>
    </row>
    <row r="1821" spans="11:16">
      <c r="K1821" s="85">
        <v>30</v>
      </c>
      <c r="N1821" s="78"/>
      <c r="P1821" s="85"/>
    </row>
    <row r="1822" spans="11:16">
      <c r="K1822" s="85">
        <v>31</v>
      </c>
      <c r="N1822" s="78"/>
      <c r="P1822" s="85"/>
    </row>
    <row r="1823" spans="11:16">
      <c r="K1823" s="85">
        <v>32</v>
      </c>
      <c r="N1823" s="78"/>
      <c r="P1823" s="85"/>
    </row>
    <row r="1824" spans="11:16">
      <c r="K1824" s="85">
        <v>34</v>
      </c>
      <c r="N1824" s="78"/>
      <c r="P1824" s="85"/>
    </row>
    <row r="1825" spans="11:16">
      <c r="K1825" s="85">
        <v>35</v>
      </c>
      <c r="N1825" s="78"/>
      <c r="P1825" s="85"/>
    </row>
    <row r="1826" spans="11:16">
      <c r="K1826" s="85">
        <v>36</v>
      </c>
      <c r="N1826" s="78"/>
      <c r="P1826" s="85"/>
    </row>
    <row r="1827" spans="11:16">
      <c r="K1827" s="85">
        <v>25</v>
      </c>
      <c r="N1827" s="78"/>
      <c r="P1827" s="85"/>
    </row>
    <row r="1828" spans="11:16">
      <c r="K1828" s="85">
        <v>27</v>
      </c>
      <c r="N1828" s="78"/>
      <c r="P1828" s="85"/>
    </row>
    <row r="1829" spans="11:16">
      <c r="K1829" s="85">
        <v>31</v>
      </c>
      <c r="N1829" s="78"/>
      <c r="P1829" s="85"/>
    </row>
    <row r="1830" spans="11:16">
      <c r="K1830" s="85">
        <v>33</v>
      </c>
      <c r="N1830" s="78"/>
      <c r="P1830" s="85"/>
    </row>
    <row r="1831" spans="11:16">
      <c r="K1831" s="85">
        <v>36</v>
      </c>
      <c r="N1831" s="78"/>
      <c r="P1831" s="85"/>
    </row>
    <row r="1832" spans="11:16">
      <c r="K1832" s="85">
        <v>31</v>
      </c>
      <c r="N1832" s="78"/>
      <c r="P1832" s="85"/>
    </row>
    <row r="1833" spans="11:16">
      <c r="K1833" s="85">
        <v>27</v>
      </c>
      <c r="N1833" s="78"/>
      <c r="P1833" s="85"/>
    </row>
    <row r="1834" spans="11:16">
      <c r="K1834" s="85">
        <v>30</v>
      </c>
      <c r="N1834" s="78"/>
      <c r="P1834" s="85"/>
    </row>
    <row r="1835" spans="11:16">
      <c r="K1835" s="85">
        <v>31</v>
      </c>
      <c r="N1835" s="78"/>
      <c r="P1835" s="85"/>
    </row>
    <row r="1836" spans="11:16">
      <c r="K1836" s="85">
        <v>32</v>
      </c>
      <c r="N1836" s="78"/>
      <c r="P1836" s="85"/>
    </row>
    <row r="1837" spans="11:16">
      <c r="K1837" s="85">
        <v>34</v>
      </c>
      <c r="N1837" s="78"/>
      <c r="P1837" s="85"/>
    </row>
    <row r="1838" spans="11:16">
      <c r="K1838" s="85">
        <v>35</v>
      </c>
      <c r="N1838" s="78"/>
      <c r="P1838" s="85"/>
    </row>
    <row r="1839" spans="11:16">
      <c r="K1839" s="85">
        <v>25</v>
      </c>
      <c r="N1839" s="78"/>
      <c r="P1839" s="85"/>
    </row>
    <row r="1840" spans="11:16">
      <c r="K1840" s="85">
        <v>26</v>
      </c>
      <c r="N1840" s="78"/>
      <c r="P1840" s="85"/>
    </row>
    <row r="1841" spans="11:16">
      <c r="K1841" s="85">
        <v>27</v>
      </c>
      <c r="N1841" s="78"/>
      <c r="P1841" s="85"/>
    </row>
    <row r="1842" spans="11:16">
      <c r="K1842" s="85">
        <v>28</v>
      </c>
      <c r="N1842" s="78"/>
      <c r="P1842" s="85"/>
    </row>
    <row r="1843" spans="11:16">
      <c r="K1843" s="85">
        <v>29</v>
      </c>
      <c r="N1843" s="78"/>
      <c r="P1843" s="85"/>
    </row>
    <row r="1844" spans="11:16">
      <c r="K1844" s="85">
        <v>30</v>
      </c>
      <c r="N1844" s="78"/>
      <c r="P1844" s="85"/>
    </row>
    <row r="1845" spans="11:16">
      <c r="K1845" s="85">
        <v>31</v>
      </c>
      <c r="N1845" s="78"/>
      <c r="P1845" s="85"/>
    </row>
    <row r="1846" spans="11:16">
      <c r="K1846" s="85">
        <v>32</v>
      </c>
      <c r="N1846" s="78"/>
      <c r="P1846" s="85"/>
    </row>
    <row r="1847" spans="11:16">
      <c r="K1847" s="85">
        <v>34</v>
      </c>
      <c r="N1847" s="78"/>
      <c r="P1847" s="85"/>
    </row>
    <row r="1848" spans="11:16">
      <c r="K1848" s="85">
        <v>35</v>
      </c>
      <c r="N1848" s="78"/>
      <c r="P1848" s="85"/>
    </row>
    <row r="1849" spans="11:16">
      <c r="K1849" s="85">
        <v>36</v>
      </c>
      <c r="N1849" s="78"/>
      <c r="P1849" s="85"/>
    </row>
    <row r="1850" spans="11:16">
      <c r="K1850" s="85">
        <v>25</v>
      </c>
      <c r="N1850" s="78"/>
      <c r="P1850" s="85"/>
    </row>
    <row r="1851" spans="11:16">
      <c r="K1851" s="85">
        <v>26</v>
      </c>
      <c r="N1851" s="78"/>
      <c r="P1851" s="85"/>
    </row>
    <row r="1852" spans="11:16">
      <c r="K1852" s="85">
        <v>27</v>
      </c>
      <c r="N1852" s="78"/>
      <c r="P1852" s="85"/>
    </row>
    <row r="1853" spans="11:16">
      <c r="K1853" s="85">
        <v>28</v>
      </c>
      <c r="N1853" s="78"/>
      <c r="P1853" s="85"/>
    </row>
    <row r="1854" spans="11:16">
      <c r="K1854" s="85">
        <v>29</v>
      </c>
      <c r="N1854" s="78"/>
      <c r="P1854" s="85"/>
    </row>
    <row r="1855" spans="11:16">
      <c r="K1855" s="85">
        <v>30</v>
      </c>
      <c r="N1855" s="78"/>
      <c r="P1855" s="85"/>
    </row>
    <row r="1856" spans="11:16">
      <c r="K1856" s="85">
        <v>31</v>
      </c>
      <c r="N1856" s="78"/>
      <c r="P1856" s="85"/>
    </row>
    <row r="1857" spans="11:16">
      <c r="K1857" s="85">
        <v>32</v>
      </c>
      <c r="N1857" s="78"/>
      <c r="P1857" s="85"/>
    </row>
    <row r="1858" spans="11:16">
      <c r="K1858" s="85">
        <v>33</v>
      </c>
      <c r="N1858" s="78"/>
      <c r="P1858" s="85"/>
    </row>
    <row r="1859" spans="11:16">
      <c r="K1859" s="85">
        <v>34</v>
      </c>
      <c r="N1859" s="78"/>
      <c r="P1859" s="85"/>
    </row>
    <row r="1860" spans="11:16">
      <c r="K1860" s="85">
        <v>35</v>
      </c>
      <c r="N1860" s="78"/>
      <c r="P1860" s="85"/>
    </row>
    <row r="1861" spans="11:16">
      <c r="K1861" s="85">
        <v>36</v>
      </c>
      <c r="N1861" s="78"/>
      <c r="P1861" s="85"/>
    </row>
    <row r="1862" spans="11:16">
      <c r="K1862" s="85">
        <v>25</v>
      </c>
      <c r="N1862" s="78"/>
      <c r="P1862" s="85"/>
    </row>
    <row r="1863" spans="11:16">
      <c r="K1863" s="85">
        <v>26</v>
      </c>
      <c r="N1863" s="78"/>
      <c r="P1863" s="85"/>
    </row>
    <row r="1864" spans="11:16">
      <c r="K1864" s="85">
        <v>27</v>
      </c>
      <c r="N1864" s="78"/>
      <c r="P1864" s="85"/>
    </row>
    <row r="1865" spans="11:16">
      <c r="K1865" s="85">
        <v>29</v>
      </c>
      <c r="N1865" s="78"/>
      <c r="P1865" s="85"/>
    </row>
    <row r="1866" spans="11:16">
      <c r="K1866" s="85">
        <v>31</v>
      </c>
      <c r="N1866" s="78"/>
      <c r="P1866" s="85"/>
    </row>
    <row r="1867" spans="11:16">
      <c r="K1867" s="85">
        <v>32</v>
      </c>
      <c r="N1867" s="78"/>
      <c r="P1867" s="85"/>
    </row>
    <row r="1868" spans="11:16">
      <c r="K1868" s="85">
        <v>33</v>
      </c>
      <c r="N1868" s="78"/>
      <c r="P1868" s="85"/>
    </row>
    <row r="1869" spans="11:16">
      <c r="K1869" s="85">
        <v>34</v>
      </c>
      <c r="N1869" s="78"/>
      <c r="P1869" s="85"/>
    </row>
    <row r="1870" spans="11:16">
      <c r="K1870" s="85">
        <v>35</v>
      </c>
      <c r="N1870" s="78"/>
      <c r="P1870" s="85"/>
    </row>
    <row r="1871" spans="11:16">
      <c r="K1871" s="85">
        <v>36</v>
      </c>
      <c r="N1871" s="78"/>
      <c r="P1871" s="85"/>
    </row>
    <row r="1872" spans="11:16">
      <c r="K1872" s="85">
        <v>27</v>
      </c>
      <c r="N1872" s="78"/>
      <c r="P1872" s="85"/>
    </row>
    <row r="1873" spans="11:16">
      <c r="K1873" s="85">
        <v>31</v>
      </c>
      <c r="N1873" s="78"/>
      <c r="P1873" s="85"/>
    </row>
    <row r="1874" spans="11:16">
      <c r="K1874" s="85">
        <v>32</v>
      </c>
      <c r="N1874" s="78"/>
      <c r="P1874" s="85"/>
    </row>
    <row r="1875" spans="11:16">
      <c r="K1875" s="85">
        <v>34</v>
      </c>
      <c r="N1875" s="78"/>
      <c r="P1875" s="85"/>
    </row>
    <row r="1876" spans="11:16">
      <c r="K1876" s="85">
        <v>36</v>
      </c>
      <c r="N1876" s="78"/>
      <c r="P1876" s="85"/>
    </row>
    <row r="1877" spans="11:16">
      <c r="K1877" s="85">
        <v>25</v>
      </c>
      <c r="N1877" s="78"/>
      <c r="P1877" s="85"/>
    </row>
    <row r="1878" spans="11:16">
      <c r="K1878" s="85">
        <v>26</v>
      </c>
      <c r="N1878" s="78"/>
      <c r="P1878" s="85"/>
    </row>
    <row r="1879" spans="11:16">
      <c r="K1879" s="85">
        <v>27</v>
      </c>
      <c r="N1879" s="78"/>
      <c r="P1879" s="85"/>
    </row>
    <row r="1880" spans="11:16">
      <c r="K1880" s="85">
        <v>28</v>
      </c>
      <c r="N1880" s="78"/>
      <c r="P1880" s="85"/>
    </row>
    <row r="1881" spans="11:16">
      <c r="K1881" s="85">
        <v>29</v>
      </c>
      <c r="N1881" s="78"/>
      <c r="P1881" s="85"/>
    </row>
    <row r="1882" spans="11:16">
      <c r="K1882" s="85">
        <v>30</v>
      </c>
      <c r="N1882" s="78"/>
      <c r="P1882" s="85"/>
    </row>
    <row r="1883" spans="11:16">
      <c r="K1883" s="85">
        <v>31</v>
      </c>
      <c r="N1883" s="78"/>
      <c r="P1883" s="85"/>
    </row>
    <row r="1884" spans="11:16">
      <c r="K1884" s="85">
        <v>32</v>
      </c>
      <c r="N1884" s="78"/>
      <c r="P1884" s="85"/>
    </row>
    <row r="1885" spans="11:16">
      <c r="K1885" s="85">
        <v>33</v>
      </c>
      <c r="N1885" s="78"/>
      <c r="P1885" s="85"/>
    </row>
    <row r="1886" spans="11:16">
      <c r="K1886" s="85">
        <v>34</v>
      </c>
      <c r="N1886" s="78"/>
      <c r="P1886" s="85"/>
    </row>
    <row r="1887" spans="11:16">
      <c r="K1887" s="85">
        <v>35</v>
      </c>
      <c r="N1887" s="78"/>
      <c r="P1887" s="85"/>
    </row>
    <row r="1888" spans="11:16">
      <c r="K1888" s="85">
        <v>36</v>
      </c>
      <c r="N1888" s="78"/>
      <c r="P1888" s="85"/>
    </row>
    <row r="1889" spans="11:16">
      <c r="K1889" s="85">
        <v>25</v>
      </c>
      <c r="N1889" s="78"/>
      <c r="P1889" s="85"/>
    </row>
    <row r="1890" spans="11:16">
      <c r="K1890" s="85">
        <v>26</v>
      </c>
      <c r="N1890" s="78"/>
      <c r="P1890" s="85"/>
    </row>
    <row r="1891" spans="11:16">
      <c r="K1891" s="85">
        <v>27</v>
      </c>
      <c r="N1891" s="78"/>
      <c r="P1891" s="85"/>
    </row>
    <row r="1892" spans="11:16">
      <c r="K1892" s="85">
        <v>31</v>
      </c>
      <c r="N1892" s="78"/>
      <c r="P1892" s="85"/>
    </row>
    <row r="1893" spans="11:16">
      <c r="K1893" s="85">
        <v>32</v>
      </c>
      <c r="N1893" s="78"/>
      <c r="P1893" s="85"/>
    </row>
    <row r="1894" spans="11:16">
      <c r="K1894" s="85">
        <v>33</v>
      </c>
      <c r="N1894" s="78"/>
      <c r="P1894" s="85"/>
    </row>
    <row r="1895" spans="11:16">
      <c r="K1895" s="85">
        <v>34</v>
      </c>
      <c r="N1895" s="78"/>
      <c r="P1895" s="85"/>
    </row>
    <row r="1896" spans="11:16">
      <c r="K1896" s="85">
        <v>35</v>
      </c>
      <c r="N1896" s="78"/>
      <c r="P1896" s="85"/>
    </row>
    <row r="1897" spans="11:16">
      <c r="K1897" s="85">
        <v>25</v>
      </c>
      <c r="N1897" s="78"/>
      <c r="P1897" s="85"/>
    </row>
    <row r="1898" spans="11:16">
      <c r="K1898" s="85">
        <v>26</v>
      </c>
      <c r="N1898" s="78"/>
      <c r="P1898" s="85"/>
    </row>
    <row r="1899" spans="11:16">
      <c r="K1899" s="85">
        <v>27</v>
      </c>
      <c r="N1899" s="78"/>
      <c r="P1899" s="85"/>
    </row>
    <row r="1900" spans="11:16">
      <c r="K1900" s="85">
        <v>28</v>
      </c>
      <c r="N1900" s="78"/>
      <c r="P1900" s="85"/>
    </row>
    <row r="1901" spans="11:16">
      <c r="K1901" s="85">
        <v>29</v>
      </c>
      <c r="N1901" s="78"/>
      <c r="P1901" s="85"/>
    </row>
    <row r="1902" spans="11:16">
      <c r="K1902" s="85">
        <v>30</v>
      </c>
      <c r="N1902" s="78"/>
      <c r="P1902" s="85"/>
    </row>
    <row r="1903" spans="11:16">
      <c r="K1903" s="85">
        <v>31</v>
      </c>
      <c r="N1903" s="78"/>
      <c r="P1903" s="85"/>
    </row>
    <row r="1904" spans="11:16">
      <c r="K1904" s="85">
        <v>32</v>
      </c>
      <c r="N1904" s="78"/>
      <c r="P1904" s="85"/>
    </row>
    <row r="1905" spans="11:16">
      <c r="K1905" s="85">
        <v>33</v>
      </c>
      <c r="N1905" s="78"/>
      <c r="P1905" s="85"/>
    </row>
    <row r="1906" spans="11:16">
      <c r="K1906" s="85">
        <v>34</v>
      </c>
      <c r="N1906" s="78"/>
      <c r="P1906" s="85"/>
    </row>
    <row r="1907" spans="11:16">
      <c r="K1907" s="85">
        <v>35</v>
      </c>
      <c r="N1907" s="78"/>
      <c r="P1907" s="85"/>
    </row>
    <row r="1908" spans="11:16">
      <c r="K1908" s="85">
        <v>36</v>
      </c>
      <c r="N1908" s="78"/>
      <c r="P1908" s="85"/>
    </row>
    <row r="1909" spans="11:16">
      <c r="K1909" s="85">
        <v>27</v>
      </c>
      <c r="N1909" s="78"/>
      <c r="P1909" s="85"/>
    </row>
    <row r="1910" spans="11:16">
      <c r="K1910" s="85">
        <v>28</v>
      </c>
      <c r="N1910" s="78"/>
      <c r="P1910" s="85"/>
    </row>
    <row r="1911" spans="11:16">
      <c r="K1911" s="85">
        <v>31</v>
      </c>
      <c r="N1911" s="78"/>
      <c r="P1911" s="85"/>
    </row>
    <row r="1912" spans="11:16">
      <c r="K1912" s="85">
        <v>29</v>
      </c>
      <c r="N1912" s="78"/>
      <c r="P1912" s="85"/>
    </row>
    <row r="1913" spans="11:16">
      <c r="K1913" s="85">
        <v>31</v>
      </c>
      <c r="N1913" s="78"/>
      <c r="P1913" s="85"/>
    </row>
    <row r="1914" spans="11:16">
      <c r="K1914" s="85">
        <v>32</v>
      </c>
      <c r="N1914" s="78"/>
      <c r="P1914" s="85"/>
    </row>
    <row r="1915" spans="11:16">
      <c r="K1915" s="85">
        <v>25</v>
      </c>
      <c r="N1915" s="78"/>
      <c r="P1915" s="85"/>
    </row>
    <row r="1916" spans="11:16">
      <c r="K1916" s="85">
        <v>26</v>
      </c>
      <c r="N1916" s="78"/>
      <c r="P1916" s="85"/>
    </row>
    <row r="1917" spans="11:16">
      <c r="K1917" s="85">
        <v>27</v>
      </c>
      <c r="N1917" s="78"/>
      <c r="P1917" s="85"/>
    </row>
    <row r="1918" spans="11:16">
      <c r="K1918" s="85">
        <v>28</v>
      </c>
      <c r="N1918" s="78"/>
      <c r="P1918" s="85"/>
    </row>
    <row r="1919" spans="11:16">
      <c r="K1919" s="85">
        <v>29</v>
      </c>
      <c r="N1919" s="78"/>
      <c r="P1919" s="85"/>
    </row>
    <row r="1920" spans="11:16">
      <c r="K1920" s="85">
        <v>30</v>
      </c>
      <c r="N1920" s="78"/>
      <c r="P1920" s="85"/>
    </row>
    <row r="1921" spans="11:16">
      <c r="K1921" s="85">
        <v>31</v>
      </c>
      <c r="N1921" s="78"/>
      <c r="P1921" s="85"/>
    </row>
    <row r="1922" spans="11:16">
      <c r="K1922" s="85">
        <v>32</v>
      </c>
      <c r="N1922" s="78"/>
      <c r="P1922" s="85"/>
    </row>
    <row r="1923" spans="11:16">
      <c r="K1923" s="85">
        <v>33</v>
      </c>
      <c r="N1923" s="78"/>
      <c r="P1923" s="85"/>
    </row>
    <row r="1924" spans="11:16">
      <c r="K1924" s="85">
        <v>34</v>
      </c>
      <c r="N1924" s="78"/>
      <c r="P1924" s="85"/>
    </row>
    <row r="1925" spans="11:16">
      <c r="K1925" s="85">
        <v>35</v>
      </c>
      <c r="N1925" s="78"/>
      <c r="P1925" s="85"/>
    </row>
    <row r="1926" spans="11:16">
      <c r="K1926" s="85">
        <v>25</v>
      </c>
      <c r="N1926" s="78"/>
      <c r="P1926" s="85"/>
    </row>
    <row r="1927" spans="11:16">
      <c r="K1927" s="85">
        <v>26</v>
      </c>
      <c r="N1927" s="78"/>
      <c r="P1927" s="85"/>
    </row>
    <row r="1928" spans="11:16">
      <c r="K1928" s="85">
        <v>27</v>
      </c>
      <c r="N1928" s="78"/>
      <c r="P1928" s="85"/>
    </row>
    <row r="1929" spans="11:16">
      <c r="K1929" s="85">
        <v>28</v>
      </c>
      <c r="N1929" s="78"/>
      <c r="P1929" s="85"/>
    </row>
    <row r="1930" spans="11:16">
      <c r="K1930" s="85">
        <v>31</v>
      </c>
      <c r="N1930" s="78"/>
      <c r="P1930" s="85"/>
    </row>
    <row r="1931" spans="11:16">
      <c r="K1931" s="85">
        <v>32</v>
      </c>
      <c r="N1931" s="78"/>
      <c r="P1931" s="85"/>
    </row>
    <row r="1932" spans="11:16">
      <c r="K1932" s="85">
        <v>33</v>
      </c>
      <c r="N1932" s="78"/>
      <c r="P1932" s="85"/>
    </row>
    <row r="1933" spans="11:16">
      <c r="K1933" s="85">
        <v>34</v>
      </c>
      <c r="N1933" s="78"/>
      <c r="P1933" s="85"/>
    </row>
    <row r="1934" spans="11:16">
      <c r="K1934" s="85">
        <v>35</v>
      </c>
      <c r="N1934" s="78"/>
      <c r="P1934" s="85"/>
    </row>
    <row r="1935" spans="11:16">
      <c r="K1935" s="85">
        <v>36</v>
      </c>
      <c r="N1935" s="78"/>
      <c r="P1935" s="85"/>
    </row>
    <row r="1936" spans="11:16">
      <c r="K1936" s="85">
        <v>25</v>
      </c>
      <c r="N1936" s="78"/>
      <c r="P1936" s="85"/>
    </row>
    <row r="1937" spans="11:16">
      <c r="K1937" s="85">
        <v>26</v>
      </c>
      <c r="N1937" s="78"/>
      <c r="P1937" s="85"/>
    </row>
    <row r="1938" spans="11:16">
      <c r="K1938" s="85">
        <v>27</v>
      </c>
      <c r="N1938" s="78"/>
      <c r="P1938" s="85"/>
    </row>
    <row r="1939" spans="11:16">
      <c r="K1939" s="85">
        <v>29</v>
      </c>
      <c r="N1939" s="78"/>
      <c r="P1939" s="85"/>
    </row>
    <row r="1940" spans="11:16">
      <c r="K1940" s="85">
        <v>31</v>
      </c>
      <c r="N1940" s="78"/>
      <c r="P1940" s="85"/>
    </row>
    <row r="1941" spans="11:16">
      <c r="K1941" s="85">
        <v>34</v>
      </c>
      <c r="N1941" s="78"/>
      <c r="P1941" s="85"/>
    </row>
    <row r="1942" spans="11:16">
      <c r="K1942" s="85">
        <v>35</v>
      </c>
      <c r="N1942" s="78"/>
      <c r="P1942" s="85"/>
    </row>
    <row r="1943" spans="11:16">
      <c r="K1943" s="85">
        <v>25</v>
      </c>
      <c r="N1943" s="78"/>
      <c r="P1943" s="85"/>
    </row>
    <row r="1944" spans="11:16">
      <c r="K1944" s="85">
        <v>26</v>
      </c>
      <c r="N1944" s="78"/>
      <c r="P1944" s="85"/>
    </row>
    <row r="1945" spans="11:16">
      <c r="K1945" s="85">
        <v>27</v>
      </c>
      <c r="N1945" s="78"/>
      <c r="P1945" s="85"/>
    </row>
    <row r="1946" spans="11:16">
      <c r="K1946" s="85">
        <v>28</v>
      </c>
      <c r="N1946" s="78"/>
      <c r="P1946" s="85"/>
    </row>
    <row r="1947" spans="11:16">
      <c r="K1947" s="85">
        <v>29</v>
      </c>
      <c r="N1947" s="78"/>
      <c r="P1947" s="85"/>
    </row>
    <row r="1948" spans="11:16">
      <c r="K1948" s="85">
        <v>30</v>
      </c>
      <c r="N1948" s="78"/>
      <c r="P1948" s="85"/>
    </row>
    <row r="1949" spans="11:16">
      <c r="K1949" s="85">
        <v>31</v>
      </c>
      <c r="N1949" s="78"/>
      <c r="P1949" s="85"/>
    </row>
    <row r="1950" spans="11:16">
      <c r="K1950" s="85">
        <v>32</v>
      </c>
      <c r="N1950" s="78"/>
      <c r="P1950" s="85"/>
    </row>
    <row r="1951" spans="11:16">
      <c r="K1951" s="85">
        <v>33</v>
      </c>
      <c r="N1951" s="78"/>
      <c r="P1951" s="85"/>
    </row>
    <row r="1952" spans="11:16">
      <c r="K1952" s="85">
        <v>34</v>
      </c>
      <c r="N1952" s="78"/>
      <c r="P1952" s="85"/>
    </row>
    <row r="1953" spans="11:16">
      <c r="K1953" s="85">
        <v>35</v>
      </c>
      <c r="N1953" s="78"/>
      <c r="P1953" s="85"/>
    </row>
    <row r="1954" spans="11:16">
      <c r="K1954" s="85">
        <v>36</v>
      </c>
      <c r="N1954" s="78"/>
      <c r="P1954" s="85"/>
    </row>
    <row r="1955" spans="11:16">
      <c r="K1955" s="85">
        <v>26</v>
      </c>
      <c r="N1955" s="78"/>
      <c r="P1955" s="85"/>
    </row>
    <row r="1956" spans="11:16">
      <c r="K1956" s="85">
        <v>27</v>
      </c>
      <c r="N1956" s="78"/>
      <c r="P1956" s="85"/>
    </row>
    <row r="1957" spans="11:16">
      <c r="K1957" s="85">
        <v>29</v>
      </c>
      <c r="N1957" s="78"/>
      <c r="P1957" s="85"/>
    </row>
    <row r="1958" spans="11:16">
      <c r="K1958" s="85">
        <v>25</v>
      </c>
      <c r="N1958" s="78"/>
      <c r="P1958" s="85"/>
    </row>
    <row r="1959" spans="11:16">
      <c r="K1959" s="85">
        <v>26</v>
      </c>
      <c r="N1959" s="78"/>
      <c r="P1959" s="85"/>
    </row>
    <row r="1960" spans="11:16">
      <c r="K1960" s="85">
        <v>27</v>
      </c>
      <c r="N1960" s="78"/>
      <c r="P1960" s="85"/>
    </row>
    <row r="1961" spans="11:16">
      <c r="K1961" s="85">
        <v>30</v>
      </c>
      <c r="N1961" s="78"/>
      <c r="P1961" s="85"/>
    </row>
    <row r="1962" spans="11:16">
      <c r="K1962" s="85">
        <v>31</v>
      </c>
      <c r="N1962" s="78"/>
      <c r="P1962" s="85"/>
    </row>
    <row r="1963" spans="11:16">
      <c r="K1963" s="85">
        <v>33</v>
      </c>
      <c r="N1963" s="78"/>
      <c r="P1963" s="85"/>
    </row>
    <row r="1964" spans="11:16">
      <c r="K1964" s="85">
        <v>34</v>
      </c>
      <c r="N1964" s="78"/>
      <c r="P1964" s="85"/>
    </row>
    <row r="1965" spans="11:16">
      <c r="K1965" s="85">
        <v>35</v>
      </c>
      <c r="N1965" s="78"/>
      <c r="P1965" s="85"/>
    </row>
    <row r="1966" spans="11:16">
      <c r="K1966" s="85">
        <v>25</v>
      </c>
      <c r="N1966" s="78"/>
      <c r="P1966" s="85"/>
    </row>
    <row r="1967" spans="11:16">
      <c r="K1967" s="85">
        <v>26</v>
      </c>
      <c r="N1967" s="78"/>
      <c r="P1967" s="85"/>
    </row>
    <row r="1968" spans="11:16">
      <c r="K1968" s="85">
        <v>27</v>
      </c>
      <c r="N1968" s="78"/>
      <c r="P1968" s="85"/>
    </row>
    <row r="1969" spans="11:16">
      <c r="K1969" s="85">
        <v>28</v>
      </c>
      <c r="N1969" s="78"/>
      <c r="P1969" s="85"/>
    </row>
    <row r="1970" spans="11:16">
      <c r="K1970" s="85">
        <v>29</v>
      </c>
      <c r="N1970" s="78"/>
      <c r="P1970" s="85"/>
    </row>
    <row r="1971" spans="11:16">
      <c r="K1971" s="85">
        <v>30</v>
      </c>
      <c r="N1971" s="78"/>
      <c r="P1971" s="85"/>
    </row>
    <row r="1972" spans="11:16">
      <c r="K1972" s="85">
        <v>31</v>
      </c>
      <c r="N1972" s="78"/>
      <c r="P1972" s="85"/>
    </row>
    <row r="1973" spans="11:16">
      <c r="K1973" s="85">
        <v>32</v>
      </c>
      <c r="N1973" s="78"/>
      <c r="P1973" s="85"/>
    </row>
    <row r="1974" spans="11:16">
      <c r="K1974" s="85">
        <v>34</v>
      </c>
      <c r="N1974" s="78"/>
      <c r="P1974" s="85"/>
    </row>
    <row r="1975" spans="11:16">
      <c r="K1975" s="85">
        <v>35</v>
      </c>
      <c r="N1975" s="78"/>
      <c r="P1975" s="85"/>
    </row>
    <row r="1976" spans="11:16">
      <c r="K1976" s="85">
        <v>36</v>
      </c>
      <c r="N1976" s="78"/>
      <c r="P1976" s="85"/>
    </row>
    <row r="1977" spans="11:16">
      <c r="K1977" s="85">
        <v>28</v>
      </c>
      <c r="N1977" s="78"/>
      <c r="P1977" s="85"/>
    </row>
    <row r="1978" spans="11:16">
      <c r="K1978" s="85">
        <v>25</v>
      </c>
      <c r="N1978" s="78"/>
      <c r="P1978" s="85"/>
    </row>
    <row r="1979" spans="11:16">
      <c r="K1979" s="85">
        <v>26</v>
      </c>
      <c r="N1979" s="78"/>
      <c r="P1979" s="85"/>
    </row>
    <row r="1980" spans="11:16">
      <c r="K1980" s="85">
        <v>27</v>
      </c>
      <c r="N1980" s="78"/>
      <c r="P1980" s="85"/>
    </row>
    <row r="1981" spans="11:16">
      <c r="K1981" s="85">
        <v>28</v>
      </c>
      <c r="N1981" s="78"/>
      <c r="P1981" s="85"/>
    </row>
    <row r="1982" spans="11:16">
      <c r="K1982" s="85">
        <v>29</v>
      </c>
      <c r="N1982" s="78"/>
      <c r="P1982" s="85"/>
    </row>
    <row r="1983" spans="11:16">
      <c r="K1983" s="85">
        <v>30</v>
      </c>
      <c r="N1983" s="78"/>
      <c r="P1983" s="85"/>
    </row>
    <row r="1984" spans="11:16">
      <c r="K1984" s="85">
        <v>31</v>
      </c>
      <c r="N1984" s="78"/>
      <c r="P1984" s="85"/>
    </row>
    <row r="1985" spans="11:16">
      <c r="K1985" s="85">
        <v>32</v>
      </c>
      <c r="N1985" s="78"/>
      <c r="P1985" s="85"/>
    </row>
    <row r="1986" spans="11:16">
      <c r="K1986" s="85">
        <v>33</v>
      </c>
      <c r="N1986" s="78"/>
      <c r="P1986" s="85"/>
    </row>
    <row r="1987" spans="11:16">
      <c r="K1987" s="85">
        <v>35</v>
      </c>
      <c r="N1987" s="78"/>
      <c r="P1987" s="85"/>
    </row>
    <row r="1988" spans="11:16">
      <c r="K1988" s="85">
        <v>36</v>
      </c>
      <c r="N1988" s="78"/>
      <c r="P1988" s="85"/>
    </row>
    <row r="1989" spans="11:16">
      <c r="K1989" s="85">
        <v>25</v>
      </c>
      <c r="N1989" s="78"/>
      <c r="P1989" s="85"/>
    </row>
    <row r="1990" spans="11:16">
      <c r="K1990" s="85">
        <v>26</v>
      </c>
      <c r="N1990" s="78"/>
      <c r="P1990" s="85"/>
    </row>
    <row r="1991" spans="11:16">
      <c r="K1991" s="85">
        <v>27</v>
      </c>
      <c r="N1991" s="78"/>
      <c r="P1991" s="85"/>
    </row>
    <row r="1992" spans="11:16">
      <c r="K1992" s="85">
        <v>28</v>
      </c>
      <c r="N1992" s="78"/>
      <c r="P1992" s="85"/>
    </row>
    <row r="1993" spans="11:16">
      <c r="K1993" s="85">
        <v>29</v>
      </c>
      <c r="N1993" s="78"/>
      <c r="P1993" s="85"/>
    </row>
    <row r="1994" spans="11:16">
      <c r="K1994" s="85">
        <v>30</v>
      </c>
      <c r="N1994" s="78"/>
      <c r="P1994" s="85"/>
    </row>
    <row r="1995" spans="11:16">
      <c r="K1995" s="85">
        <v>31</v>
      </c>
      <c r="N1995" s="78"/>
      <c r="P1995" s="85"/>
    </row>
    <row r="1996" spans="11:16">
      <c r="K1996" s="85">
        <v>32</v>
      </c>
      <c r="N1996" s="78"/>
      <c r="P1996" s="85"/>
    </row>
    <row r="1997" spans="11:16">
      <c r="K1997" s="85">
        <v>33</v>
      </c>
      <c r="N1997" s="78"/>
      <c r="P1997" s="85"/>
    </row>
    <row r="1998" spans="11:16">
      <c r="K1998" s="85">
        <v>34</v>
      </c>
      <c r="N1998" s="78"/>
      <c r="P1998" s="85"/>
    </row>
    <row r="1999" spans="11:16">
      <c r="K1999" s="85">
        <v>35</v>
      </c>
      <c r="N1999" s="78"/>
      <c r="P1999" s="85"/>
    </row>
    <row r="2000" spans="11:16">
      <c r="K2000" s="85">
        <v>36</v>
      </c>
      <c r="N2000" s="78"/>
      <c r="P2000" s="85"/>
    </row>
    <row r="2001" spans="11:16">
      <c r="K2001" s="85">
        <v>25</v>
      </c>
      <c r="N2001" s="78"/>
      <c r="P2001" s="85"/>
    </row>
    <row r="2002" spans="11:16">
      <c r="K2002" s="85">
        <v>27</v>
      </c>
      <c r="N2002" s="78"/>
      <c r="P2002" s="85"/>
    </row>
    <row r="2003" spans="11:16">
      <c r="K2003" s="85">
        <v>28</v>
      </c>
      <c r="N2003" s="78"/>
      <c r="P2003" s="85"/>
    </row>
    <row r="2004" spans="11:16">
      <c r="K2004" s="85">
        <v>31</v>
      </c>
      <c r="N2004" s="78"/>
      <c r="P2004" s="85"/>
    </row>
    <row r="2005" spans="11:16">
      <c r="K2005" s="85">
        <v>34</v>
      </c>
      <c r="N2005" s="78"/>
      <c r="P2005" s="85"/>
    </row>
    <row r="2006" spans="11:16">
      <c r="K2006" s="85">
        <v>35</v>
      </c>
      <c r="N2006" s="78"/>
      <c r="P2006" s="85"/>
    </row>
    <row r="2007" spans="11:16">
      <c r="K2007" s="85">
        <v>25</v>
      </c>
      <c r="N2007" s="78"/>
      <c r="P2007" s="85"/>
    </row>
    <row r="2008" spans="11:16">
      <c r="K2008" s="85">
        <v>26</v>
      </c>
      <c r="N2008" s="78"/>
      <c r="P2008" s="85"/>
    </row>
    <row r="2009" spans="11:16">
      <c r="K2009" s="85">
        <v>27</v>
      </c>
      <c r="N2009" s="78"/>
      <c r="P2009" s="85"/>
    </row>
    <row r="2010" spans="11:16">
      <c r="K2010" s="85">
        <v>28</v>
      </c>
      <c r="N2010" s="78"/>
      <c r="P2010" s="85"/>
    </row>
    <row r="2011" spans="11:16">
      <c r="K2011" s="85">
        <v>29</v>
      </c>
      <c r="N2011" s="78"/>
      <c r="P2011" s="85"/>
    </row>
    <row r="2012" spans="11:16">
      <c r="K2012" s="85">
        <v>31</v>
      </c>
      <c r="N2012" s="78"/>
      <c r="P2012" s="85"/>
    </row>
    <row r="2013" spans="11:16">
      <c r="K2013" s="85">
        <v>32</v>
      </c>
      <c r="N2013" s="78"/>
      <c r="P2013" s="85"/>
    </row>
    <row r="2014" spans="11:16">
      <c r="K2014" s="85">
        <v>33</v>
      </c>
      <c r="N2014" s="78"/>
      <c r="P2014" s="85"/>
    </row>
    <row r="2015" spans="11:16">
      <c r="K2015" s="85">
        <v>35</v>
      </c>
      <c r="N2015" s="78"/>
      <c r="P2015" s="85"/>
    </row>
    <row r="2016" spans="11:16">
      <c r="K2016" s="85">
        <v>25</v>
      </c>
      <c r="N2016" s="78"/>
      <c r="P2016" s="85"/>
    </row>
    <row r="2017" spans="11:16">
      <c r="K2017" s="85">
        <v>26</v>
      </c>
      <c r="N2017" s="78"/>
      <c r="P2017" s="85"/>
    </row>
    <row r="2018" spans="11:16">
      <c r="K2018" s="85">
        <v>27</v>
      </c>
      <c r="N2018" s="78"/>
      <c r="P2018" s="85"/>
    </row>
    <row r="2019" spans="11:16">
      <c r="K2019" s="85">
        <v>28</v>
      </c>
      <c r="N2019" s="78"/>
      <c r="P2019" s="85"/>
    </row>
    <row r="2020" spans="11:16">
      <c r="K2020" s="85">
        <v>29</v>
      </c>
      <c r="N2020" s="78"/>
      <c r="P2020" s="85"/>
    </row>
    <row r="2021" spans="11:16">
      <c r="K2021" s="85">
        <v>30</v>
      </c>
      <c r="N2021" s="78"/>
      <c r="P2021" s="85"/>
    </row>
    <row r="2022" spans="11:16">
      <c r="K2022" s="85">
        <v>31</v>
      </c>
      <c r="N2022" s="78"/>
      <c r="P2022" s="85"/>
    </row>
    <row r="2023" spans="11:16">
      <c r="K2023" s="85">
        <v>35</v>
      </c>
      <c r="N2023" s="78"/>
      <c r="P2023" s="85"/>
    </row>
    <row r="2024" spans="11:16">
      <c r="K2024" s="85">
        <v>25</v>
      </c>
      <c r="N2024" s="78"/>
      <c r="P2024" s="85"/>
    </row>
    <row r="2025" spans="11:16">
      <c r="K2025" s="85">
        <v>26</v>
      </c>
      <c r="N2025" s="78"/>
      <c r="P2025" s="85"/>
    </row>
    <row r="2026" spans="11:16">
      <c r="K2026" s="85">
        <v>27</v>
      </c>
      <c r="N2026" s="78"/>
      <c r="P2026" s="85"/>
    </row>
    <row r="2027" spans="11:16">
      <c r="K2027" s="85">
        <v>28</v>
      </c>
      <c r="N2027" s="78"/>
      <c r="P2027" s="85"/>
    </row>
    <row r="2028" spans="11:16">
      <c r="K2028" s="85">
        <v>29</v>
      </c>
      <c r="N2028" s="78"/>
      <c r="P2028" s="85"/>
    </row>
    <row r="2029" spans="11:16">
      <c r="K2029" s="85">
        <v>30</v>
      </c>
      <c r="N2029" s="78"/>
      <c r="P2029" s="85"/>
    </row>
    <row r="2030" spans="11:16">
      <c r="K2030" s="85">
        <v>31</v>
      </c>
      <c r="N2030" s="78"/>
      <c r="P2030" s="85"/>
    </row>
    <row r="2031" spans="11:16">
      <c r="K2031" s="85">
        <v>32</v>
      </c>
      <c r="N2031" s="78"/>
      <c r="P2031" s="85"/>
    </row>
    <row r="2032" spans="11:16">
      <c r="K2032" s="85">
        <v>34</v>
      </c>
      <c r="N2032" s="78"/>
      <c r="P2032" s="85"/>
    </row>
    <row r="2033" spans="11:16">
      <c r="K2033" s="85">
        <v>35</v>
      </c>
      <c r="N2033" s="78"/>
      <c r="P2033" s="85"/>
    </row>
    <row r="2034" spans="11:16">
      <c r="K2034" s="85">
        <v>25</v>
      </c>
      <c r="N2034" s="78"/>
      <c r="P2034" s="85"/>
    </row>
    <row r="2035" spans="11:16">
      <c r="K2035" s="85">
        <v>26</v>
      </c>
      <c r="N2035" s="78"/>
      <c r="P2035" s="85"/>
    </row>
    <row r="2036" spans="11:16">
      <c r="K2036" s="85">
        <v>27</v>
      </c>
      <c r="N2036" s="78"/>
      <c r="P2036" s="85"/>
    </row>
    <row r="2037" spans="11:16">
      <c r="K2037" s="85">
        <v>28</v>
      </c>
      <c r="N2037" s="78"/>
      <c r="P2037" s="85"/>
    </row>
    <row r="2038" spans="11:16">
      <c r="K2038" s="85">
        <v>29</v>
      </c>
      <c r="N2038" s="78"/>
      <c r="P2038" s="85"/>
    </row>
    <row r="2039" spans="11:16">
      <c r="K2039" s="85">
        <v>30</v>
      </c>
      <c r="N2039" s="78"/>
      <c r="P2039" s="85"/>
    </row>
    <row r="2040" spans="11:16">
      <c r="K2040" s="85">
        <v>31</v>
      </c>
      <c r="N2040" s="78"/>
      <c r="P2040" s="85"/>
    </row>
    <row r="2041" spans="11:16">
      <c r="K2041" s="85">
        <v>32</v>
      </c>
      <c r="N2041" s="78"/>
      <c r="P2041" s="85"/>
    </row>
    <row r="2042" spans="11:16">
      <c r="K2042" s="85">
        <v>33</v>
      </c>
      <c r="N2042" s="78"/>
      <c r="P2042" s="85"/>
    </row>
    <row r="2043" spans="11:16">
      <c r="K2043" s="85">
        <v>34</v>
      </c>
      <c r="N2043" s="78"/>
      <c r="P2043" s="85"/>
    </row>
    <row r="2044" spans="11:16">
      <c r="K2044" s="85">
        <v>35</v>
      </c>
      <c r="N2044" s="78"/>
      <c r="P2044" s="85"/>
    </row>
    <row r="2045" spans="11:16">
      <c r="K2045" s="85">
        <v>36</v>
      </c>
      <c r="N2045" s="78"/>
      <c r="P2045" s="85"/>
    </row>
    <row r="2046" spans="11:16">
      <c r="K2046" s="85">
        <v>25</v>
      </c>
      <c r="N2046" s="78"/>
      <c r="P2046" s="85"/>
    </row>
    <row r="2047" spans="11:16">
      <c r="K2047" s="85">
        <v>26</v>
      </c>
      <c r="N2047" s="78"/>
      <c r="P2047" s="85"/>
    </row>
    <row r="2048" spans="11:16">
      <c r="K2048" s="85">
        <v>27</v>
      </c>
      <c r="N2048" s="78"/>
      <c r="P2048" s="85"/>
    </row>
    <row r="2049" spans="11:16">
      <c r="K2049" s="85">
        <v>28</v>
      </c>
      <c r="N2049" s="78"/>
      <c r="P2049" s="85"/>
    </row>
    <row r="2050" spans="11:16">
      <c r="K2050" s="85">
        <v>29</v>
      </c>
      <c r="N2050" s="78"/>
      <c r="P2050" s="85"/>
    </row>
    <row r="2051" spans="11:16">
      <c r="K2051" s="85">
        <v>30</v>
      </c>
      <c r="N2051" s="78"/>
      <c r="P2051" s="85"/>
    </row>
    <row r="2052" spans="11:16">
      <c r="K2052" s="85">
        <v>31</v>
      </c>
      <c r="N2052" s="78"/>
      <c r="P2052" s="85"/>
    </row>
    <row r="2053" spans="11:16">
      <c r="K2053" s="85">
        <v>32</v>
      </c>
      <c r="N2053" s="78"/>
      <c r="P2053" s="85"/>
    </row>
    <row r="2054" spans="11:16">
      <c r="K2054" s="85">
        <v>33</v>
      </c>
      <c r="N2054" s="78"/>
      <c r="P2054" s="85"/>
    </row>
    <row r="2055" spans="11:16">
      <c r="K2055" s="85">
        <v>34</v>
      </c>
      <c r="N2055" s="78"/>
      <c r="P2055" s="85"/>
    </row>
    <row r="2056" spans="11:16">
      <c r="K2056" s="85">
        <v>35</v>
      </c>
      <c r="N2056" s="78"/>
      <c r="P2056" s="85"/>
    </row>
    <row r="2057" spans="11:16">
      <c r="K2057" s="85">
        <v>36</v>
      </c>
      <c r="N2057" s="78"/>
      <c r="P2057" s="85"/>
    </row>
    <row r="2058" spans="11:16">
      <c r="K2058" s="85">
        <v>25</v>
      </c>
      <c r="N2058" s="78"/>
      <c r="P2058" s="85"/>
    </row>
    <row r="2059" spans="11:16">
      <c r="K2059" s="85">
        <v>26</v>
      </c>
      <c r="N2059" s="78"/>
      <c r="P2059" s="85"/>
    </row>
    <row r="2060" spans="11:16">
      <c r="K2060" s="85">
        <v>27</v>
      </c>
      <c r="N2060" s="78"/>
      <c r="P2060" s="85"/>
    </row>
    <row r="2061" spans="11:16">
      <c r="K2061" s="85">
        <v>30</v>
      </c>
      <c r="N2061" s="78"/>
      <c r="P2061" s="85"/>
    </row>
    <row r="2062" spans="11:16">
      <c r="K2062" s="85">
        <v>31</v>
      </c>
      <c r="N2062" s="78"/>
      <c r="P2062" s="85"/>
    </row>
    <row r="2063" spans="11:16">
      <c r="K2063" s="85">
        <v>35</v>
      </c>
      <c r="N2063" s="78"/>
      <c r="P2063" s="85"/>
    </row>
    <row r="2064" spans="11:16">
      <c r="K2064" s="85">
        <v>25</v>
      </c>
      <c r="N2064" s="78"/>
      <c r="P2064" s="85"/>
    </row>
    <row r="2065" spans="11:16">
      <c r="K2065" s="85">
        <v>26</v>
      </c>
      <c r="N2065" s="78"/>
      <c r="P2065" s="85"/>
    </row>
    <row r="2066" spans="11:16">
      <c r="K2066" s="85">
        <v>27</v>
      </c>
      <c r="N2066" s="78"/>
      <c r="P2066" s="85"/>
    </row>
    <row r="2067" spans="11:16">
      <c r="K2067" s="85">
        <v>30</v>
      </c>
      <c r="N2067" s="78"/>
      <c r="P2067" s="85"/>
    </row>
    <row r="2068" spans="11:16">
      <c r="K2068" s="85">
        <v>31</v>
      </c>
      <c r="N2068" s="78"/>
      <c r="P2068" s="85"/>
    </row>
    <row r="2069" spans="11:16">
      <c r="K2069" s="85">
        <v>34</v>
      </c>
      <c r="N2069" s="78"/>
      <c r="P2069" s="85"/>
    </row>
    <row r="2070" spans="11:16">
      <c r="K2070" s="85">
        <v>35</v>
      </c>
      <c r="N2070" s="78"/>
      <c r="P2070" s="85"/>
    </row>
    <row r="2071" spans="11:16">
      <c r="K2071" s="85">
        <v>25</v>
      </c>
      <c r="N2071" s="78"/>
      <c r="P2071" s="85"/>
    </row>
    <row r="2072" spans="11:16">
      <c r="K2072" s="85">
        <v>26</v>
      </c>
      <c r="N2072" s="78"/>
      <c r="P2072" s="85"/>
    </row>
    <row r="2073" spans="11:16">
      <c r="K2073" s="85">
        <v>27</v>
      </c>
      <c r="N2073" s="78"/>
      <c r="P2073" s="85"/>
    </row>
    <row r="2074" spans="11:16">
      <c r="K2074" s="85">
        <v>29</v>
      </c>
      <c r="N2074" s="78"/>
      <c r="P2074" s="85"/>
    </row>
    <row r="2075" spans="11:16">
      <c r="K2075" s="85">
        <v>33</v>
      </c>
      <c r="N2075" s="78"/>
      <c r="P2075" s="85"/>
    </row>
    <row r="2076" spans="11:16">
      <c r="K2076" s="85">
        <v>34</v>
      </c>
      <c r="N2076" s="78"/>
      <c r="P2076" s="85"/>
    </row>
    <row r="2077" spans="11:16">
      <c r="K2077" s="85">
        <v>25</v>
      </c>
      <c r="N2077" s="78"/>
      <c r="P2077" s="85"/>
    </row>
    <row r="2078" spans="11:16">
      <c r="K2078" s="85">
        <v>26</v>
      </c>
      <c r="N2078" s="78"/>
      <c r="P2078" s="85"/>
    </row>
    <row r="2079" spans="11:16">
      <c r="K2079" s="85">
        <v>27</v>
      </c>
      <c r="N2079" s="78"/>
      <c r="P2079" s="85"/>
    </row>
    <row r="2080" spans="11:16">
      <c r="K2080" s="85">
        <v>29</v>
      </c>
      <c r="N2080" s="78"/>
      <c r="P2080" s="85"/>
    </row>
    <row r="2081" spans="11:16">
      <c r="K2081" s="85">
        <v>30</v>
      </c>
      <c r="N2081" s="78"/>
      <c r="P2081" s="85"/>
    </row>
    <row r="2082" spans="11:16">
      <c r="K2082" s="85">
        <v>31</v>
      </c>
      <c r="N2082" s="78"/>
      <c r="P2082" s="85"/>
    </row>
    <row r="2083" spans="11:16">
      <c r="K2083" s="85">
        <v>34</v>
      </c>
      <c r="N2083" s="78"/>
      <c r="P2083" s="85"/>
    </row>
    <row r="2084" spans="11:16">
      <c r="K2084" s="85">
        <v>35</v>
      </c>
      <c r="N2084" s="78"/>
      <c r="P2084" s="85"/>
    </row>
    <row r="2085" spans="11:16">
      <c r="K2085" s="85">
        <v>36</v>
      </c>
      <c r="N2085" s="78"/>
      <c r="P2085" s="85"/>
    </row>
    <row r="2086" spans="11:16">
      <c r="K2086" s="85">
        <v>25</v>
      </c>
      <c r="N2086" s="78"/>
      <c r="P2086" s="85"/>
    </row>
    <row r="2087" spans="11:16">
      <c r="K2087" s="85">
        <v>26</v>
      </c>
      <c r="N2087" s="78"/>
      <c r="P2087" s="85"/>
    </row>
    <row r="2088" spans="11:16">
      <c r="K2088" s="85">
        <v>29</v>
      </c>
      <c r="N2088" s="78"/>
      <c r="P2088" s="85"/>
    </row>
    <row r="2089" spans="11:16">
      <c r="K2089" s="85">
        <v>30</v>
      </c>
      <c r="N2089" s="78"/>
      <c r="P2089" s="85"/>
    </row>
    <row r="2090" spans="11:16">
      <c r="K2090" s="85">
        <v>25</v>
      </c>
      <c r="N2090" s="78"/>
      <c r="P2090" s="85"/>
    </row>
    <row r="2091" spans="11:16">
      <c r="K2091" s="85">
        <v>26</v>
      </c>
      <c r="N2091" s="78"/>
      <c r="P2091" s="85"/>
    </row>
    <row r="2092" spans="11:16">
      <c r="K2092" s="85">
        <v>27</v>
      </c>
      <c r="N2092" s="78"/>
      <c r="P2092" s="85"/>
    </row>
    <row r="2093" spans="11:16">
      <c r="K2093" s="85">
        <v>28</v>
      </c>
      <c r="N2093" s="78"/>
      <c r="P2093" s="85"/>
    </row>
    <row r="2094" spans="11:16">
      <c r="K2094" s="85">
        <v>29</v>
      </c>
      <c r="N2094" s="78"/>
      <c r="P2094" s="85"/>
    </row>
    <row r="2095" spans="11:16">
      <c r="K2095" s="85">
        <v>30</v>
      </c>
      <c r="N2095" s="78"/>
      <c r="P2095" s="85"/>
    </row>
    <row r="2096" spans="11:16">
      <c r="K2096" s="85">
        <v>32</v>
      </c>
      <c r="N2096" s="78"/>
      <c r="P2096" s="85"/>
    </row>
    <row r="2097" spans="11:16">
      <c r="K2097" s="85">
        <v>34</v>
      </c>
      <c r="N2097" s="78"/>
      <c r="P2097" s="85"/>
    </row>
    <row r="2098" spans="11:16">
      <c r="K2098" s="85">
        <v>25</v>
      </c>
      <c r="N2098" s="78"/>
      <c r="P2098" s="85"/>
    </row>
    <row r="2099" spans="11:16">
      <c r="K2099" s="85">
        <v>26</v>
      </c>
      <c r="N2099" s="78"/>
      <c r="P2099" s="85"/>
    </row>
    <row r="2100" spans="11:16">
      <c r="K2100" s="85">
        <v>27</v>
      </c>
      <c r="N2100" s="78"/>
      <c r="P2100" s="85"/>
    </row>
    <row r="2101" spans="11:16">
      <c r="K2101" s="85">
        <v>28</v>
      </c>
      <c r="N2101" s="78"/>
      <c r="P2101" s="85"/>
    </row>
    <row r="2102" spans="11:16">
      <c r="K2102" s="85">
        <v>30</v>
      </c>
      <c r="N2102" s="78"/>
      <c r="P2102" s="85"/>
    </row>
    <row r="2103" spans="11:16">
      <c r="K2103" s="85">
        <v>31</v>
      </c>
      <c r="N2103" s="78"/>
      <c r="P2103" s="85"/>
    </row>
    <row r="2104" spans="11:16">
      <c r="K2104" s="85">
        <v>32</v>
      </c>
      <c r="N2104" s="78"/>
      <c r="P2104" s="85"/>
    </row>
    <row r="2105" spans="11:16">
      <c r="K2105" s="85">
        <v>34</v>
      </c>
      <c r="N2105" s="78"/>
      <c r="P2105" s="85"/>
    </row>
    <row r="2106" spans="11:16">
      <c r="K2106" s="85">
        <v>35</v>
      </c>
      <c r="N2106" s="78"/>
      <c r="P2106" s="85"/>
    </row>
    <row r="2107" spans="11:16">
      <c r="K2107" s="85">
        <v>26</v>
      </c>
      <c r="N2107" s="78"/>
      <c r="P2107" s="85"/>
    </row>
    <row r="2108" spans="11:16">
      <c r="K2108" s="85">
        <v>27</v>
      </c>
      <c r="N2108" s="78"/>
      <c r="P2108" s="85"/>
    </row>
    <row r="2109" spans="11:16">
      <c r="K2109" s="85">
        <v>30</v>
      </c>
      <c r="N2109" s="78"/>
      <c r="P2109" s="85"/>
    </row>
    <row r="2110" spans="11:16">
      <c r="K2110" s="85">
        <v>27</v>
      </c>
      <c r="N2110" s="78"/>
      <c r="P2110" s="85"/>
    </row>
    <row r="2111" spans="11:16">
      <c r="K2111" s="85">
        <v>25</v>
      </c>
      <c r="N2111" s="78"/>
      <c r="P2111" s="85"/>
    </row>
    <row r="2112" spans="11:16">
      <c r="K2112" s="85">
        <v>26</v>
      </c>
      <c r="N2112" s="78"/>
      <c r="P2112" s="85"/>
    </row>
    <row r="2113" spans="11:16">
      <c r="K2113" s="85">
        <v>27</v>
      </c>
      <c r="N2113" s="78"/>
      <c r="P2113" s="85"/>
    </row>
    <row r="2114" spans="11:16">
      <c r="K2114" s="85">
        <v>28</v>
      </c>
      <c r="N2114" s="78"/>
      <c r="P2114" s="85"/>
    </row>
    <row r="2115" spans="11:16">
      <c r="K2115" s="85">
        <v>30</v>
      </c>
      <c r="N2115" s="78"/>
      <c r="P2115" s="85"/>
    </row>
    <row r="2116" spans="11:16">
      <c r="K2116" s="85">
        <v>31</v>
      </c>
      <c r="N2116" s="78"/>
      <c r="P2116" s="85"/>
    </row>
    <row r="2117" spans="11:16">
      <c r="K2117" s="85">
        <v>33</v>
      </c>
      <c r="N2117" s="78"/>
      <c r="P2117" s="85"/>
    </row>
    <row r="2118" spans="11:16">
      <c r="K2118" s="85">
        <v>34</v>
      </c>
      <c r="N2118" s="78"/>
      <c r="P2118" s="85"/>
    </row>
    <row r="2119" spans="11:16">
      <c r="K2119" s="85">
        <v>35</v>
      </c>
      <c r="N2119" s="78"/>
      <c r="P2119" s="85"/>
    </row>
    <row r="2120" spans="11:16">
      <c r="K2120" s="85">
        <v>36</v>
      </c>
      <c r="N2120" s="78"/>
      <c r="P2120" s="85"/>
    </row>
    <row r="2121" spans="11:16">
      <c r="K2121" s="85">
        <v>25</v>
      </c>
      <c r="N2121" s="78"/>
      <c r="P2121" s="85"/>
    </row>
    <row r="2122" spans="11:16">
      <c r="K2122" s="85">
        <v>30</v>
      </c>
      <c r="N2122" s="78"/>
      <c r="P2122" s="85"/>
    </row>
    <row r="2123" spans="11:16">
      <c r="K2123" s="85">
        <v>31</v>
      </c>
      <c r="N2123" s="78"/>
      <c r="P2123" s="85"/>
    </row>
    <row r="2124" spans="11:16">
      <c r="K2124" s="85">
        <v>34</v>
      </c>
      <c r="N2124" s="78"/>
      <c r="P2124" s="85"/>
    </row>
    <row r="2125" spans="11:16">
      <c r="K2125" s="85">
        <v>27</v>
      </c>
      <c r="N2125" s="78"/>
      <c r="P2125" s="85"/>
    </row>
    <row r="2126" spans="11:16">
      <c r="K2126" s="85">
        <v>31</v>
      </c>
      <c r="N2126" s="78"/>
      <c r="P2126" s="85"/>
    </row>
    <row r="2127" spans="11:16">
      <c r="K2127" s="85">
        <v>34</v>
      </c>
      <c r="N2127" s="78"/>
      <c r="P2127" s="85"/>
    </row>
    <row r="2128" spans="11:16">
      <c r="K2128" s="85">
        <v>35</v>
      </c>
      <c r="N2128" s="78"/>
      <c r="P2128" s="85"/>
    </row>
    <row r="2129" spans="11:16">
      <c r="K2129" s="85">
        <v>26</v>
      </c>
      <c r="N2129" s="78"/>
      <c r="P2129" s="85"/>
    </row>
    <row r="2130" spans="11:16">
      <c r="K2130" s="85">
        <v>29</v>
      </c>
      <c r="N2130" s="78"/>
      <c r="P2130" s="85"/>
    </row>
    <row r="2131" spans="11:16">
      <c r="K2131" s="85">
        <v>31</v>
      </c>
      <c r="N2131" s="78"/>
      <c r="P2131" s="85"/>
    </row>
    <row r="2132" spans="11:16">
      <c r="K2132" s="85">
        <v>35</v>
      </c>
      <c r="N2132" s="78"/>
      <c r="P2132" s="85"/>
    </row>
    <row r="2133" spans="11:16">
      <c r="K2133" s="85">
        <v>25</v>
      </c>
      <c r="N2133" s="78"/>
      <c r="P2133" s="85"/>
    </row>
    <row r="2134" spans="11:16">
      <c r="K2134" s="85">
        <v>26</v>
      </c>
      <c r="N2134" s="78"/>
      <c r="P2134" s="85"/>
    </row>
    <row r="2135" spans="11:16">
      <c r="K2135" s="85">
        <v>27</v>
      </c>
      <c r="N2135" s="78"/>
      <c r="P2135" s="85"/>
    </row>
    <row r="2136" spans="11:16">
      <c r="K2136" s="85">
        <v>28</v>
      </c>
      <c r="N2136" s="78"/>
      <c r="P2136" s="85"/>
    </row>
    <row r="2137" spans="11:16">
      <c r="K2137" s="85">
        <v>29</v>
      </c>
      <c r="N2137" s="78"/>
      <c r="P2137" s="85"/>
    </row>
    <row r="2138" spans="11:16">
      <c r="K2138" s="85">
        <v>30</v>
      </c>
      <c r="N2138" s="78"/>
      <c r="P2138" s="85"/>
    </row>
    <row r="2139" spans="11:16">
      <c r="K2139" s="85">
        <v>31</v>
      </c>
      <c r="N2139" s="78"/>
      <c r="P2139" s="85"/>
    </row>
    <row r="2140" spans="11:16">
      <c r="K2140" s="85">
        <v>32</v>
      </c>
      <c r="N2140" s="78"/>
      <c r="P2140" s="85"/>
    </row>
    <row r="2141" spans="11:16">
      <c r="K2141" s="85">
        <v>34</v>
      </c>
      <c r="N2141" s="78"/>
      <c r="P2141" s="85"/>
    </row>
    <row r="2142" spans="11:16">
      <c r="K2142" s="85">
        <v>35</v>
      </c>
      <c r="N2142" s="78"/>
      <c r="P2142" s="85"/>
    </row>
    <row r="2143" spans="11:16">
      <c r="K2143" s="85">
        <v>36</v>
      </c>
      <c r="N2143" s="78"/>
      <c r="P2143" s="85"/>
    </row>
    <row r="2144" spans="11:16">
      <c r="K2144" s="85">
        <v>27</v>
      </c>
      <c r="N2144" s="78"/>
      <c r="P2144" s="85"/>
    </row>
    <row r="2145" spans="11:16">
      <c r="K2145" s="85">
        <v>31</v>
      </c>
      <c r="N2145" s="78"/>
      <c r="P2145" s="85"/>
    </row>
    <row r="2146" spans="11:16">
      <c r="K2146" s="85">
        <v>32</v>
      </c>
      <c r="N2146" s="78"/>
      <c r="P2146" s="85"/>
    </row>
    <row r="2147" spans="11:16">
      <c r="K2147" s="85">
        <v>34</v>
      </c>
      <c r="N2147" s="78"/>
      <c r="P2147" s="85"/>
    </row>
    <row r="2148" spans="11:16">
      <c r="K2148" s="85">
        <v>35</v>
      </c>
      <c r="N2148" s="78"/>
      <c r="P2148" s="85"/>
    </row>
    <row r="2149" spans="11:16">
      <c r="K2149" s="85">
        <v>25</v>
      </c>
      <c r="N2149" s="78"/>
      <c r="P2149" s="85"/>
    </row>
    <row r="2150" spans="11:16">
      <c r="K2150" s="85">
        <v>26</v>
      </c>
      <c r="N2150" s="78"/>
      <c r="P2150" s="85"/>
    </row>
    <row r="2151" spans="11:16">
      <c r="K2151" s="85">
        <v>27</v>
      </c>
      <c r="N2151" s="78"/>
      <c r="P2151" s="85"/>
    </row>
    <row r="2152" spans="11:16">
      <c r="K2152" s="85">
        <v>28</v>
      </c>
      <c r="N2152" s="78"/>
      <c r="P2152" s="85"/>
    </row>
    <row r="2153" spans="11:16">
      <c r="K2153" s="85">
        <v>30</v>
      </c>
      <c r="N2153" s="78"/>
      <c r="P2153" s="85"/>
    </row>
    <row r="2154" spans="11:16">
      <c r="K2154" s="85">
        <v>31</v>
      </c>
      <c r="N2154" s="78"/>
      <c r="P2154" s="85"/>
    </row>
    <row r="2155" spans="11:16">
      <c r="K2155" s="85">
        <v>35</v>
      </c>
      <c r="N2155" s="78"/>
      <c r="P2155" s="85"/>
    </row>
    <row r="2156" spans="11:16">
      <c r="K2156" s="85">
        <v>25</v>
      </c>
      <c r="N2156" s="78"/>
      <c r="P2156" s="85"/>
    </row>
    <row r="2157" spans="11:16">
      <c r="K2157" s="85">
        <v>26</v>
      </c>
      <c r="N2157" s="78"/>
      <c r="P2157" s="85"/>
    </row>
    <row r="2158" spans="11:16">
      <c r="K2158" s="85">
        <v>27</v>
      </c>
      <c r="N2158" s="78"/>
      <c r="P2158" s="85"/>
    </row>
    <row r="2159" spans="11:16">
      <c r="K2159" s="85">
        <v>28</v>
      </c>
      <c r="N2159" s="78"/>
      <c r="P2159" s="85"/>
    </row>
    <row r="2160" spans="11:16">
      <c r="K2160" s="85">
        <v>29</v>
      </c>
      <c r="N2160" s="78"/>
      <c r="P2160" s="85"/>
    </row>
    <row r="2161" spans="11:16">
      <c r="K2161" s="85">
        <v>31</v>
      </c>
      <c r="N2161" s="78"/>
      <c r="P2161" s="85"/>
    </row>
    <row r="2162" spans="11:16">
      <c r="K2162" s="85">
        <v>32</v>
      </c>
      <c r="N2162" s="78"/>
      <c r="P2162" s="85"/>
    </row>
    <row r="2163" spans="11:16">
      <c r="K2163" s="85">
        <v>34</v>
      </c>
      <c r="N2163" s="78"/>
      <c r="P2163" s="85"/>
    </row>
    <row r="2164" spans="11:16">
      <c r="K2164" s="85">
        <v>35</v>
      </c>
      <c r="N2164" s="78"/>
      <c r="P2164" s="85"/>
    </row>
    <row r="2165" spans="11:16">
      <c r="K2165" s="85">
        <v>25</v>
      </c>
      <c r="N2165" s="78"/>
      <c r="P2165" s="85"/>
    </row>
    <row r="2166" spans="11:16">
      <c r="K2166" s="85">
        <v>26</v>
      </c>
      <c r="N2166" s="78"/>
      <c r="P2166" s="85"/>
    </row>
    <row r="2167" spans="11:16">
      <c r="K2167" s="85">
        <v>27</v>
      </c>
      <c r="N2167" s="78"/>
      <c r="P2167" s="85"/>
    </row>
    <row r="2168" spans="11:16">
      <c r="K2168" s="85">
        <v>28</v>
      </c>
      <c r="N2168" s="78"/>
      <c r="P2168" s="85"/>
    </row>
    <row r="2169" spans="11:16">
      <c r="K2169" s="85">
        <v>30</v>
      </c>
      <c r="N2169" s="78"/>
      <c r="P2169" s="85"/>
    </row>
    <row r="2170" spans="11:16">
      <c r="K2170" s="85">
        <v>31</v>
      </c>
      <c r="N2170" s="78"/>
      <c r="P2170" s="85"/>
    </row>
    <row r="2171" spans="11:16">
      <c r="K2171" s="85">
        <v>32</v>
      </c>
      <c r="N2171" s="78"/>
      <c r="P2171" s="85"/>
    </row>
    <row r="2172" spans="11:16">
      <c r="K2172" s="85">
        <v>33</v>
      </c>
      <c r="N2172" s="78"/>
      <c r="P2172" s="85"/>
    </row>
    <row r="2173" spans="11:16">
      <c r="K2173" s="85">
        <v>34</v>
      </c>
      <c r="N2173" s="78"/>
      <c r="P2173" s="85"/>
    </row>
    <row r="2174" spans="11:16">
      <c r="K2174" s="85">
        <v>35</v>
      </c>
      <c r="N2174" s="78"/>
      <c r="P2174" s="85"/>
    </row>
    <row r="2175" spans="11:16">
      <c r="K2175" s="85">
        <v>36</v>
      </c>
      <c r="N2175" s="78"/>
      <c r="P2175" s="85"/>
    </row>
    <row r="2176" spans="11:16">
      <c r="K2176" s="85">
        <v>25</v>
      </c>
      <c r="N2176" s="78"/>
      <c r="P2176" s="85"/>
    </row>
    <row r="2177" spans="11:16">
      <c r="K2177" s="85">
        <v>26</v>
      </c>
      <c r="N2177" s="78"/>
      <c r="P2177" s="85"/>
    </row>
    <row r="2178" spans="11:16">
      <c r="K2178" s="85">
        <v>28</v>
      </c>
      <c r="N2178" s="78"/>
      <c r="P2178" s="85"/>
    </row>
    <row r="2179" spans="11:16">
      <c r="K2179" s="85">
        <v>29</v>
      </c>
      <c r="N2179" s="78"/>
      <c r="P2179" s="85"/>
    </row>
    <row r="2180" spans="11:16">
      <c r="K2180" s="85">
        <v>30</v>
      </c>
      <c r="N2180" s="78"/>
      <c r="P2180" s="85"/>
    </row>
    <row r="2181" spans="11:16">
      <c r="K2181" s="85">
        <v>25</v>
      </c>
      <c r="N2181" s="78"/>
      <c r="P2181" s="85"/>
    </row>
    <row r="2182" spans="11:16">
      <c r="K2182" s="85">
        <v>26</v>
      </c>
      <c r="N2182" s="78"/>
      <c r="P2182" s="85"/>
    </row>
    <row r="2183" spans="11:16">
      <c r="K2183" s="85">
        <v>27</v>
      </c>
      <c r="N2183" s="78"/>
      <c r="P2183" s="85"/>
    </row>
    <row r="2184" spans="11:16">
      <c r="K2184" s="85">
        <v>28</v>
      </c>
      <c r="N2184" s="78"/>
      <c r="P2184" s="85"/>
    </row>
    <row r="2185" spans="11:16">
      <c r="K2185" s="85">
        <v>29</v>
      </c>
      <c r="N2185" s="78"/>
      <c r="P2185" s="85"/>
    </row>
    <row r="2186" spans="11:16">
      <c r="K2186" s="85">
        <v>31</v>
      </c>
      <c r="N2186" s="78"/>
      <c r="P2186" s="85"/>
    </row>
    <row r="2187" spans="11:16">
      <c r="K2187" s="85">
        <v>32</v>
      </c>
      <c r="N2187" s="78"/>
      <c r="P2187" s="85"/>
    </row>
    <row r="2188" spans="11:16">
      <c r="K2188" s="85">
        <v>33</v>
      </c>
      <c r="N2188" s="78"/>
      <c r="P2188" s="85"/>
    </row>
    <row r="2189" spans="11:16">
      <c r="K2189" s="85">
        <v>35</v>
      </c>
      <c r="N2189" s="78"/>
      <c r="P2189" s="85"/>
    </row>
    <row r="2190" spans="11:16">
      <c r="K2190" s="85">
        <v>25</v>
      </c>
      <c r="N2190" s="78"/>
      <c r="P2190" s="85"/>
    </row>
    <row r="2191" spans="11:16">
      <c r="K2191" s="85">
        <v>26</v>
      </c>
      <c r="N2191" s="78"/>
      <c r="P2191" s="85"/>
    </row>
    <row r="2192" spans="11:16">
      <c r="K2192" s="85">
        <v>27</v>
      </c>
      <c r="N2192" s="78"/>
      <c r="P2192" s="85"/>
    </row>
    <row r="2193" spans="11:16">
      <c r="K2193" s="85">
        <v>28</v>
      </c>
      <c r="N2193" s="78"/>
      <c r="P2193" s="85"/>
    </row>
    <row r="2194" spans="11:16">
      <c r="K2194" s="85">
        <v>29</v>
      </c>
      <c r="N2194" s="78"/>
      <c r="P2194" s="85"/>
    </row>
    <row r="2195" spans="11:16">
      <c r="K2195" s="85">
        <v>31</v>
      </c>
      <c r="N2195" s="78"/>
      <c r="P2195" s="85"/>
    </row>
    <row r="2196" spans="11:16">
      <c r="K2196" s="85">
        <v>33</v>
      </c>
      <c r="N2196" s="78"/>
      <c r="P2196" s="85"/>
    </row>
    <row r="2197" spans="11:16">
      <c r="K2197" s="85">
        <v>34</v>
      </c>
      <c r="N2197" s="78"/>
      <c r="P2197" s="85"/>
    </row>
    <row r="2198" spans="11:16">
      <c r="K2198" s="85">
        <v>35</v>
      </c>
      <c r="N2198" s="78"/>
      <c r="P2198" s="85"/>
    </row>
    <row r="2199" spans="11:16">
      <c r="K2199" s="85">
        <v>25</v>
      </c>
      <c r="N2199" s="78"/>
      <c r="P2199" s="85"/>
    </row>
    <row r="2200" spans="11:16">
      <c r="K2200" s="85">
        <v>26</v>
      </c>
      <c r="N2200" s="78"/>
      <c r="P2200" s="85"/>
    </row>
    <row r="2201" spans="11:16">
      <c r="K2201" s="85">
        <v>27</v>
      </c>
      <c r="N2201" s="78"/>
      <c r="P2201" s="85"/>
    </row>
    <row r="2202" spans="11:16">
      <c r="K2202" s="85">
        <v>28</v>
      </c>
      <c r="N2202" s="78"/>
      <c r="P2202" s="85"/>
    </row>
    <row r="2203" spans="11:16">
      <c r="K2203" s="85">
        <v>29</v>
      </c>
      <c r="N2203" s="78"/>
      <c r="P2203" s="85"/>
    </row>
    <row r="2204" spans="11:16">
      <c r="K2204" s="85">
        <v>30</v>
      </c>
      <c r="N2204" s="78"/>
      <c r="P2204" s="85"/>
    </row>
    <row r="2205" spans="11:16">
      <c r="K2205" s="85">
        <v>31</v>
      </c>
      <c r="N2205" s="78"/>
      <c r="P2205" s="85"/>
    </row>
    <row r="2206" spans="11:16">
      <c r="K2206" s="85">
        <v>33</v>
      </c>
      <c r="N2206" s="78"/>
      <c r="P2206" s="85"/>
    </row>
    <row r="2207" spans="11:16">
      <c r="K2207" s="85">
        <v>34</v>
      </c>
      <c r="N2207" s="78"/>
      <c r="P2207" s="85"/>
    </row>
    <row r="2208" spans="11:16">
      <c r="K2208" s="85">
        <v>35</v>
      </c>
      <c r="N2208" s="78"/>
      <c r="P2208" s="85"/>
    </row>
    <row r="2209" spans="11:16">
      <c r="K2209" s="85">
        <v>36</v>
      </c>
      <c r="N2209" s="78"/>
      <c r="P2209" s="85"/>
    </row>
    <row r="2210" spans="11:16">
      <c r="K2210" s="85">
        <v>27</v>
      </c>
      <c r="N2210" s="78"/>
      <c r="P2210" s="85"/>
    </row>
    <row r="2211" spans="11:16">
      <c r="K2211" s="85">
        <v>28</v>
      </c>
      <c r="N2211" s="78"/>
      <c r="P2211" s="85"/>
    </row>
    <row r="2212" spans="11:16">
      <c r="K2212" s="85">
        <v>31</v>
      </c>
      <c r="N2212" s="78"/>
      <c r="P2212" s="85"/>
    </row>
    <row r="2213" spans="11:16">
      <c r="K2213" s="85">
        <v>32</v>
      </c>
      <c r="N2213" s="78"/>
      <c r="P2213" s="85"/>
    </row>
    <row r="2214" spans="11:16">
      <c r="K2214" s="85">
        <v>33</v>
      </c>
      <c r="N2214" s="78"/>
      <c r="P2214" s="85"/>
    </row>
    <row r="2215" spans="11:16">
      <c r="K2215" s="85">
        <v>34</v>
      </c>
      <c r="N2215" s="78"/>
      <c r="P2215" s="85"/>
    </row>
    <row r="2216" spans="11:16">
      <c r="K2216" s="85">
        <v>35</v>
      </c>
      <c r="N2216" s="78"/>
      <c r="P2216" s="85"/>
    </row>
    <row r="2217" spans="11:16">
      <c r="K2217" s="85">
        <v>31</v>
      </c>
      <c r="N2217" s="78"/>
      <c r="P2217" s="85"/>
    </row>
    <row r="2218" spans="11:16">
      <c r="K2218" s="85">
        <v>34</v>
      </c>
      <c r="N2218" s="78"/>
      <c r="P2218" s="85"/>
    </row>
    <row r="2219" spans="11:16">
      <c r="K2219" s="85">
        <v>27</v>
      </c>
      <c r="N2219" s="78"/>
      <c r="P2219" s="85"/>
    </row>
    <row r="2220" spans="11:16">
      <c r="K2220" s="85">
        <v>30</v>
      </c>
      <c r="N2220" s="78"/>
      <c r="P2220" s="85"/>
    </row>
    <row r="2221" spans="11:16">
      <c r="K2221" s="85">
        <v>31</v>
      </c>
      <c r="N2221" s="78"/>
      <c r="P2221" s="85"/>
    </row>
    <row r="2222" spans="11:16">
      <c r="K2222" s="85">
        <v>32</v>
      </c>
      <c r="N2222" s="78"/>
      <c r="P2222" s="85"/>
    </row>
    <row r="2223" spans="11:16">
      <c r="K2223" s="85">
        <v>34</v>
      </c>
      <c r="N2223" s="78"/>
      <c r="P2223" s="85"/>
    </row>
    <row r="2224" spans="11:16">
      <c r="K2224" s="85">
        <v>25</v>
      </c>
      <c r="N2224" s="78"/>
      <c r="P2224" s="85"/>
    </row>
    <row r="2225" spans="11:16">
      <c r="K2225" s="85">
        <v>27</v>
      </c>
      <c r="N2225" s="78"/>
      <c r="P2225" s="85"/>
    </row>
    <row r="2226" spans="11:16">
      <c r="K2226" s="85">
        <v>30</v>
      </c>
      <c r="N2226" s="78"/>
      <c r="P2226" s="85"/>
    </row>
    <row r="2227" spans="11:16">
      <c r="K2227" s="85">
        <v>31</v>
      </c>
      <c r="N2227" s="78"/>
      <c r="P2227" s="85"/>
    </row>
    <row r="2228" spans="11:16">
      <c r="K2228" s="85">
        <v>32</v>
      </c>
      <c r="N2228" s="78"/>
      <c r="P2228" s="85"/>
    </row>
    <row r="2229" spans="11:16">
      <c r="K2229" s="85">
        <v>34</v>
      </c>
      <c r="N2229" s="78"/>
      <c r="P2229" s="85"/>
    </row>
    <row r="2230" spans="11:16">
      <c r="K2230" s="85">
        <v>35</v>
      </c>
      <c r="N2230" s="78"/>
      <c r="P2230" s="85"/>
    </row>
    <row r="2231" spans="11:16">
      <c r="K2231" s="85">
        <v>36</v>
      </c>
      <c r="N2231" s="78"/>
      <c r="P2231" s="85"/>
    </row>
    <row r="2232" spans="11:16">
      <c r="K2232" s="85">
        <v>25</v>
      </c>
      <c r="N2232" s="78"/>
      <c r="P2232" s="85"/>
    </row>
    <row r="2233" spans="11:16">
      <c r="K2233" s="85">
        <v>26</v>
      </c>
      <c r="N2233" s="78"/>
      <c r="P2233" s="85"/>
    </row>
    <row r="2234" spans="11:16">
      <c r="K2234" s="85">
        <v>27</v>
      </c>
      <c r="N2234" s="78"/>
      <c r="P2234" s="85"/>
    </row>
    <row r="2235" spans="11:16">
      <c r="K2235" s="85">
        <v>28</v>
      </c>
      <c r="N2235" s="78"/>
      <c r="P2235" s="85"/>
    </row>
    <row r="2236" spans="11:16">
      <c r="K2236" s="85">
        <v>29</v>
      </c>
      <c r="N2236" s="78"/>
      <c r="P2236" s="85"/>
    </row>
    <row r="2237" spans="11:16">
      <c r="K2237" s="85">
        <v>30</v>
      </c>
      <c r="N2237" s="78"/>
      <c r="P2237" s="85"/>
    </row>
    <row r="2238" spans="11:16">
      <c r="K2238" s="85">
        <v>31</v>
      </c>
      <c r="N2238" s="78"/>
      <c r="P2238" s="85"/>
    </row>
    <row r="2239" spans="11:16">
      <c r="K2239" s="85">
        <v>32</v>
      </c>
      <c r="N2239" s="78"/>
      <c r="P2239" s="85"/>
    </row>
    <row r="2240" spans="11:16">
      <c r="K2240" s="85">
        <v>33</v>
      </c>
      <c r="N2240" s="78"/>
      <c r="P2240" s="85"/>
    </row>
    <row r="2241" spans="11:16">
      <c r="K2241" s="85">
        <v>34</v>
      </c>
      <c r="N2241" s="78"/>
      <c r="P2241" s="85"/>
    </row>
    <row r="2242" spans="11:16">
      <c r="K2242" s="85">
        <v>35</v>
      </c>
      <c r="N2242" s="78"/>
      <c r="P2242" s="85"/>
    </row>
    <row r="2243" spans="11:16">
      <c r="K2243" s="85">
        <v>36</v>
      </c>
      <c r="N2243" s="78"/>
      <c r="P2243" s="85"/>
    </row>
    <row r="2244" spans="11:16">
      <c r="K2244" s="85">
        <v>25</v>
      </c>
      <c r="N2244" s="78"/>
      <c r="P2244" s="85"/>
    </row>
    <row r="2245" spans="11:16">
      <c r="K2245" s="85">
        <v>27</v>
      </c>
      <c r="N2245" s="78"/>
      <c r="P2245" s="85"/>
    </row>
    <row r="2246" spans="11:16">
      <c r="K2246" s="85">
        <v>28</v>
      </c>
      <c r="N2246" s="78"/>
      <c r="P2246" s="85"/>
    </row>
    <row r="2247" spans="11:16">
      <c r="K2247" s="85">
        <v>34</v>
      </c>
      <c r="N2247" s="78"/>
      <c r="P2247" s="85"/>
    </row>
    <row r="2248" spans="11:16">
      <c r="K2248" s="85">
        <v>35</v>
      </c>
      <c r="N2248" s="78"/>
      <c r="P2248" s="85"/>
    </row>
    <row r="2249" spans="11:16">
      <c r="K2249" s="85">
        <v>27</v>
      </c>
      <c r="N2249" s="78"/>
      <c r="P2249" s="85"/>
    </row>
    <row r="2250" spans="11:16">
      <c r="K2250" s="85">
        <v>29</v>
      </c>
      <c r="N2250" s="78"/>
      <c r="P2250" s="85"/>
    </row>
    <row r="2251" spans="11:16">
      <c r="K2251" s="85">
        <v>34</v>
      </c>
      <c r="N2251" s="78"/>
      <c r="P2251" s="85"/>
    </row>
    <row r="2252" spans="11:16">
      <c r="K2252" s="85">
        <v>35</v>
      </c>
      <c r="N2252" s="78"/>
      <c r="P2252" s="85"/>
    </row>
    <row r="2253" spans="11:16">
      <c r="K2253" s="85">
        <v>25</v>
      </c>
      <c r="N2253" s="78"/>
      <c r="P2253" s="85"/>
    </row>
    <row r="2254" spans="11:16">
      <c r="K2254" s="85">
        <v>26</v>
      </c>
      <c r="N2254" s="78"/>
      <c r="P2254" s="85"/>
    </row>
    <row r="2255" spans="11:16">
      <c r="K2255" s="85">
        <v>27</v>
      </c>
      <c r="N2255" s="78"/>
      <c r="P2255" s="85"/>
    </row>
    <row r="2256" spans="11:16">
      <c r="K2256" s="85">
        <v>28</v>
      </c>
      <c r="N2256" s="78"/>
      <c r="P2256" s="85"/>
    </row>
    <row r="2257" spans="11:16">
      <c r="K2257" s="85">
        <v>30</v>
      </c>
      <c r="N2257" s="78"/>
      <c r="P2257" s="85"/>
    </row>
    <row r="2258" spans="11:16">
      <c r="K2258" s="85">
        <v>31</v>
      </c>
      <c r="N2258" s="78"/>
      <c r="P2258" s="85"/>
    </row>
    <row r="2259" spans="11:16">
      <c r="K2259" s="85">
        <v>32</v>
      </c>
      <c r="N2259" s="78"/>
      <c r="P2259" s="85"/>
    </row>
    <row r="2260" spans="11:16">
      <c r="K2260" s="85">
        <v>33</v>
      </c>
      <c r="N2260" s="78"/>
      <c r="P2260" s="85"/>
    </row>
    <row r="2261" spans="11:16">
      <c r="K2261" s="85">
        <v>34</v>
      </c>
      <c r="N2261" s="78"/>
      <c r="P2261" s="85"/>
    </row>
    <row r="2262" spans="11:16">
      <c r="K2262" s="85">
        <v>35</v>
      </c>
      <c r="N2262" s="78"/>
      <c r="P2262" s="85"/>
    </row>
    <row r="2263" spans="11:16">
      <c r="K2263" s="85">
        <v>25</v>
      </c>
      <c r="N2263" s="78"/>
      <c r="P2263" s="85"/>
    </row>
    <row r="2264" spans="11:16">
      <c r="K2264" s="85">
        <v>26</v>
      </c>
      <c r="N2264" s="78"/>
      <c r="P2264" s="85"/>
    </row>
    <row r="2265" spans="11:16">
      <c r="K2265" s="85">
        <v>27</v>
      </c>
      <c r="N2265" s="78"/>
      <c r="P2265" s="85"/>
    </row>
    <row r="2266" spans="11:16">
      <c r="K2266" s="85">
        <v>28</v>
      </c>
      <c r="N2266" s="78"/>
      <c r="P2266" s="85"/>
    </row>
    <row r="2267" spans="11:16">
      <c r="K2267" s="85">
        <v>29</v>
      </c>
      <c r="N2267" s="78"/>
      <c r="P2267" s="85"/>
    </row>
    <row r="2268" spans="11:16">
      <c r="K2268" s="85">
        <v>30</v>
      </c>
      <c r="N2268" s="78"/>
      <c r="P2268" s="85"/>
    </row>
    <row r="2269" spans="11:16">
      <c r="K2269" s="85">
        <v>34</v>
      </c>
      <c r="N2269" s="78"/>
      <c r="P2269" s="85"/>
    </row>
    <row r="2270" spans="11:16">
      <c r="K2270" s="85">
        <v>25</v>
      </c>
      <c r="N2270" s="78"/>
      <c r="P2270" s="85"/>
    </row>
    <row r="2271" spans="11:16">
      <c r="K2271" s="85">
        <v>26</v>
      </c>
      <c r="N2271" s="78"/>
      <c r="P2271" s="85"/>
    </row>
    <row r="2272" spans="11:16">
      <c r="K2272" s="85">
        <v>27</v>
      </c>
      <c r="N2272" s="78"/>
      <c r="P2272" s="85"/>
    </row>
    <row r="2273" spans="11:16">
      <c r="K2273" s="85">
        <v>28</v>
      </c>
      <c r="N2273" s="78"/>
      <c r="P2273" s="85"/>
    </row>
    <row r="2274" spans="11:16">
      <c r="K2274" s="85">
        <v>29</v>
      </c>
      <c r="N2274" s="78"/>
      <c r="P2274" s="85"/>
    </row>
    <row r="2275" spans="11:16">
      <c r="K2275" s="85">
        <v>30</v>
      </c>
      <c r="N2275" s="78"/>
      <c r="P2275" s="85"/>
    </row>
    <row r="2276" spans="11:16">
      <c r="K2276" s="85">
        <v>31</v>
      </c>
      <c r="N2276" s="78"/>
      <c r="P2276" s="85"/>
    </row>
    <row r="2277" spans="11:16">
      <c r="K2277" s="85">
        <v>32</v>
      </c>
      <c r="N2277" s="78"/>
      <c r="P2277" s="85"/>
    </row>
    <row r="2278" spans="11:16">
      <c r="K2278" s="85">
        <v>33</v>
      </c>
      <c r="N2278" s="78"/>
      <c r="P2278" s="85"/>
    </row>
    <row r="2279" spans="11:16">
      <c r="K2279" s="85">
        <v>34</v>
      </c>
      <c r="N2279" s="78"/>
      <c r="P2279" s="85"/>
    </row>
    <row r="2280" spans="11:16">
      <c r="K2280" s="85">
        <v>35</v>
      </c>
      <c r="N2280" s="78"/>
      <c r="P2280" s="85"/>
    </row>
    <row r="2281" spans="11:16">
      <c r="K2281" s="85">
        <v>25</v>
      </c>
      <c r="N2281" s="78"/>
      <c r="P2281" s="85"/>
    </row>
    <row r="2282" spans="11:16">
      <c r="K2282" s="85">
        <v>26</v>
      </c>
      <c r="N2282" s="78"/>
      <c r="P2282" s="85"/>
    </row>
    <row r="2283" spans="11:16">
      <c r="K2283" s="85">
        <v>27</v>
      </c>
      <c r="N2283" s="78"/>
      <c r="P2283" s="85"/>
    </row>
    <row r="2284" spans="11:16">
      <c r="K2284" s="85">
        <v>28</v>
      </c>
      <c r="N2284" s="78"/>
      <c r="P2284" s="85"/>
    </row>
    <row r="2285" spans="11:16">
      <c r="K2285" s="85">
        <v>29</v>
      </c>
      <c r="N2285" s="78"/>
      <c r="P2285" s="85"/>
    </row>
    <row r="2286" spans="11:16">
      <c r="K2286" s="85">
        <v>30</v>
      </c>
      <c r="N2286" s="78"/>
      <c r="P2286" s="85"/>
    </row>
    <row r="2287" spans="11:16">
      <c r="K2287" s="85">
        <v>31</v>
      </c>
      <c r="N2287" s="78"/>
      <c r="P2287" s="85"/>
    </row>
    <row r="2288" spans="11:16">
      <c r="K2288" s="85">
        <v>32</v>
      </c>
      <c r="N2288" s="78"/>
      <c r="P2288" s="85"/>
    </row>
    <row r="2289" spans="11:16">
      <c r="K2289" s="85">
        <v>33</v>
      </c>
      <c r="N2289" s="78"/>
      <c r="P2289" s="85"/>
    </row>
    <row r="2290" spans="11:16">
      <c r="K2290" s="85">
        <v>34</v>
      </c>
      <c r="N2290" s="78"/>
      <c r="P2290" s="85"/>
    </row>
    <row r="2291" spans="11:16">
      <c r="K2291" s="85">
        <v>35</v>
      </c>
      <c r="N2291" s="78"/>
      <c r="P2291" s="85"/>
    </row>
    <row r="2292" spans="11:16">
      <c r="K2292" s="85">
        <v>25</v>
      </c>
      <c r="N2292" s="78"/>
      <c r="P2292" s="85"/>
    </row>
    <row r="2293" spans="11:16">
      <c r="K2293" s="85">
        <v>26</v>
      </c>
      <c r="N2293" s="78"/>
      <c r="P2293" s="85"/>
    </row>
    <row r="2294" spans="11:16">
      <c r="K2294" s="85">
        <v>27</v>
      </c>
      <c r="N2294" s="78"/>
      <c r="P2294" s="85"/>
    </row>
    <row r="2295" spans="11:16">
      <c r="K2295" s="85">
        <v>28</v>
      </c>
      <c r="N2295" s="78"/>
      <c r="P2295" s="85"/>
    </row>
    <row r="2296" spans="11:16">
      <c r="K2296" s="85">
        <v>29</v>
      </c>
      <c r="N2296" s="78"/>
      <c r="P2296" s="85"/>
    </row>
    <row r="2297" spans="11:16">
      <c r="K2297" s="85">
        <v>30</v>
      </c>
      <c r="N2297" s="78"/>
      <c r="P2297" s="85"/>
    </row>
    <row r="2298" spans="11:16">
      <c r="K2298" s="85">
        <v>31</v>
      </c>
      <c r="N2298" s="78"/>
      <c r="P2298" s="85"/>
    </row>
    <row r="2299" spans="11:16">
      <c r="K2299" s="85">
        <v>32</v>
      </c>
      <c r="N2299" s="78"/>
      <c r="P2299" s="85"/>
    </row>
    <row r="2300" spans="11:16">
      <c r="K2300" s="85">
        <v>34</v>
      </c>
      <c r="N2300" s="78"/>
      <c r="P2300" s="85"/>
    </row>
    <row r="2301" spans="11:16">
      <c r="K2301" s="85">
        <v>27</v>
      </c>
      <c r="N2301" s="78"/>
      <c r="P2301" s="85"/>
    </row>
    <row r="2302" spans="11:16">
      <c r="K2302" s="85">
        <v>28</v>
      </c>
      <c r="N2302" s="78"/>
      <c r="P2302" s="85"/>
    </row>
    <row r="2303" spans="11:16">
      <c r="K2303" s="85">
        <v>30</v>
      </c>
      <c r="N2303" s="78"/>
      <c r="P2303" s="85"/>
    </row>
    <row r="2304" spans="11:16">
      <c r="K2304" s="85">
        <v>34</v>
      </c>
      <c r="N2304" s="78"/>
      <c r="P2304" s="85"/>
    </row>
    <row r="2305" spans="11:16">
      <c r="K2305" s="85">
        <v>35</v>
      </c>
      <c r="N2305" s="78"/>
      <c r="P2305" s="85"/>
    </row>
    <row r="2306" spans="11:16">
      <c r="K2306" s="85">
        <v>25</v>
      </c>
      <c r="N2306" s="78"/>
      <c r="P2306" s="85"/>
    </row>
    <row r="2307" spans="11:16">
      <c r="K2307" s="85">
        <v>26</v>
      </c>
      <c r="N2307" s="78"/>
      <c r="P2307" s="85"/>
    </row>
    <row r="2308" spans="11:16">
      <c r="K2308" s="85">
        <v>27</v>
      </c>
      <c r="N2308" s="78"/>
      <c r="P2308" s="85"/>
    </row>
    <row r="2309" spans="11:16">
      <c r="K2309" s="85">
        <v>28</v>
      </c>
      <c r="N2309" s="78"/>
      <c r="P2309" s="85"/>
    </row>
    <row r="2310" spans="11:16">
      <c r="K2310" s="85">
        <v>29</v>
      </c>
      <c r="N2310" s="78"/>
      <c r="P2310" s="85"/>
    </row>
    <row r="2311" spans="11:16">
      <c r="K2311" s="85">
        <v>30</v>
      </c>
      <c r="N2311" s="78"/>
      <c r="P2311" s="85"/>
    </row>
    <row r="2312" spans="11:16">
      <c r="K2312" s="85">
        <v>31</v>
      </c>
      <c r="N2312" s="78"/>
      <c r="P2312" s="85"/>
    </row>
    <row r="2313" spans="11:16">
      <c r="K2313" s="85">
        <v>32</v>
      </c>
      <c r="N2313" s="78"/>
      <c r="P2313" s="85"/>
    </row>
    <row r="2314" spans="11:16">
      <c r="K2314" s="85">
        <v>33</v>
      </c>
      <c r="N2314" s="78"/>
      <c r="P2314" s="85"/>
    </row>
    <row r="2315" spans="11:16">
      <c r="K2315" s="85">
        <v>34</v>
      </c>
      <c r="N2315" s="78"/>
      <c r="P2315" s="85"/>
    </row>
    <row r="2316" spans="11:16">
      <c r="K2316" s="85">
        <v>35</v>
      </c>
      <c r="N2316" s="78"/>
      <c r="P2316" s="85"/>
    </row>
    <row r="2317" spans="11:16">
      <c r="K2317" s="85">
        <v>25</v>
      </c>
      <c r="N2317" s="78"/>
      <c r="P2317" s="85"/>
    </row>
    <row r="2318" spans="11:16">
      <c r="K2318" s="85">
        <v>26</v>
      </c>
      <c r="N2318" s="78"/>
      <c r="P2318" s="85"/>
    </row>
    <row r="2319" spans="11:16">
      <c r="K2319" s="85">
        <v>27</v>
      </c>
      <c r="N2319" s="78"/>
      <c r="P2319" s="85"/>
    </row>
    <row r="2320" spans="11:16">
      <c r="K2320" s="85">
        <v>28</v>
      </c>
      <c r="N2320" s="78"/>
      <c r="P2320" s="85"/>
    </row>
    <row r="2321" spans="11:16">
      <c r="K2321" s="85">
        <v>31</v>
      </c>
      <c r="N2321" s="78"/>
      <c r="P2321" s="85"/>
    </row>
    <row r="2322" spans="11:16">
      <c r="K2322" s="85">
        <v>32</v>
      </c>
      <c r="N2322" s="78"/>
      <c r="P2322" s="85"/>
    </row>
    <row r="2323" spans="11:16">
      <c r="K2323" s="85">
        <v>34</v>
      </c>
      <c r="N2323" s="78"/>
      <c r="P2323" s="85"/>
    </row>
    <row r="2324" spans="11:16">
      <c r="K2324" s="85">
        <v>35</v>
      </c>
      <c r="N2324" s="78"/>
      <c r="P2324" s="85"/>
    </row>
    <row r="2325" spans="11:16">
      <c r="K2325" s="85">
        <v>36</v>
      </c>
      <c r="N2325" s="78"/>
      <c r="P2325" s="85"/>
    </row>
    <row r="2326" spans="11:16">
      <c r="K2326" s="85">
        <v>25</v>
      </c>
      <c r="N2326" s="78"/>
      <c r="P2326" s="85"/>
    </row>
    <row r="2327" spans="11:16">
      <c r="K2327" s="85">
        <v>27</v>
      </c>
      <c r="N2327" s="78"/>
      <c r="P2327" s="85"/>
    </row>
    <row r="2328" spans="11:16">
      <c r="K2328" s="85">
        <v>31</v>
      </c>
      <c r="N2328" s="78"/>
      <c r="P2328" s="85"/>
    </row>
    <row r="2329" spans="11:16">
      <c r="K2329" s="85">
        <v>32</v>
      </c>
      <c r="N2329" s="78"/>
      <c r="P2329" s="85"/>
    </row>
    <row r="2330" spans="11:16">
      <c r="K2330" s="85">
        <v>34</v>
      </c>
      <c r="N2330" s="78"/>
      <c r="P2330" s="85"/>
    </row>
    <row r="2331" spans="11:16">
      <c r="K2331" s="85">
        <v>26</v>
      </c>
      <c r="N2331" s="78"/>
      <c r="P2331" s="85"/>
    </row>
    <row r="2332" spans="11:16">
      <c r="K2332" s="85">
        <v>27</v>
      </c>
      <c r="N2332" s="78"/>
      <c r="P2332" s="85"/>
    </row>
    <row r="2333" spans="11:16">
      <c r="K2333" s="85">
        <v>31</v>
      </c>
      <c r="N2333" s="78"/>
      <c r="P2333" s="85"/>
    </row>
    <row r="2334" spans="11:16">
      <c r="K2334" s="85">
        <v>33</v>
      </c>
      <c r="N2334" s="78"/>
      <c r="P2334" s="85"/>
    </row>
    <row r="2335" spans="11:16">
      <c r="K2335" s="85">
        <v>34</v>
      </c>
      <c r="N2335" s="78"/>
      <c r="P2335" s="85"/>
    </row>
    <row r="2336" spans="11:16">
      <c r="K2336" s="85">
        <v>36</v>
      </c>
      <c r="N2336" s="78"/>
      <c r="P2336" s="85"/>
    </row>
    <row r="2337" spans="11:16">
      <c r="K2337" s="85">
        <v>25</v>
      </c>
      <c r="N2337" s="78"/>
      <c r="P2337" s="85"/>
    </row>
    <row r="2338" spans="11:16">
      <c r="K2338" s="85">
        <v>26</v>
      </c>
      <c r="N2338" s="78"/>
      <c r="P2338" s="85"/>
    </row>
    <row r="2339" spans="11:16">
      <c r="K2339" s="85">
        <v>27</v>
      </c>
      <c r="N2339" s="78"/>
      <c r="P2339" s="85"/>
    </row>
    <row r="2340" spans="11:16">
      <c r="K2340" s="85">
        <v>28</v>
      </c>
      <c r="N2340" s="78"/>
      <c r="P2340" s="85"/>
    </row>
    <row r="2341" spans="11:16">
      <c r="K2341" s="85">
        <v>29</v>
      </c>
      <c r="N2341" s="78"/>
      <c r="P2341" s="85"/>
    </row>
    <row r="2342" spans="11:16">
      <c r="K2342" s="85">
        <v>30</v>
      </c>
      <c r="N2342" s="78"/>
      <c r="P2342" s="85"/>
    </row>
    <row r="2343" spans="11:16">
      <c r="K2343" s="85">
        <v>31</v>
      </c>
      <c r="N2343" s="78"/>
      <c r="P2343" s="85"/>
    </row>
    <row r="2344" spans="11:16">
      <c r="K2344" s="85">
        <v>32</v>
      </c>
      <c r="N2344" s="78"/>
      <c r="P2344" s="85"/>
    </row>
    <row r="2345" spans="11:16">
      <c r="K2345" s="85">
        <v>33</v>
      </c>
      <c r="N2345" s="78"/>
      <c r="P2345" s="85"/>
    </row>
    <row r="2346" spans="11:16">
      <c r="K2346" s="85">
        <v>34</v>
      </c>
      <c r="N2346" s="78"/>
      <c r="P2346" s="85"/>
    </row>
    <row r="2347" spans="11:16">
      <c r="K2347" s="85">
        <v>35</v>
      </c>
      <c r="N2347" s="78"/>
      <c r="P2347" s="85"/>
    </row>
    <row r="2348" spans="11:16">
      <c r="K2348" s="85">
        <v>25</v>
      </c>
      <c r="N2348" s="78"/>
      <c r="P2348" s="85"/>
    </row>
    <row r="2349" spans="11:16">
      <c r="K2349" s="85">
        <v>26</v>
      </c>
      <c r="N2349" s="78"/>
      <c r="P2349" s="85"/>
    </row>
    <row r="2350" spans="11:16">
      <c r="K2350" s="85">
        <v>27</v>
      </c>
      <c r="N2350" s="78"/>
      <c r="P2350" s="85"/>
    </row>
    <row r="2351" spans="11:16">
      <c r="K2351" s="85">
        <v>28</v>
      </c>
      <c r="N2351" s="78"/>
      <c r="P2351" s="85"/>
    </row>
    <row r="2352" spans="11:16">
      <c r="K2352" s="85">
        <v>29</v>
      </c>
      <c r="N2352" s="78"/>
      <c r="P2352" s="85"/>
    </row>
    <row r="2353" spans="11:16">
      <c r="K2353" s="85">
        <v>30</v>
      </c>
      <c r="N2353" s="78"/>
      <c r="P2353" s="85"/>
    </row>
    <row r="2354" spans="11:16">
      <c r="K2354" s="85">
        <v>31</v>
      </c>
      <c r="N2354" s="78"/>
      <c r="P2354" s="85"/>
    </row>
    <row r="2355" spans="11:16">
      <c r="K2355" s="85">
        <v>32</v>
      </c>
      <c r="N2355" s="78"/>
      <c r="P2355" s="85"/>
    </row>
    <row r="2356" spans="11:16">
      <c r="K2356" s="85">
        <v>33</v>
      </c>
      <c r="N2356" s="78"/>
      <c r="P2356" s="85"/>
    </row>
    <row r="2357" spans="11:16">
      <c r="K2357" s="85">
        <v>34</v>
      </c>
      <c r="N2357" s="78"/>
      <c r="P2357" s="85"/>
    </row>
    <row r="2358" spans="11:16">
      <c r="K2358" s="85">
        <v>35</v>
      </c>
      <c r="N2358" s="78"/>
      <c r="P2358" s="85"/>
    </row>
    <row r="2359" spans="11:16">
      <c r="K2359" s="85">
        <v>36</v>
      </c>
      <c r="N2359" s="78"/>
      <c r="P2359" s="85"/>
    </row>
    <row r="2360" spans="11:16">
      <c r="K2360" s="85">
        <v>25</v>
      </c>
      <c r="N2360" s="78"/>
      <c r="P2360" s="85"/>
    </row>
    <row r="2361" spans="11:16">
      <c r="K2361" s="85">
        <v>26</v>
      </c>
      <c r="N2361" s="78"/>
      <c r="P2361" s="85"/>
    </row>
    <row r="2362" spans="11:16">
      <c r="K2362" s="85">
        <v>27</v>
      </c>
      <c r="N2362" s="78"/>
      <c r="P2362" s="85"/>
    </row>
    <row r="2363" spans="11:16">
      <c r="K2363" s="85">
        <v>28</v>
      </c>
      <c r="N2363" s="78"/>
      <c r="P2363" s="85"/>
    </row>
    <row r="2364" spans="11:16">
      <c r="K2364" s="85">
        <v>29</v>
      </c>
      <c r="N2364" s="78"/>
      <c r="P2364" s="85"/>
    </row>
    <row r="2365" spans="11:16">
      <c r="K2365" s="85">
        <v>30</v>
      </c>
      <c r="N2365" s="78"/>
      <c r="P2365" s="85"/>
    </row>
    <row r="2366" spans="11:16">
      <c r="K2366" s="85">
        <v>31</v>
      </c>
      <c r="N2366" s="78"/>
      <c r="P2366" s="85"/>
    </row>
    <row r="2367" spans="11:16">
      <c r="K2367" s="85">
        <v>32</v>
      </c>
      <c r="N2367" s="78"/>
      <c r="P2367" s="85"/>
    </row>
    <row r="2368" spans="11:16">
      <c r="K2368" s="85">
        <v>34</v>
      </c>
      <c r="N2368" s="78"/>
      <c r="P2368" s="85"/>
    </row>
    <row r="2369" spans="11:16">
      <c r="K2369" s="85">
        <v>25</v>
      </c>
      <c r="N2369" s="78"/>
      <c r="P2369" s="85"/>
    </row>
    <row r="2370" spans="11:16">
      <c r="K2370" s="85">
        <v>26</v>
      </c>
      <c r="N2370" s="78"/>
      <c r="P2370" s="85"/>
    </row>
    <row r="2371" spans="11:16">
      <c r="K2371" s="85">
        <v>27</v>
      </c>
      <c r="N2371" s="78"/>
      <c r="P2371" s="85"/>
    </row>
    <row r="2372" spans="11:16">
      <c r="K2372" s="85">
        <v>28</v>
      </c>
      <c r="N2372" s="78"/>
      <c r="P2372" s="85"/>
    </row>
    <row r="2373" spans="11:16">
      <c r="K2373" s="85">
        <v>29</v>
      </c>
      <c r="N2373" s="78"/>
      <c r="P2373" s="85"/>
    </row>
    <row r="2374" spans="11:16">
      <c r="K2374" s="85">
        <v>30</v>
      </c>
      <c r="N2374" s="78"/>
      <c r="P2374" s="85"/>
    </row>
    <row r="2375" spans="11:16">
      <c r="K2375" s="85">
        <v>31</v>
      </c>
      <c r="N2375" s="78"/>
      <c r="P2375" s="85"/>
    </row>
    <row r="2376" spans="11:16">
      <c r="K2376" s="85">
        <v>32</v>
      </c>
      <c r="N2376" s="78"/>
      <c r="P2376" s="85"/>
    </row>
    <row r="2377" spans="11:16">
      <c r="K2377" s="85">
        <v>33</v>
      </c>
      <c r="N2377" s="78"/>
      <c r="P2377" s="85"/>
    </row>
    <row r="2378" spans="11:16">
      <c r="K2378" s="85">
        <v>34</v>
      </c>
      <c r="N2378" s="78"/>
      <c r="P2378" s="85"/>
    </row>
    <row r="2379" spans="11:16">
      <c r="K2379" s="85">
        <v>35</v>
      </c>
      <c r="N2379" s="78"/>
      <c r="P2379" s="85"/>
    </row>
    <row r="2380" spans="11:16">
      <c r="K2380" s="85">
        <v>36</v>
      </c>
      <c r="N2380" s="78"/>
      <c r="P2380" s="85"/>
    </row>
    <row r="2381" spans="11:16">
      <c r="K2381" s="85">
        <v>27</v>
      </c>
      <c r="N2381" s="78"/>
      <c r="P2381" s="85"/>
    </row>
    <row r="2382" spans="11:16">
      <c r="K2382" s="85">
        <v>28</v>
      </c>
      <c r="N2382" s="78"/>
      <c r="P2382" s="85"/>
    </row>
    <row r="2383" spans="11:16">
      <c r="K2383" s="85">
        <v>31</v>
      </c>
      <c r="N2383" s="78"/>
      <c r="P2383" s="85"/>
    </row>
    <row r="2384" spans="11:16">
      <c r="K2384" s="85">
        <v>32</v>
      </c>
      <c r="N2384" s="78"/>
      <c r="P2384" s="85"/>
    </row>
    <row r="2385" spans="11:16">
      <c r="K2385" s="85">
        <v>34</v>
      </c>
      <c r="N2385" s="78"/>
      <c r="P2385" s="85"/>
    </row>
    <row r="2386" spans="11:16">
      <c r="K2386" s="85">
        <v>35</v>
      </c>
      <c r="N2386" s="78"/>
      <c r="P2386" s="85"/>
    </row>
    <row r="2387" spans="11:16">
      <c r="K2387" s="85">
        <v>25</v>
      </c>
      <c r="N2387" s="78"/>
      <c r="P2387" s="85"/>
    </row>
    <row r="2388" spans="11:16">
      <c r="K2388" s="85">
        <v>26</v>
      </c>
      <c r="N2388" s="78"/>
      <c r="P2388" s="85"/>
    </row>
    <row r="2389" spans="11:16">
      <c r="K2389" s="85">
        <v>27</v>
      </c>
      <c r="N2389" s="78"/>
      <c r="P2389" s="85"/>
    </row>
    <row r="2390" spans="11:16">
      <c r="K2390" s="85">
        <v>28</v>
      </c>
      <c r="N2390" s="78"/>
      <c r="P2390" s="85"/>
    </row>
    <row r="2391" spans="11:16">
      <c r="K2391" s="85">
        <v>29</v>
      </c>
      <c r="N2391" s="78"/>
      <c r="P2391" s="85"/>
    </row>
    <row r="2392" spans="11:16">
      <c r="K2392" s="85">
        <v>30</v>
      </c>
      <c r="N2392" s="78"/>
      <c r="P2392" s="85"/>
    </row>
    <row r="2393" spans="11:16">
      <c r="K2393" s="85">
        <v>34</v>
      </c>
      <c r="N2393" s="78"/>
      <c r="P2393" s="85"/>
    </row>
    <row r="2394" spans="11:16">
      <c r="K2394" s="85">
        <v>35</v>
      </c>
      <c r="N2394" s="78"/>
      <c r="P2394" s="85"/>
    </row>
    <row r="2395" spans="11:16">
      <c r="K2395" s="85">
        <v>25</v>
      </c>
      <c r="N2395" s="78"/>
      <c r="P2395" s="85"/>
    </row>
    <row r="2396" spans="11:16">
      <c r="K2396" s="85">
        <v>26</v>
      </c>
      <c r="N2396" s="78"/>
      <c r="P2396" s="85"/>
    </row>
    <row r="2397" spans="11:16">
      <c r="K2397" s="85">
        <v>27</v>
      </c>
      <c r="N2397" s="78"/>
      <c r="P2397" s="85"/>
    </row>
    <row r="2398" spans="11:16">
      <c r="K2398" s="85">
        <v>30</v>
      </c>
      <c r="N2398" s="78"/>
      <c r="P2398" s="85"/>
    </row>
    <row r="2399" spans="11:16">
      <c r="K2399" s="85">
        <v>31</v>
      </c>
      <c r="N2399" s="78"/>
      <c r="P2399" s="85"/>
    </row>
    <row r="2400" spans="11:16">
      <c r="K2400" s="85">
        <v>33</v>
      </c>
      <c r="N2400" s="78"/>
      <c r="P2400" s="85"/>
    </row>
    <row r="2401" spans="11:16">
      <c r="K2401" s="85">
        <v>35</v>
      </c>
      <c r="N2401" s="78"/>
      <c r="P2401" s="85"/>
    </row>
    <row r="2402" spans="11:16">
      <c r="K2402" s="85">
        <v>26</v>
      </c>
      <c r="N2402" s="78"/>
      <c r="P2402" s="85"/>
    </row>
    <row r="2403" spans="11:16">
      <c r="K2403" s="85">
        <v>27</v>
      </c>
      <c r="N2403" s="78"/>
      <c r="P2403" s="85"/>
    </row>
    <row r="2404" spans="11:16">
      <c r="K2404" s="85">
        <v>26</v>
      </c>
      <c r="N2404" s="78"/>
      <c r="P2404" s="85"/>
    </row>
    <row r="2405" spans="11:16">
      <c r="K2405" s="85">
        <v>27</v>
      </c>
      <c r="N2405" s="78"/>
      <c r="P2405" s="85"/>
    </row>
    <row r="2406" spans="11:16">
      <c r="K2406" s="85">
        <v>29</v>
      </c>
      <c r="N2406" s="78"/>
      <c r="P2406" s="85"/>
    </row>
    <row r="2407" spans="11:16">
      <c r="K2407" s="85">
        <v>31</v>
      </c>
      <c r="N2407" s="78"/>
      <c r="P2407" s="85"/>
    </row>
    <row r="2408" spans="11:16">
      <c r="K2408" s="85">
        <v>32</v>
      </c>
      <c r="N2408" s="78"/>
      <c r="P2408" s="85"/>
    </row>
    <row r="2409" spans="11:16">
      <c r="K2409" s="85">
        <v>33</v>
      </c>
      <c r="N2409" s="78"/>
      <c r="P2409" s="85"/>
    </row>
    <row r="2410" spans="11:16">
      <c r="K2410" s="85">
        <v>34</v>
      </c>
      <c r="N2410" s="78"/>
      <c r="P2410" s="85"/>
    </row>
    <row r="2411" spans="11:16">
      <c r="K2411" s="85">
        <v>35</v>
      </c>
      <c r="N2411" s="78"/>
      <c r="P2411" s="85"/>
    </row>
    <row r="2412" spans="11:16">
      <c r="K2412" s="85">
        <v>36</v>
      </c>
      <c r="N2412" s="78"/>
      <c r="P2412" s="85"/>
    </row>
    <row r="2413" spans="11:16">
      <c r="K2413" s="85">
        <v>26</v>
      </c>
      <c r="N2413" s="78"/>
      <c r="P2413" s="85"/>
    </row>
    <row r="2414" spans="11:16">
      <c r="K2414" s="85">
        <v>27</v>
      </c>
      <c r="N2414" s="78"/>
      <c r="P2414" s="85"/>
    </row>
    <row r="2415" spans="11:16">
      <c r="K2415" s="85">
        <v>28</v>
      </c>
      <c r="N2415" s="78"/>
      <c r="P2415" s="85"/>
    </row>
    <row r="2416" spans="11:16">
      <c r="K2416" s="85">
        <v>33</v>
      </c>
      <c r="N2416" s="78"/>
      <c r="P2416" s="85"/>
    </row>
    <row r="2417" spans="11:16">
      <c r="K2417" s="85">
        <v>34</v>
      </c>
      <c r="N2417" s="78"/>
      <c r="P2417" s="85"/>
    </row>
    <row r="2418" spans="11:16">
      <c r="K2418" s="85">
        <v>35</v>
      </c>
      <c r="N2418" s="78"/>
      <c r="P2418" s="85"/>
    </row>
    <row r="2419" spans="11:16">
      <c r="K2419" s="85">
        <v>25</v>
      </c>
      <c r="N2419" s="78"/>
      <c r="P2419" s="85"/>
    </row>
    <row r="2420" spans="11:16">
      <c r="K2420" s="85">
        <v>26</v>
      </c>
      <c r="N2420" s="78"/>
      <c r="P2420" s="85"/>
    </row>
    <row r="2421" spans="11:16">
      <c r="K2421" s="85">
        <v>27</v>
      </c>
      <c r="N2421" s="78"/>
      <c r="P2421" s="85"/>
    </row>
    <row r="2422" spans="11:16">
      <c r="K2422" s="85">
        <v>31</v>
      </c>
      <c r="N2422" s="78"/>
      <c r="P2422" s="85"/>
    </row>
    <row r="2423" spans="11:16">
      <c r="K2423" s="85">
        <v>32</v>
      </c>
      <c r="N2423" s="78"/>
      <c r="P2423" s="85"/>
    </row>
    <row r="2424" spans="11:16">
      <c r="K2424" s="85">
        <v>36</v>
      </c>
      <c r="N2424" s="78"/>
      <c r="P2424" s="85"/>
    </row>
    <row r="2425" spans="11:16">
      <c r="K2425" s="85">
        <v>25</v>
      </c>
      <c r="N2425" s="78"/>
      <c r="P2425" s="85"/>
    </row>
    <row r="2426" spans="11:16">
      <c r="K2426" s="85">
        <v>26</v>
      </c>
      <c r="N2426" s="78"/>
      <c r="P2426" s="85"/>
    </row>
    <row r="2427" spans="11:16">
      <c r="K2427" s="85">
        <v>27</v>
      </c>
      <c r="N2427" s="78"/>
      <c r="P2427" s="85"/>
    </row>
    <row r="2428" spans="11:16">
      <c r="K2428" s="85">
        <v>28</v>
      </c>
      <c r="N2428" s="78"/>
      <c r="P2428" s="85"/>
    </row>
    <row r="2429" spans="11:16">
      <c r="K2429" s="85">
        <v>29</v>
      </c>
      <c r="N2429" s="78"/>
      <c r="P2429" s="85"/>
    </row>
    <row r="2430" spans="11:16">
      <c r="K2430" s="85">
        <v>30</v>
      </c>
      <c r="N2430" s="78"/>
      <c r="P2430" s="85"/>
    </row>
    <row r="2431" spans="11:16">
      <c r="K2431" s="85">
        <v>31</v>
      </c>
      <c r="N2431" s="78"/>
      <c r="P2431" s="85"/>
    </row>
    <row r="2432" spans="11:16">
      <c r="K2432" s="85">
        <v>32</v>
      </c>
      <c r="N2432" s="78"/>
      <c r="P2432" s="85"/>
    </row>
    <row r="2433" spans="11:16">
      <c r="K2433" s="85">
        <v>34</v>
      </c>
      <c r="N2433" s="78"/>
      <c r="P2433" s="85"/>
    </row>
    <row r="2434" spans="11:16">
      <c r="K2434" s="85">
        <v>35</v>
      </c>
      <c r="N2434" s="78"/>
      <c r="P2434" s="85"/>
    </row>
    <row r="2435" spans="11:16">
      <c r="K2435" s="85">
        <v>27</v>
      </c>
      <c r="N2435" s="78"/>
      <c r="P2435" s="85"/>
    </row>
    <row r="2436" spans="11:16">
      <c r="K2436" s="85">
        <v>29</v>
      </c>
      <c r="N2436" s="78"/>
      <c r="P2436" s="85"/>
    </row>
    <row r="2437" spans="11:16">
      <c r="K2437" s="85">
        <v>31</v>
      </c>
      <c r="N2437" s="78"/>
      <c r="P2437" s="85"/>
    </row>
    <row r="2438" spans="11:16">
      <c r="K2438" s="85">
        <v>34</v>
      </c>
      <c r="N2438" s="78"/>
      <c r="P2438" s="85"/>
    </row>
    <row r="2439" spans="11:16">
      <c r="K2439" s="85">
        <v>25</v>
      </c>
      <c r="N2439" s="78"/>
      <c r="P2439" s="85"/>
    </row>
    <row r="2440" spans="11:16">
      <c r="K2440" s="85">
        <v>26</v>
      </c>
      <c r="N2440" s="78"/>
      <c r="P2440" s="85"/>
    </row>
    <row r="2441" spans="11:16">
      <c r="K2441" s="85">
        <v>27</v>
      </c>
      <c r="N2441" s="78"/>
      <c r="P2441" s="85"/>
    </row>
    <row r="2442" spans="11:16">
      <c r="K2442" s="85">
        <v>28</v>
      </c>
      <c r="N2442" s="78"/>
      <c r="P2442" s="85"/>
    </row>
    <row r="2443" spans="11:16">
      <c r="K2443" s="85">
        <v>29</v>
      </c>
      <c r="N2443" s="78"/>
      <c r="P2443" s="85"/>
    </row>
    <row r="2444" spans="11:16">
      <c r="K2444" s="85">
        <v>30</v>
      </c>
      <c r="N2444" s="78"/>
      <c r="P2444" s="85"/>
    </row>
    <row r="2445" spans="11:16">
      <c r="K2445" s="85">
        <v>31</v>
      </c>
      <c r="N2445" s="78"/>
      <c r="P2445" s="85"/>
    </row>
    <row r="2446" spans="11:16">
      <c r="K2446" s="85">
        <v>32</v>
      </c>
      <c r="N2446" s="78"/>
      <c r="P2446" s="85"/>
    </row>
    <row r="2447" spans="11:16">
      <c r="K2447" s="85">
        <v>33</v>
      </c>
      <c r="N2447" s="78"/>
      <c r="P2447" s="85"/>
    </row>
    <row r="2448" spans="11:16">
      <c r="K2448" s="85">
        <v>34</v>
      </c>
      <c r="N2448" s="78"/>
      <c r="P2448" s="85"/>
    </row>
    <row r="2449" spans="11:16">
      <c r="K2449" s="85">
        <v>35</v>
      </c>
      <c r="N2449" s="78"/>
      <c r="P2449" s="85"/>
    </row>
    <row r="2450" spans="11:16">
      <c r="K2450" s="85">
        <v>36</v>
      </c>
      <c r="N2450" s="78"/>
      <c r="P2450" s="85"/>
    </row>
    <row r="2451" spans="11:16">
      <c r="K2451" s="85">
        <v>25</v>
      </c>
      <c r="N2451" s="78"/>
      <c r="P2451" s="85"/>
    </row>
    <row r="2452" spans="11:16">
      <c r="K2452" s="85">
        <v>26</v>
      </c>
      <c r="N2452" s="78"/>
      <c r="P2452" s="85"/>
    </row>
    <row r="2453" spans="11:16">
      <c r="K2453" s="85">
        <v>27</v>
      </c>
      <c r="N2453" s="78"/>
      <c r="P2453" s="85"/>
    </row>
    <row r="2454" spans="11:16">
      <c r="K2454" s="85">
        <v>28</v>
      </c>
      <c r="N2454" s="78"/>
      <c r="P2454" s="85"/>
    </row>
    <row r="2455" spans="11:16">
      <c r="K2455" s="85">
        <v>30</v>
      </c>
      <c r="N2455" s="78"/>
      <c r="P2455" s="85"/>
    </row>
    <row r="2456" spans="11:16">
      <c r="K2456" s="85">
        <v>31</v>
      </c>
      <c r="N2456" s="78"/>
      <c r="P2456" s="85"/>
    </row>
    <row r="2457" spans="11:16">
      <c r="K2457" s="85">
        <v>34</v>
      </c>
      <c r="N2457" s="78"/>
      <c r="P2457" s="85"/>
    </row>
    <row r="2458" spans="11:16">
      <c r="K2458" s="85">
        <v>35</v>
      </c>
      <c r="N2458" s="78"/>
      <c r="P2458" s="85"/>
    </row>
    <row r="2459" spans="11:16">
      <c r="K2459" s="85">
        <v>36</v>
      </c>
      <c r="N2459" s="78"/>
      <c r="P2459" s="85"/>
    </row>
    <row r="2460" spans="11:16">
      <c r="K2460" s="85">
        <v>25</v>
      </c>
      <c r="N2460" s="78"/>
      <c r="P2460" s="85"/>
    </row>
    <row r="2461" spans="11:16">
      <c r="K2461" s="85">
        <v>26</v>
      </c>
      <c r="N2461" s="78"/>
      <c r="P2461" s="85"/>
    </row>
    <row r="2462" spans="11:16">
      <c r="K2462" s="85">
        <v>27</v>
      </c>
      <c r="N2462" s="78"/>
      <c r="P2462" s="85"/>
    </row>
    <row r="2463" spans="11:16">
      <c r="K2463" s="85">
        <v>28</v>
      </c>
      <c r="N2463" s="78"/>
      <c r="P2463" s="85"/>
    </row>
    <row r="2464" spans="11:16">
      <c r="K2464" s="85">
        <v>30</v>
      </c>
      <c r="N2464" s="78"/>
      <c r="P2464" s="85"/>
    </row>
    <row r="2465" spans="11:16">
      <c r="K2465" s="85">
        <v>31</v>
      </c>
      <c r="N2465" s="78"/>
      <c r="P2465" s="85"/>
    </row>
    <row r="2466" spans="11:16">
      <c r="K2466" s="85">
        <v>32</v>
      </c>
      <c r="N2466" s="78"/>
      <c r="P2466" s="85"/>
    </row>
    <row r="2467" spans="11:16">
      <c r="K2467" s="85">
        <v>34</v>
      </c>
      <c r="N2467" s="78"/>
      <c r="P2467" s="85"/>
    </row>
    <row r="2468" spans="11:16">
      <c r="K2468" s="85">
        <v>35</v>
      </c>
      <c r="N2468" s="78"/>
      <c r="P2468" s="85"/>
    </row>
    <row r="2469" spans="11:16">
      <c r="K2469" s="85">
        <v>26</v>
      </c>
      <c r="N2469" s="78"/>
      <c r="P2469" s="85"/>
    </row>
    <row r="2470" spans="11:16">
      <c r="K2470" s="85">
        <v>27</v>
      </c>
      <c r="N2470" s="78"/>
      <c r="P2470" s="85"/>
    </row>
    <row r="2471" spans="11:16">
      <c r="K2471" s="85">
        <v>29</v>
      </c>
      <c r="N2471" s="78"/>
      <c r="P2471" s="85"/>
    </row>
    <row r="2472" spans="11:16">
      <c r="K2472" s="85">
        <v>30</v>
      </c>
      <c r="N2472" s="78"/>
      <c r="P2472" s="85"/>
    </row>
    <row r="2473" spans="11:16">
      <c r="K2473" s="85">
        <v>31</v>
      </c>
      <c r="N2473" s="78"/>
      <c r="P2473" s="85"/>
    </row>
    <row r="2474" spans="11:16">
      <c r="K2474" s="85">
        <v>32</v>
      </c>
      <c r="N2474" s="78"/>
      <c r="P2474" s="85"/>
    </row>
    <row r="2475" spans="11:16">
      <c r="K2475" s="85">
        <v>33</v>
      </c>
      <c r="N2475" s="78"/>
      <c r="P2475" s="85"/>
    </row>
    <row r="2476" spans="11:16">
      <c r="K2476" s="85">
        <v>34</v>
      </c>
      <c r="N2476" s="78"/>
      <c r="P2476" s="85"/>
    </row>
    <row r="2477" spans="11:16">
      <c r="K2477" s="85">
        <v>35</v>
      </c>
      <c r="N2477" s="78"/>
      <c r="P2477" s="85"/>
    </row>
    <row r="2478" spans="11:16">
      <c r="K2478" s="85">
        <v>27</v>
      </c>
      <c r="N2478" s="78"/>
      <c r="P2478" s="85"/>
    </row>
    <row r="2479" spans="11:16">
      <c r="K2479" s="85">
        <v>28</v>
      </c>
      <c r="N2479" s="78"/>
      <c r="P2479" s="85"/>
    </row>
    <row r="2480" spans="11:16">
      <c r="K2480" s="85">
        <v>30</v>
      </c>
      <c r="N2480" s="78"/>
      <c r="P2480" s="85"/>
    </row>
    <row r="2481" spans="11:16">
      <c r="K2481" s="85">
        <v>31</v>
      </c>
      <c r="N2481" s="78"/>
      <c r="P2481" s="85"/>
    </row>
    <row r="2482" spans="11:16">
      <c r="K2482" s="85">
        <v>32</v>
      </c>
      <c r="N2482" s="78"/>
      <c r="P2482" s="85"/>
    </row>
    <row r="2483" spans="11:16">
      <c r="K2483" s="85">
        <v>33</v>
      </c>
      <c r="N2483" s="78"/>
      <c r="P2483" s="85"/>
    </row>
    <row r="2484" spans="11:16">
      <c r="K2484" s="85">
        <v>34</v>
      </c>
      <c r="N2484" s="78"/>
      <c r="P2484" s="85"/>
    </row>
    <row r="2485" spans="11:16">
      <c r="K2485" s="85">
        <v>35</v>
      </c>
      <c r="N2485" s="78"/>
      <c r="P2485" s="85"/>
    </row>
    <row r="2486" spans="11:16">
      <c r="K2486" s="85">
        <v>25</v>
      </c>
      <c r="N2486" s="78"/>
      <c r="P2486" s="85"/>
    </row>
    <row r="2487" spans="11:16">
      <c r="K2487" s="85">
        <v>26</v>
      </c>
      <c r="N2487" s="78"/>
      <c r="P2487" s="85"/>
    </row>
    <row r="2488" spans="11:16">
      <c r="K2488" s="85">
        <v>27</v>
      </c>
      <c r="N2488" s="78"/>
      <c r="P2488" s="85"/>
    </row>
    <row r="2489" spans="11:16">
      <c r="K2489" s="85">
        <v>28</v>
      </c>
      <c r="N2489" s="78"/>
      <c r="P2489" s="85"/>
    </row>
    <row r="2490" spans="11:16">
      <c r="K2490" s="85">
        <v>29</v>
      </c>
      <c r="N2490" s="78"/>
      <c r="P2490" s="85"/>
    </row>
    <row r="2491" spans="11:16">
      <c r="K2491" s="85">
        <v>30</v>
      </c>
      <c r="N2491" s="78"/>
      <c r="P2491" s="85"/>
    </row>
    <row r="2492" spans="11:16">
      <c r="K2492" s="85">
        <v>31</v>
      </c>
      <c r="N2492" s="78"/>
      <c r="P2492" s="85"/>
    </row>
    <row r="2493" spans="11:16">
      <c r="K2493" s="85">
        <v>34</v>
      </c>
      <c r="N2493" s="78"/>
      <c r="P2493" s="85"/>
    </row>
    <row r="2494" spans="11:16">
      <c r="K2494" s="85">
        <v>35</v>
      </c>
      <c r="N2494" s="78"/>
      <c r="P2494" s="85"/>
    </row>
    <row r="2495" spans="11:16">
      <c r="K2495" s="85">
        <v>25</v>
      </c>
      <c r="N2495" s="78"/>
      <c r="P2495" s="85"/>
    </row>
    <row r="2496" spans="11:16">
      <c r="K2496" s="85">
        <v>26</v>
      </c>
      <c r="N2496" s="78"/>
      <c r="P2496" s="85"/>
    </row>
    <row r="2497" spans="11:16">
      <c r="K2497" s="85">
        <v>27</v>
      </c>
      <c r="N2497" s="78"/>
      <c r="P2497" s="85"/>
    </row>
    <row r="2498" spans="11:16">
      <c r="K2498" s="85">
        <v>28</v>
      </c>
      <c r="N2498" s="78"/>
      <c r="P2498" s="85"/>
    </row>
    <row r="2499" spans="11:16">
      <c r="K2499" s="85">
        <v>29</v>
      </c>
      <c r="N2499" s="78"/>
      <c r="P2499" s="85"/>
    </row>
    <row r="2500" spans="11:16">
      <c r="K2500" s="85">
        <v>30</v>
      </c>
      <c r="N2500" s="78"/>
      <c r="P2500" s="85"/>
    </row>
    <row r="2501" spans="11:16">
      <c r="K2501" s="85">
        <v>31</v>
      </c>
      <c r="N2501" s="78"/>
      <c r="P2501" s="85"/>
    </row>
    <row r="2502" spans="11:16">
      <c r="K2502" s="85">
        <v>32</v>
      </c>
      <c r="N2502" s="78"/>
      <c r="P2502" s="85"/>
    </row>
    <row r="2503" spans="11:16">
      <c r="K2503" s="85">
        <v>34</v>
      </c>
      <c r="N2503" s="78"/>
      <c r="P2503" s="85"/>
    </row>
    <row r="2504" spans="11:16">
      <c r="K2504" s="85">
        <v>35</v>
      </c>
      <c r="N2504" s="78"/>
      <c r="P2504" s="85"/>
    </row>
    <row r="2505" spans="11:16">
      <c r="K2505" s="85">
        <v>36</v>
      </c>
      <c r="N2505" s="78"/>
      <c r="P2505" s="85"/>
    </row>
    <row r="2506" spans="11:16">
      <c r="K2506" s="85">
        <v>25</v>
      </c>
      <c r="N2506" s="78"/>
      <c r="P2506" s="85"/>
    </row>
    <row r="2507" spans="11:16">
      <c r="K2507" s="85">
        <v>26</v>
      </c>
      <c r="N2507" s="78"/>
      <c r="P2507" s="85"/>
    </row>
    <row r="2508" spans="11:16">
      <c r="K2508" s="85">
        <v>27</v>
      </c>
      <c r="N2508" s="78"/>
      <c r="P2508" s="85"/>
    </row>
    <row r="2509" spans="11:16">
      <c r="K2509" s="85">
        <v>28</v>
      </c>
      <c r="N2509" s="78"/>
      <c r="P2509" s="85"/>
    </row>
    <row r="2510" spans="11:16">
      <c r="K2510" s="85">
        <v>29</v>
      </c>
      <c r="N2510" s="78"/>
      <c r="P2510" s="85"/>
    </row>
    <row r="2511" spans="11:16">
      <c r="K2511" s="85">
        <v>30</v>
      </c>
      <c r="N2511" s="78"/>
      <c r="P2511" s="85"/>
    </row>
    <row r="2512" spans="11:16">
      <c r="K2512" s="85">
        <v>31</v>
      </c>
      <c r="N2512" s="78"/>
      <c r="P2512" s="85"/>
    </row>
    <row r="2513" spans="11:16">
      <c r="K2513" s="85">
        <v>33</v>
      </c>
      <c r="N2513" s="78"/>
      <c r="P2513" s="85"/>
    </row>
    <row r="2514" spans="11:16">
      <c r="K2514" s="85">
        <v>34</v>
      </c>
      <c r="N2514" s="78"/>
      <c r="P2514" s="85"/>
    </row>
    <row r="2515" spans="11:16">
      <c r="K2515" s="85">
        <v>35</v>
      </c>
      <c r="N2515" s="78"/>
      <c r="P2515" s="85"/>
    </row>
    <row r="2516" spans="11:16">
      <c r="K2516" s="85">
        <v>36</v>
      </c>
      <c r="N2516" s="78"/>
      <c r="P2516" s="85"/>
    </row>
    <row r="2517" spans="11:16">
      <c r="K2517" s="85">
        <v>25</v>
      </c>
      <c r="N2517" s="78"/>
      <c r="P2517" s="85"/>
    </row>
    <row r="2518" spans="11:16">
      <c r="K2518" s="85">
        <v>26</v>
      </c>
      <c r="N2518" s="78"/>
      <c r="P2518" s="85"/>
    </row>
    <row r="2519" spans="11:16">
      <c r="K2519" s="85">
        <v>27</v>
      </c>
      <c r="N2519" s="78"/>
      <c r="P2519" s="85"/>
    </row>
    <row r="2520" spans="11:16">
      <c r="K2520" s="85">
        <v>29</v>
      </c>
      <c r="N2520" s="78"/>
      <c r="P2520" s="85"/>
    </row>
    <row r="2521" spans="11:16">
      <c r="K2521" s="85">
        <v>31</v>
      </c>
      <c r="N2521" s="78"/>
      <c r="P2521" s="85"/>
    </row>
    <row r="2522" spans="11:16">
      <c r="K2522" s="85">
        <v>34</v>
      </c>
      <c r="N2522" s="78"/>
      <c r="P2522" s="85"/>
    </row>
    <row r="2523" spans="11:16">
      <c r="K2523" s="85">
        <v>35</v>
      </c>
      <c r="N2523" s="78"/>
      <c r="P2523" s="85"/>
    </row>
    <row r="2524" spans="11:16">
      <c r="K2524" s="85">
        <v>36</v>
      </c>
      <c r="N2524" s="78"/>
      <c r="P2524" s="85"/>
    </row>
    <row r="2525" spans="11:16">
      <c r="K2525" s="85">
        <v>25</v>
      </c>
      <c r="N2525" s="78"/>
      <c r="P2525" s="85"/>
    </row>
    <row r="2526" spans="11:16">
      <c r="K2526" s="85">
        <v>26</v>
      </c>
      <c r="N2526" s="78"/>
      <c r="P2526" s="85"/>
    </row>
    <row r="2527" spans="11:16">
      <c r="K2527" s="85">
        <v>27</v>
      </c>
      <c r="N2527" s="78"/>
      <c r="P2527" s="85"/>
    </row>
    <row r="2528" spans="11:16">
      <c r="K2528" s="85">
        <v>29</v>
      </c>
      <c r="N2528" s="78"/>
      <c r="P2528" s="85"/>
    </row>
    <row r="2529" spans="11:16">
      <c r="K2529" s="85">
        <v>31</v>
      </c>
      <c r="N2529" s="78"/>
      <c r="P2529" s="85"/>
    </row>
    <row r="2530" spans="11:16">
      <c r="K2530" s="85">
        <v>32</v>
      </c>
      <c r="N2530" s="78"/>
      <c r="P2530" s="85"/>
    </row>
    <row r="2531" spans="11:16">
      <c r="K2531" s="85">
        <v>33</v>
      </c>
      <c r="N2531" s="78"/>
      <c r="P2531" s="85"/>
    </row>
    <row r="2532" spans="11:16">
      <c r="K2532" s="85">
        <v>34</v>
      </c>
      <c r="N2532" s="78"/>
      <c r="P2532" s="85"/>
    </row>
    <row r="2533" spans="11:16">
      <c r="K2533" s="85">
        <v>35</v>
      </c>
      <c r="N2533" s="78"/>
      <c r="P2533" s="85"/>
    </row>
    <row r="2534" spans="11:16">
      <c r="K2534" s="85">
        <v>27</v>
      </c>
      <c r="N2534" s="78"/>
      <c r="P2534" s="85"/>
    </row>
    <row r="2535" spans="11:16">
      <c r="K2535" s="85">
        <v>32</v>
      </c>
      <c r="N2535" s="78"/>
      <c r="P2535" s="85"/>
    </row>
    <row r="2536" spans="11:16">
      <c r="K2536" s="85">
        <v>34</v>
      </c>
      <c r="N2536" s="78"/>
      <c r="P2536" s="85"/>
    </row>
    <row r="2537" spans="11:16">
      <c r="K2537" s="85">
        <v>35</v>
      </c>
      <c r="N2537" s="78"/>
      <c r="P2537" s="85"/>
    </row>
    <row r="2538" spans="11:16">
      <c r="K2538" s="85">
        <v>25</v>
      </c>
      <c r="N2538" s="78"/>
      <c r="P2538" s="85"/>
    </row>
    <row r="2539" spans="11:16">
      <c r="K2539" s="85">
        <v>26</v>
      </c>
      <c r="N2539" s="78"/>
      <c r="P2539" s="85"/>
    </row>
    <row r="2540" spans="11:16">
      <c r="K2540" s="85">
        <v>27</v>
      </c>
      <c r="N2540" s="78"/>
      <c r="P2540" s="85"/>
    </row>
    <row r="2541" spans="11:16">
      <c r="K2541" s="85">
        <v>28</v>
      </c>
      <c r="N2541" s="78"/>
      <c r="P2541" s="85"/>
    </row>
    <row r="2542" spans="11:16">
      <c r="K2542" s="85">
        <v>29</v>
      </c>
      <c r="N2542" s="78"/>
      <c r="P2542" s="85"/>
    </row>
    <row r="2543" spans="11:16">
      <c r="K2543" s="85">
        <v>30</v>
      </c>
      <c r="N2543" s="78"/>
      <c r="P2543" s="85"/>
    </row>
    <row r="2544" spans="11:16">
      <c r="K2544" s="85">
        <v>31</v>
      </c>
      <c r="N2544" s="78"/>
      <c r="P2544" s="85"/>
    </row>
    <row r="2545" spans="11:16">
      <c r="K2545" s="85">
        <v>32</v>
      </c>
      <c r="N2545" s="78"/>
      <c r="P2545" s="85"/>
    </row>
    <row r="2546" spans="11:16">
      <c r="K2546" s="85">
        <v>33</v>
      </c>
      <c r="N2546" s="78"/>
      <c r="P2546" s="85"/>
    </row>
    <row r="2547" spans="11:16">
      <c r="K2547" s="85">
        <v>34</v>
      </c>
      <c r="N2547" s="78"/>
      <c r="P2547" s="85"/>
    </row>
    <row r="2548" spans="11:16">
      <c r="K2548" s="85">
        <v>35</v>
      </c>
      <c r="N2548" s="78"/>
      <c r="P2548" s="85"/>
    </row>
    <row r="2549" spans="11:16">
      <c r="K2549" s="85">
        <v>36</v>
      </c>
      <c r="N2549" s="78"/>
      <c r="P2549" s="85"/>
    </row>
    <row r="2550" spans="11:16">
      <c r="K2550" s="85">
        <v>26</v>
      </c>
      <c r="N2550" s="78"/>
      <c r="P2550" s="85"/>
    </row>
    <row r="2551" spans="11:16">
      <c r="K2551" s="85">
        <v>27</v>
      </c>
      <c r="N2551" s="78"/>
      <c r="P2551" s="85"/>
    </row>
    <row r="2552" spans="11:16">
      <c r="K2552" s="85">
        <v>28</v>
      </c>
      <c r="N2552" s="78"/>
      <c r="P2552" s="85"/>
    </row>
    <row r="2553" spans="11:16">
      <c r="K2553" s="85">
        <v>29</v>
      </c>
      <c r="N2553" s="78"/>
      <c r="P2553" s="85"/>
    </row>
    <row r="2554" spans="11:16">
      <c r="K2554" s="85">
        <v>30</v>
      </c>
      <c r="N2554" s="78"/>
      <c r="P2554" s="85"/>
    </row>
    <row r="2555" spans="11:16">
      <c r="K2555" s="85">
        <v>34</v>
      </c>
      <c r="N2555" s="78"/>
      <c r="P2555" s="85"/>
    </row>
    <row r="2556" spans="11:16">
      <c r="K2556" s="85">
        <v>35</v>
      </c>
      <c r="N2556" s="78"/>
      <c r="P2556" s="85"/>
    </row>
    <row r="2557" spans="11:16">
      <c r="K2557" s="85">
        <v>36</v>
      </c>
      <c r="N2557" s="78"/>
      <c r="P2557" s="85"/>
    </row>
    <row r="2558" spans="11:16">
      <c r="K2558" s="85">
        <v>25</v>
      </c>
      <c r="N2558" s="78"/>
      <c r="P2558" s="85"/>
    </row>
    <row r="2559" spans="11:16">
      <c r="K2559" s="85">
        <v>26</v>
      </c>
      <c r="N2559" s="78"/>
      <c r="P2559" s="85"/>
    </row>
    <row r="2560" spans="11:16">
      <c r="K2560" s="85">
        <v>27</v>
      </c>
      <c r="N2560" s="78"/>
      <c r="P2560" s="85"/>
    </row>
    <row r="2561" spans="11:16">
      <c r="K2561" s="85">
        <v>28</v>
      </c>
      <c r="N2561" s="78"/>
      <c r="P2561" s="85"/>
    </row>
    <row r="2562" spans="11:16">
      <c r="K2562" s="85">
        <v>30</v>
      </c>
      <c r="N2562" s="78"/>
      <c r="P2562" s="85"/>
    </row>
    <row r="2563" spans="11:16">
      <c r="K2563" s="85">
        <v>31</v>
      </c>
      <c r="N2563" s="78"/>
      <c r="P2563" s="85"/>
    </row>
    <row r="2564" spans="11:16">
      <c r="K2564" s="85">
        <v>32</v>
      </c>
      <c r="N2564" s="78"/>
      <c r="P2564" s="85"/>
    </row>
    <row r="2565" spans="11:16">
      <c r="K2565" s="85">
        <v>33</v>
      </c>
      <c r="N2565" s="78"/>
      <c r="P2565" s="85"/>
    </row>
    <row r="2566" spans="11:16">
      <c r="K2566" s="85">
        <v>34</v>
      </c>
      <c r="N2566" s="78"/>
      <c r="P2566" s="85"/>
    </row>
    <row r="2567" spans="11:16">
      <c r="K2567" s="85">
        <v>35</v>
      </c>
      <c r="N2567" s="78"/>
      <c r="P2567" s="85"/>
    </row>
    <row r="2568" spans="11:16">
      <c r="K2568" s="85">
        <v>25</v>
      </c>
      <c r="N2568" s="78"/>
      <c r="P2568" s="85"/>
    </row>
    <row r="2569" spans="11:16">
      <c r="K2569" s="85">
        <v>26</v>
      </c>
      <c r="N2569" s="78"/>
      <c r="P2569" s="85"/>
    </row>
    <row r="2570" spans="11:16">
      <c r="K2570" s="85">
        <v>27</v>
      </c>
      <c r="N2570" s="78"/>
      <c r="P2570" s="85"/>
    </row>
    <row r="2571" spans="11:16">
      <c r="K2571" s="85">
        <v>31</v>
      </c>
      <c r="N2571" s="78"/>
      <c r="P2571" s="85"/>
    </row>
    <row r="2572" spans="11:16">
      <c r="K2572" s="85">
        <v>26</v>
      </c>
      <c r="N2572" s="78"/>
      <c r="P2572" s="85"/>
    </row>
    <row r="2573" spans="11:16">
      <c r="K2573" s="85">
        <v>27</v>
      </c>
      <c r="N2573" s="78"/>
      <c r="P2573" s="85"/>
    </row>
    <row r="2574" spans="11:16">
      <c r="K2574" s="85">
        <v>28</v>
      </c>
      <c r="N2574" s="78"/>
      <c r="P2574" s="85"/>
    </row>
    <row r="2575" spans="11:16">
      <c r="K2575" s="85">
        <v>30</v>
      </c>
      <c r="N2575" s="78"/>
      <c r="P2575" s="85"/>
    </row>
    <row r="2576" spans="11:16">
      <c r="K2576" s="85">
        <v>31</v>
      </c>
      <c r="N2576" s="78"/>
      <c r="P2576" s="85"/>
    </row>
    <row r="2577" spans="11:16">
      <c r="K2577" s="85">
        <v>32</v>
      </c>
      <c r="N2577" s="78"/>
      <c r="P2577" s="85"/>
    </row>
    <row r="2578" spans="11:16">
      <c r="K2578" s="85">
        <v>33</v>
      </c>
      <c r="N2578" s="78"/>
      <c r="P2578" s="85"/>
    </row>
    <row r="2579" spans="11:16">
      <c r="K2579" s="85">
        <v>34</v>
      </c>
      <c r="N2579" s="78"/>
      <c r="P2579" s="85"/>
    </row>
    <row r="2580" spans="11:16">
      <c r="K2580" s="85">
        <v>35</v>
      </c>
      <c r="N2580" s="78"/>
      <c r="P2580" s="85"/>
    </row>
    <row r="2581" spans="11:16">
      <c r="K2581" s="85">
        <v>25</v>
      </c>
      <c r="N2581" s="78"/>
      <c r="P2581" s="85"/>
    </row>
    <row r="2582" spans="11:16">
      <c r="K2582" s="85">
        <v>26</v>
      </c>
      <c r="N2582" s="78"/>
      <c r="P2582" s="85"/>
    </row>
    <row r="2583" spans="11:16">
      <c r="K2583" s="85">
        <v>27</v>
      </c>
      <c r="N2583" s="78"/>
      <c r="P2583" s="85"/>
    </row>
    <row r="2584" spans="11:16">
      <c r="K2584" s="85">
        <v>28</v>
      </c>
      <c r="N2584" s="78"/>
      <c r="P2584" s="85"/>
    </row>
    <row r="2585" spans="11:16">
      <c r="K2585" s="85">
        <v>29</v>
      </c>
      <c r="N2585" s="78"/>
      <c r="P2585" s="85"/>
    </row>
    <row r="2586" spans="11:16">
      <c r="K2586" s="85">
        <v>30</v>
      </c>
      <c r="N2586" s="78"/>
      <c r="P2586" s="85"/>
    </row>
    <row r="2587" spans="11:16">
      <c r="K2587" s="85">
        <v>31</v>
      </c>
      <c r="N2587" s="78"/>
      <c r="P2587" s="85"/>
    </row>
    <row r="2588" spans="11:16">
      <c r="K2588" s="85">
        <v>32</v>
      </c>
      <c r="N2588" s="78"/>
      <c r="P2588" s="85"/>
    </row>
    <row r="2589" spans="11:16">
      <c r="K2589" s="85">
        <v>33</v>
      </c>
      <c r="N2589" s="78"/>
      <c r="P2589" s="85"/>
    </row>
    <row r="2590" spans="11:16">
      <c r="K2590" s="85">
        <v>34</v>
      </c>
      <c r="N2590" s="78"/>
      <c r="P2590" s="85"/>
    </row>
    <row r="2591" spans="11:16">
      <c r="K2591" s="85">
        <v>35</v>
      </c>
      <c r="N2591" s="78"/>
      <c r="P2591" s="85"/>
    </row>
    <row r="2592" spans="11:16">
      <c r="K2592" s="85">
        <v>25</v>
      </c>
      <c r="N2592" s="78"/>
      <c r="P2592" s="85"/>
    </row>
    <row r="2593" spans="11:16">
      <c r="K2593" s="85">
        <v>26</v>
      </c>
      <c r="N2593" s="78"/>
      <c r="P2593" s="85"/>
    </row>
    <row r="2594" spans="11:16">
      <c r="K2594" s="85">
        <v>27</v>
      </c>
      <c r="N2594" s="78"/>
      <c r="P2594" s="85"/>
    </row>
    <row r="2595" spans="11:16">
      <c r="K2595" s="85">
        <v>28</v>
      </c>
      <c r="N2595" s="78"/>
      <c r="P2595" s="85"/>
    </row>
    <row r="2596" spans="11:16">
      <c r="K2596" s="85">
        <v>30</v>
      </c>
      <c r="N2596" s="78"/>
      <c r="P2596" s="85"/>
    </row>
    <row r="2597" spans="11:16">
      <c r="K2597" s="85">
        <v>31</v>
      </c>
      <c r="N2597" s="78"/>
      <c r="P2597" s="85"/>
    </row>
    <row r="2598" spans="11:16">
      <c r="K2598" s="85">
        <v>32</v>
      </c>
      <c r="N2598" s="78"/>
      <c r="P2598" s="85"/>
    </row>
    <row r="2599" spans="11:16">
      <c r="K2599" s="85">
        <v>33</v>
      </c>
      <c r="N2599" s="78"/>
      <c r="P2599" s="85"/>
    </row>
    <row r="2600" spans="11:16">
      <c r="K2600" s="85">
        <v>34</v>
      </c>
      <c r="N2600" s="78"/>
      <c r="P2600" s="85"/>
    </row>
    <row r="2601" spans="11:16">
      <c r="K2601" s="85">
        <v>35</v>
      </c>
      <c r="N2601" s="78"/>
      <c r="P2601" s="85"/>
    </row>
    <row r="2602" spans="11:16">
      <c r="K2602" s="85">
        <v>25</v>
      </c>
      <c r="N2602" s="78"/>
      <c r="P2602" s="85"/>
    </row>
    <row r="2603" spans="11:16">
      <c r="K2603" s="85">
        <v>26</v>
      </c>
      <c r="N2603" s="78"/>
      <c r="P2603" s="85"/>
    </row>
    <row r="2604" spans="11:16">
      <c r="K2604" s="85">
        <v>27</v>
      </c>
      <c r="N2604" s="78"/>
      <c r="P2604" s="85"/>
    </row>
    <row r="2605" spans="11:16">
      <c r="K2605" s="85">
        <v>28</v>
      </c>
      <c r="N2605" s="78"/>
      <c r="P2605" s="85"/>
    </row>
    <row r="2606" spans="11:16">
      <c r="K2606" s="85">
        <v>30</v>
      </c>
      <c r="N2606" s="78"/>
      <c r="P2606" s="85"/>
    </row>
    <row r="2607" spans="11:16">
      <c r="K2607" s="85">
        <v>31</v>
      </c>
      <c r="N2607" s="78"/>
      <c r="P2607" s="85"/>
    </row>
    <row r="2608" spans="11:16">
      <c r="K2608" s="85">
        <v>32</v>
      </c>
      <c r="N2608" s="78"/>
      <c r="P2608" s="85"/>
    </row>
    <row r="2609" spans="11:16">
      <c r="K2609" s="85">
        <v>35</v>
      </c>
      <c r="N2609" s="78"/>
      <c r="P2609" s="85"/>
    </row>
    <row r="2610" spans="11:16">
      <c r="K2610" s="85">
        <v>25</v>
      </c>
      <c r="N2610" s="78"/>
      <c r="P2610" s="85"/>
    </row>
    <row r="2611" spans="11:16">
      <c r="K2611" s="85">
        <v>26</v>
      </c>
      <c r="N2611" s="78"/>
      <c r="P2611" s="85"/>
    </row>
    <row r="2612" spans="11:16">
      <c r="K2612" s="85">
        <v>27</v>
      </c>
      <c r="N2612" s="78"/>
      <c r="P2612" s="85"/>
    </row>
    <row r="2613" spans="11:16">
      <c r="K2613" s="85">
        <v>28</v>
      </c>
      <c r="N2613" s="78"/>
      <c r="P2613" s="85"/>
    </row>
    <row r="2614" spans="11:16">
      <c r="K2614" s="85">
        <v>30</v>
      </c>
      <c r="N2614" s="78"/>
      <c r="P2614" s="85"/>
    </row>
    <row r="2615" spans="11:16">
      <c r="K2615" s="85">
        <v>34</v>
      </c>
      <c r="N2615" s="78"/>
      <c r="P2615" s="85"/>
    </row>
    <row r="2616" spans="11:16">
      <c r="K2616" s="85">
        <v>35</v>
      </c>
      <c r="N2616" s="78"/>
      <c r="P2616" s="85"/>
    </row>
    <row r="2617" spans="11:16">
      <c r="K2617" s="85">
        <v>25</v>
      </c>
      <c r="N2617" s="78"/>
      <c r="P2617" s="85"/>
    </row>
    <row r="2618" spans="11:16">
      <c r="K2618" s="85">
        <v>26</v>
      </c>
      <c r="N2618" s="78"/>
      <c r="P2618" s="85"/>
    </row>
    <row r="2619" spans="11:16">
      <c r="K2619" s="85">
        <v>27</v>
      </c>
      <c r="N2619" s="78"/>
      <c r="P2619" s="85"/>
    </row>
    <row r="2620" spans="11:16">
      <c r="K2620" s="85">
        <v>29</v>
      </c>
      <c r="N2620" s="78"/>
      <c r="P2620" s="85"/>
    </row>
    <row r="2621" spans="11:16">
      <c r="K2621" s="85">
        <v>30</v>
      </c>
      <c r="N2621" s="78"/>
      <c r="P2621" s="85"/>
    </row>
    <row r="2622" spans="11:16">
      <c r="K2622" s="85">
        <v>31</v>
      </c>
      <c r="N2622" s="78"/>
      <c r="P2622" s="85"/>
    </row>
    <row r="2623" spans="11:16">
      <c r="K2623" s="85">
        <v>32</v>
      </c>
      <c r="N2623" s="78"/>
      <c r="P2623" s="85"/>
    </row>
    <row r="2624" spans="11:16">
      <c r="K2624" s="85">
        <v>34</v>
      </c>
      <c r="N2624" s="78"/>
      <c r="P2624" s="85"/>
    </row>
    <row r="2625" spans="11:16">
      <c r="K2625" s="85">
        <v>35</v>
      </c>
      <c r="N2625" s="78"/>
      <c r="P2625" s="85"/>
    </row>
    <row r="2626" spans="11:16">
      <c r="K2626" s="85">
        <v>36</v>
      </c>
      <c r="N2626" s="78"/>
      <c r="P2626" s="85"/>
    </row>
    <row r="2627" spans="11:16">
      <c r="K2627" s="85">
        <v>25</v>
      </c>
      <c r="N2627" s="78"/>
      <c r="P2627" s="85"/>
    </row>
    <row r="2628" spans="11:16">
      <c r="K2628" s="85">
        <v>26</v>
      </c>
      <c r="N2628" s="78"/>
      <c r="P2628" s="85"/>
    </row>
    <row r="2629" spans="11:16">
      <c r="K2629" s="85">
        <v>27</v>
      </c>
      <c r="N2629" s="78"/>
      <c r="P2629" s="85"/>
    </row>
    <row r="2630" spans="11:16">
      <c r="K2630" s="85">
        <v>28</v>
      </c>
      <c r="N2630" s="78"/>
      <c r="P2630" s="85"/>
    </row>
    <row r="2631" spans="11:16">
      <c r="K2631" s="85">
        <v>29</v>
      </c>
      <c r="N2631" s="78"/>
      <c r="P2631" s="85"/>
    </row>
    <row r="2632" spans="11:16">
      <c r="K2632" s="85">
        <v>30</v>
      </c>
      <c r="N2632" s="78"/>
      <c r="P2632" s="85"/>
    </row>
    <row r="2633" spans="11:16">
      <c r="K2633" s="85">
        <v>31</v>
      </c>
      <c r="N2633" s="78"/>
      <c r="P2633" s="85"/>
    </row>
    <row r="2634" spans="11:16">
      <c r="K2634" s="85">
        <v>32</v>
      </c>
      <c r="N2634" s="78"/>
      <c r="P2634" s="85"/>
    </row>
    <row r="2635" spans="11:16">
      <c r="K2635" s="85">
        <v>34</v>
      </c>
      <c r="N2635" s="78"/>
      <c r="P2635" s="85"/>
    </row>
    <row r="2636" spans="11:16">
      <c r="K2636" s="85">
        <v>35</v>
      </c>
      <c r="N2636" s="78"/>
      <c r="P2636" s="85"/>
    </row>
    <row r="2637" spans="11:16">
      <c r="K2637" s="85">
        <v>36</v>
      </c>
      <c r="N2637" s="78"/>
      <c r="P2637" s="85"/>
    </row>
    <row r="2638" spans="11:16">
      <c r="K2638" s="85">
        <v>26</v>
      </c>
      <c r="N2638" s="78"/>
      <c r="P2638" s="85"/>
    </row>
    <row r="2639" spans="11:16">
      <c r="K2639" s="85">
        <v>27</v>
      </c>
      <c r="N2639" s="78"/>
      <c r="P2639" s="85"/>
    </row>
    <row r="2640" spans="11:16">
      <c r="K2640" s="85">
        <v>28</v>
      </c>
      <c r="N2640" s="78"/>
      <c r="P2640" s="85"/>
    </row>
    <row r="2641" spans="11:16">
      <c r="K2641" s="85">
        <v>29</v>
      </c>
      <c r="N2641" s="78"/>
      <c r="P2641" s="85"/>
    </row>
    <row r="2642" spans="11:16">
      <c r="K2642" s="85">
        <v>31</v>
      </c>
      <c r="N2642" s="78"/>
      <c r="P2642" s="85"/>
    </row>
    <row r="2643" spans="11:16">
      <c r="K2643" s="85">
        <v>34</v>
      </c>
      <c r="N2643" s="78"/>
      <c r="P2643" s="85"/>
    </row>
    <row r="2644" spans="11:16">
      <c r="K2644" s="85">
        <v>35</v>
      </c>
      <c r="N2644" s="78"/>
      <c r="P2644" s="85"/>
    </row>
    <row r="2645" spans="11:16">
      <c r="K2645" s="85">
        <v>36</v>
      </c>
      <c r="N2645" s="78"/>
      <c r="P2645" s="85"/>
    </row>
    <row r="2646" spans="11:16">
      <c r="K2646" s="85">
        <v>25</v>
      </c>
      <c r="N2646" s="78"/>
      <c r="P2646" s="85"/>
    </row>
    <row r="2647" spans="11:16">
      <c r="K2647" s="85">
        <v>26</v>
      </c>
      <c r="N2647" s="78"/>
      <c r="P2647" s="85"/>
    </row>
    <row r="2648" spans="11:16">
      <c r="K2648" s="85">
        <v>27</v>
      </c>
      <c r="N2648" s="78"/>
      <c r="P2648" s="85"/>
    </row>
    <row r="2649" spans="11:16">
      <c r="K2649" s="85">
        <v>28</v>
      </c>
      <c r="N2649" s="78"/>
      <c r="P2649" s="85"/>
    </row>
    <row r="2650" spans="11:16">
      <c r="K2650" s="85">
        <v>29</v>
      </c>
      <c r="N2650" s="78"/>
      <c r="P2650" s="85"/>
    </row>
    <row r="2651" spans="11:16">
      <c r="K2651" s="85">
        <v>30</v>
      </c>
      <c r="N2651" s="78"/>
      <c r="P2651" s="85"/>
    </row>
    <row r="2652" spans="11:16">
      <c r="K2652" s="85">
        <v>31</v>
      </c>
      <c r="N2652" s="78"/>
      <c r="P2652" s="85"/>
    </row>
    <row r="2653" spans="11:16">
      <c r="K2653" s="85">
        <v>32</v>
      </c>
      <c r="N2653" s="78"/>
      <c r="P2653" s="85"/>
    </row>
    <row r="2654" spans="11:16">
      <c r="K2654" s="85">
        <v>34</v>
      </c>
      <c r="N2654" s="78"/>
      <c r="P2654" s="85"/>
    </row>
    <row r="2655" spans="11:16">
      <c r="K2655" s="85">
        <v>35</v>
      </c>
      <c r="N2655" s="78"/>
      <c r="P2655" s="85"/>
    </row>
    <row r="2656" spans="11:16">
      <c r="K2656" s="85">
        <v>36</v>
      </c>
      <c r="N2656" s="78"/>
      <c r="P2656" s="85"/>
    </row>
    <row r="2657" spans="11:16">
      <c r="K2657" s="85">
        <v>25</v>
      </c>
      <c r="N2657" s="78"/>
      <c r="P2657" s="85"/>
    </row>
    <row r="2658" spans="11:16">
      <c r="K2658" s="85">
        <v>26</v>
      </c>
      <c r="N2658" s="78"/>
      <c r="P2658" s="85"/>
    </row>
    <row r="2659" spans="11:16">
      <c r="K2659" s="85">
        <v>27</v>
      </c>
      <c r="N2659" s="78"/>
      <c r="P2659" s="85"/>
    </row>
    <row r="2660" spans="11:16">
      <c r="K2660" s="85">
        <v>28</v>
      </c>
      <c r="N2660" s="78"/>
      <c r="P2660" s="85"/>
    </row>
    <row r="2661" spans="11:16">
      <c r="K2661" s="85">
        <v>30</v>
      </c>
      <c r="N2661" s="78"/>
      <c r="P2661" s="85"/>
    </row>
    <row r="2662" spans="11:16">
      <c r="K2662" s="85">
        <v>31</v>
      </c>
      <c r="N2662" s="78"/>
      <c r="P2662" s="85"/>
    </row>
    <row r="2663" spans="11:16">
      <c r="K2663" s="85">
        <v>32</v>
      </c>
      <c r="N2663" s="78"/>
      <c r="P2663" s="85"/>
    </row>
    <row r="2664" spans="11:16">
      <c r="K2664" s="85">
        <v>34</v>
      </c>
      <c r="N2664" s="78"/>
      <c r="P2664" s="85"/>
    </row>
    <row r="2665" spans="11:16">
      <c r="K2665" s="85">
        <v>35</v>
      </c>
      <c r="N2665" s="78"/>
      <c r="P2665" s="85"/>
    </row>
    <row r="2666" spans="11:16">
      <c r="K2666" s="85">
        <v>36</v>
      </c>
      <c r="N2666" s="78"/>
      <c r="P2666" s="85"/>
    </row>
    <row r="2667" spans="11:16">
      <c r="K2667" s="85">
        <v>25</v>
      </c>
      <c r="N2667" s="78"/>
      <c r="P2667" s="85"/>
    </row>
    <row r="2668" spans="11:16">
      <c r="K2668" s="85">
        <v>26</v>
      </c>
      <c r="N2668" s="78"/>
      <c r="P2668" s="85"/>
    </row>
    <row r="2669" spans="11:16">
      <c r="K2669" s="85">
        <v>27</v>
      </c>
      <c r="N2669" s="78"/>
      <c r="P2669" s="85"/>
    </row>
    <row r="2670" spans="11:16">
      <c r="K2670" s="85">
        <v>28</v>
      </c>
      <c r="N2670" s="78"/>
      <c r="P2670" s="85"/>
    </row>
    <row r="2671" spans="11:16">
      <c r="K2671" s="85">
        <v>29</v>
      </c>
      <c r="N2671" s="78"/>
      <c r="P2671" s="85"/>
    </row>
    <row r="2672" spans="11:16">
      <c r="K2672" s="85">
        <v>30</v>
      </c>
      <c r="N2672" s="78"/>
      <c r="P2672" s="85"/>
    </row>
    <row r="2673" spans="11:16">
      <c r="K2673" s="85">
        <v>31</v>
      </c>
      <c r="N2673" s="78"/>
      <c r="P2673" s="85"/>
    </row>
    <row r="2674" spans="11:16">
      <c r="K2674" s="85">
        <v>32</v>
      </c>
      <c r="N2674" s="78"/>
      <c r="P2674" s="85"/>
    </row>
    <row r="2675" spans="11:16">
      <c r="K2675" s="85">
        <v>33</v>
      </c>
      <c r="N2675" s="78"/>
      <c r="P2675" s="85"/>
    </row>
    <row r="2676" spans="11:16">
      <c r="K2676" s="85">
        <v>34</v>
      </c>
      <c r="N2676" s="78"/>
      <c r="P2676" s="85"/>
    </row>
    <row r="2677" spans="11:16">
      <c r="K2677" s="85">
        <v>35</v>
      </c>
      <c r="N2677" s="78"/>
      <c r="P2677" s="85"/>
    </row>
    <row r="2678" spans="11:16">
      <c r="K2678" s="85">
        <v>36</v>
      </c>
      <c r="N2678" s="78"/>
      <c r="P2678" s="85"/>
    </row>
    <row r="2679" spans="11:16">
      <c r="K2679" s="85">
        <v>25</v>
      </c>
      <c r="N2679" s="78"/>
      <c r="P2679" s="85"/>
    </row>
    <row r="2680" spans="11:16">
      <c r="K2680" s="85">
        <v>26</v>
      </c>
      <c r="N2680" s="78"/>
      <c r="P2680" s="85"/>
    </row>
    <row r="2681" spans="11:16">
      <c r="K2681" s="85">
        <v>27</v>
      </c>
      <c r="N2681" s="78"/>
      <c r="P2681" s="85"/>
    </row>
    <row r="2682" spans="11:16">
      <c r="K2682" s="85">
        <v>28</v>
      </c>
      <c r="N2682" s="78"/>
      <c r="P2682" s="85"/>
    </row>
    <row r="2683" spans="11:16">
      <c r="K2683" s="85">
        <v>31</v>
      </c>
      <c r="N2683" s="78"/>
      <c r="P2683" s="85"/>
    </row>
    <row r="2684" spans="11:16">
      <c r="K2684" s="85">
        <v>32</v>
      </c>
      <c r="N2684" s="78"/>
      <c r="P2684" s="85"/>
    </row>
    <row r="2685" spans="11:16">
      <c r="K2685" s="85">
        <v>33</v>
      </c>
      <c r="N2685" s="78"/>
      <c r="P2685" s="85"/>
    </row>
    <row r="2686" spans="11:16">
      <c r="K2686" s="85">
        <v>34</v>
      </c>
      <c r="N2686" s="78"/>
      <c r="P2686" s="85"/>
    </row>
    <row r="2687" spans="11:16">
      <c r="K2687" s="85">
        <v>35</v>
      </c>
      <c r="N2687" s="78"/>
      <c r="P2687" s="85"/>
    </row>
    <row r="2688" spans="11:16">
      <c r="K2688" s="85">
        <v>36</v>
      </c>
      <c r="N2688" s="78"/>
      <c r="P2688" s="85"/>
    </row>
    <row r="2689" spans="11:16">
      <c r="K2689" s="85">
        <v>25</v>
      </c>
      <c r="N2689" s="78"/>
      <c r="P2689" s="85"/>
    </row>
    <row r="2690" spans="11:16">
      <c r="K2690" s="85">
        <v>26</v>
      </c>
      <c r="N2690" s="78"/>
      <c r="P2690" s="85"/>
    </row>
    <row r="2691" spans="11:16">
      <c r="K2691" s="85">
        <v>27</v>
      </c>
      <c r="N2691" s="78"/>
      <c r="P2691" s="85"/>
    </row>
    <row r="2692" spans="11:16">
      <c r="K2692" s="85">
        <v>28</v>
      </c>
      <c r="N2692" s="78"/>
      <c r="P2692" s="85"/>
    </row>
    <row r="2693" spans="11:16">
      <c r="K2693" s="85">
        <v>29</v>
      </c>
      <c r="N2693" s="78"/>
      <c r="P2693" s="85"/>
    </row>
    <row r="2694" spans="11:16">
      <c r="K2694" s="85">
        <v>30</v>
      </c>
      <c r="N2694" s="78"/>
      <c r="P2694" s="85"/>
    </row>
    <row r="2695" spans="11:16">
      <c r="K2695" s="85">
        <v>31</v>
      </c>
      <c r="N2695" s="78"/>
      <c r="P2695" s="85"/>
    </row>
    <row r="2696" spans="11:16">
      <c r="K2696" s="85">
        <v>32</v>
      </c>
      <c r="N2696" s="78"/>
      <c r="P2696" s="85"/>
    </row>
    <row r="2697" spans="11:16">
      <c r="K2697" s="85">
        <v>33</v>
      </c>
      <c r="N2697" s="78"/>
      <c r="P2697" s="85"/>
    </row>
    <row r="2698" spans="11:16">
      <c r="K2698" s="85">
        <v>34</v>
      </c>
      <c r="N2698" s="78"/>
      <c r="P2698" s="85"/>
    </row>
    <row r="2699" spans="11:16">
      <c r="K2699" s="85">
        <v>35</v>
      </c>
      <c r="N2699" s="78"/>
      <c r="P2699" s="85"/>
    </row>
    <row r="2700" spans="11:16">
      <c r="K2700" s="85">
        <v>25</v>
      </c>
      <c r="N2700" s="78"/>
      <c r="P2700" s="85"/>
    </row>
    <row r="2701" spans="11:16">
      <c r="K2701" s="85">
        <v>26</v>
      </c>
      <c r="N2701" s="78"/>
      <c r="P2701" s="85"/>
    </row>
    <row r="2702" spans="11:16">
      <c r="K2702" s="85">
        <v>27</v>
      </c>
      <c r="N2702" s="78"/>
      <c r="P2702" s="85"/>
    </row>
    <row r="2703" spans="11:16">
      <c r="K2703" s="85">
        <v>28</v>
      </c>
      <c r="N2703" s="78"/>
      <c r="P2703" s="85"/>
    </row>
    <row r="2704" spans="11:16">
      <c r="K2704" s="85">
        <v>29</v>
      </c>
      <c r="N2704" s="78"/>
      <c r="P2704" s="85"/>
    </row>
    <row r="2705" spans="11:16">
      <c r="K2705" s="85">
        <v>30</v>
      </c>
      <c r="N2705" s="78"/>
      <c r="P2705" s="85"/>
    </row>
    <row r="2706" spans="11:16">
      <c r="K2706" s="85">
        <v>31</v>
      </c>
      <c r="N2706" s="78"/>
      <c r="P2706" s="85"/>
    </row>
    <row r="2707" spans="11:16">
      <c r="K2707" s="85">
        <v>32</v>
      </c>
      <c r="N2707" s="78"/>
      <c r="P2707" s="85"/>
    </row>
    <row r="2708" spans="11:16">
      <c r="K2708" s="85">
        <v>33</v>
      </c>
      <c r="N2708" s="78"/>
      <c r="P2708" s="85"/>
    </row>
    <row r="2709" spans="11:16">
      <c r="K2709" s="85">
        <v>34</v>
      </c>
      <c r="N2709" s="78"/>
      <c r="P2709" s="85"/>
    </row>
    <row r="2710" spans="11:16">
      <c r="K2710" s="85">
        <v>35</v>
      </c>
      <c r="N2710" s="78"/>
      <c r="P2710" s="85"/>
    </row>
    <row r="2711" spans="11:16">
      <c r="K2711" s="85">
        <v>26</v>
      </c>
      <c r="N2711" s="78"/>
      <c r="P2711" s="85"/>
    </row>
    <row r="2712" spans="11:16">
      <c r="K2712" s="85">
        <v>27</v>
      </c>
      <c r="N2712" s="78"/>
      <c r="P2712" s="85"/>
    </row>
    <row r="2713" spans="11:16">
      <c r="K2713" s="85">
        <v>32</v>
      </c>
      <c r="N2713" s="78"/>
      <c r="P2713" s="85"/>
    </row>
    <row r="2714" spans="11:16">
      <c r="K2714" s="85">
        <v>35</v>
      </c>
      <c r="N2714" s="78"/>
      <c r="P2714" s="85"/>
    </row>
    <row r="2715" spans="11:16">
      <c r="K2715" s="85">
        <v>25</v>
      </c>
      <c r="N2715" s="78"/>
      <c r="P2715" s="85"/>
    </row>
    <row r="2716" spans="11:16">
      <c r="K2716" s="85">
        <v>27</v>
      </c>
      <c r="N2716" s="78"/>
      <c r="P2716" s="85"/>
    </row>
    <row r="2717" spans="11:16">
      <c r="K2717" s="85">
        <v>30</v>
      </c>
      <c r="N2717" s="78"/>
      <c r="P2717" s="85"/>
    </row>
    <row r="2718" spans="11:16">
      <c r="K2718" s="85">
        <v>31</v>
      </c>
      <c r="N2718" s="78"/>
      <c r="P2718" s="85"/>
    </row>
    <row r="2719" spans="11:16">
      <c r="K2719" s="85">
        <v>25</v>
      </c>
      <c r="N2719" s="78"/>
      <c r="P2719" s="85"/>
    </row>
    <row r="2720" spans="11:16">
      <c r="K2720" s="85">
        <v>26</v>
      </c>
      <c r="N2720" s="78"/>
      <c r="P2720" s="85"/>
    </row>
    <row r="2721" spans="11:16">
      <c r="K2721" s="85">
        <v>27</v>
      </c>
      <c r="N2721" s="78"/>
      <c r="P2721" s="85"/>
    </row>
    <row r="2722" spans="11:16">
      <c r="K2722" s="85">
        <v>28</v>
      </c>
      <c r="N2722" s="78"/>
      <c r="P2722" s="85"/>
    </row>
    <row r="2723" spans="11:16">
      <c r="K2723" s="85">
        <v>29</v>
      </c>
      <c r="N2723" s="78"/>
      <c r="P2723" s="85"/>
    </row>
    <row r="2724" spans="11:16">
      <c r="K2724" s="85">
        <v>30</v>
      </c>
      <c r="N2724" s="78"/>
      <c r="P2724" s="85"/>
    </row>
    <row r="2725" spans="11:16">
      <c r="K2725" s="85">
        <v>31</v>
      </c>
      <c r="N2725" s="78"/>
      <c r="P2725" s="85"/>
    </row>
    <row r="2726" spans="11:16">
      <c r="K2726" s="85">
        <v>32</v>
      </c>
      <c r="N2726" s="78"/>
      <c r="P2726" s="85"/>
    </row>
    <row r="2727" spans="11:16">
      <c r="K2727" s="85">
        <v>34</v>
      </c>
      <c r="N2727" s="78"/>
      <c r="P2727" s="85"/>
    </row>
    <row r="2728" spans="11:16">
      <c r="K2728" s="85">
        <v>35</v>
      </c>
      <c r="N2728" s="78"/>
      <c r="P2728" s="85"/>
    </row>
    <row r="2729" spans="11:16">
      <c r="K2729" s="85">
        <v>36</v>
      </c>
      <c r="N2729" s="78"/>
      <c r="P2729" s="85"/>
    </row>
    <row r="2730" spans="11:16">
      <c r="K2730" s="85">
        <v>25</v>
      </c>
      <c r="N2730" s="78"/>
      <c r="P2730" s="85"/>
    </row>
    <row r="2731" spans="11:16">
      <c r="K2731" s="85">
        <v>26</v>
      </c>
      <c r="N2731" s="78"/>
      <c r="P2731" s="85"/>
    </row>
    <row r="2732" spans="11:16">
      <c r="K2732" s="85">
        <v>27</v>
      </c>
      <c r="N2732" s="78"/>
      <c r="P2732" s="85"/>
    </row>
    <row r="2733" spans="11:16">
      <c r="K2733" s="85">
        <v>28</v>
      </c>
      <c r="N2733" s="78"/>
      <c r="P2733" s="85"/>
    </row>
    <row r="2734" spans="11:16">
      <c r="K2734" s="85">
        <v>30</v>
      </c>
      <c r="N2734" s="78"/>
      <c r="P2734" s="85"/>
    </row>
    <row r="2735" spans="11:16">
      <c r="K2735" s="85">
        <v>31</v>
      </c>
      <c r="N2735" s="78"/>
      <c r="P2735" s="85"/>
    </row>
    <row r="2736" spans="11:16">
      <c r="K2736" s="85">
        <v>32</v>
      </c>
      <c r="N2736" s="78"/>
      <c r="P2736" s="85"/>
    </row>
    <row r="2737" spans="11:16">
      <c r="K2737" s="85">
        <v>33</v>
      </c>
      <c r="N2737" s="78"/>
      <c r="P2737" s="85"/>
    </row>
    <row r="2738" spans="11:16">
      <c r="K2738" s="85">
        <v>34</v>
      </c>
      <c r="N2738" s="78"/>
      <c r="P2738" s="85"/>
    </row>
    <row r="2739" spans="11:16">
      <c r="K2739" s="85">
        <v>35</v>
      </c>
      <c r="N2739" s="78"/>
      <c r="P2739" s="85"/>
    </row>
    <row r="2740" spans="11:16">
      <c r="K2740" s="85">
        <v>36</v>
      </c>
      <c r="N2740" s="78"/>
      <c r="P2740" s="85"/>
    </row>
    <row r="2741" spans="11:16">
      <c r="K2741" s="85">
        <v>25</v>
      </c>
      <c r="N2741" s="78"/>
      <c r="P2741" s="85"/>
    </row>
    <row r="2742" spans="11:16">
      <c r="K2742" s="85">
        <v>26</v>
      </c>
      <c r="N2742" s="78"/>
      <c r="P2742" s="85"/>
    </row>
    <row r="2743" spans="11:16">
      <c r="K2743" s="85">
        <v>27</v>
      </c>
      <c r="N2743" s="78"/>
      <c r="P2743" s="85"/>
    </row>
    <row r="2744" spans="11:16">
      <c r="K2744" s="85">
        <v>28</v>
      </c>
      <c r="N2744" s="78"/>
      <c r="P2744" s="85"/>
    </row>
    <row r="2745" spans="11:16">
      <c r="K2745" s="85">
        <v>29</v>
      </c>
      <c r="N2745" s="78"/>
      <c r="P2745" s="85"/>
    </row>
    <row r="2746" spans="11:16">
      <c r="K2746" s="85">
        <v>30</v>
      </c>
      <c r="N2746" s="78"/>
      <c r="P2746" s="85"/>
    </row>
    <row r="2747" spans="11:16">
      <c r="K2747" s="85">
        <v>31</v>
      </c>
      <c r="N2747" s="78"/>
      <c r="P2747" s="85"/>
    </row>
    <row r="2748" spans="11:16">
      <c r="K2748" s="85">
        <v>32</v>
      </c>
      <c r="N2748" s="78"/>
      <c r="P2748" s="85"/>
    </row>
    <row r="2749" spans="11:16">
      <c r="K2749" s="85">
        <v>34</v>
      </c>
      <c r="N2749" s="78"/>
      <c r="P2749" s="85"/>
    </row>
    <row r="2750" spans="11:16">
      <c r="K2750" s="85">
        <v>35</v>
      </c>
      <c r="N2750" s="78"/>
      <c r="P2750" s="85"/>
    </row>
    <row r="2751" spans="11:16">
      <c r="K2751" s="85">
        <v>25</v>
      </c>
      <c r="N2751" s="78"/>
      <c r="P2751" s="85"/>
    </row>
    <row r="2752" spans="11:16">
      <c r="K2752" s="85">
        <v>26</v>
      </c>
      <c r="N2752" s="78"/>
      <c r="P2752" s="85"/>
    </row>
    <row r="2753" spans="11:16">
      <c r="K2753" s="85">
        <v>27</v>
      </c>
      <c r="N2753" s="78"/>
      <c r="P2753" s="85"/>
    </row>
    <row r="2754" spans="11:16">
      <c r="K2754" s="85">
        <v>28</v>
      </c>
      <c r="N2754" s="78"/>
      <c r="P2754" s="85"/>
    </row>
    <row r="2755" spans="11:16">
      <c r="K2755" s="85">
        <v>29</v>
      </c>
      <c r="N2755" s="78"/>
      <c r="P2755" s="85"/>
    </row>
    <row r="2756" spans="11:16">
      <c r="K2756" s="85">
        <v>30</v>
      </c>
      <c r="N2756" s="78"/>
      <c r="P2756" s="85"/>
    </row>
    <row r="2757" spans="11:16">
      <c r="K2757" s="85">
        <v>31</v>
      </c>
      <c r="N2757" s="78"/>
      <c r="P2757" s="85"/>
    </row>
    <row r="2758" spans="11:16">
      <c r="K2758" s="85">
        <v>32</v>
      </c>
      <c r="N2758" s="78"/>
      <c r="P2758" s="85"/>
    </row>
    <row r="2759" spans="11:16">
      <c r="K2759" s="85">
        <v>33</v>
      </c>
      <c r="N2759" s="78"/>
      <c r="P2759" s="85"/>
    </row>
    <row r="2760" spans="11:16">
      <c r="K2760" s="85">
        <v>34</v>
      </c>
      <c r="N2760" s="78"/>
      <c r="P2760" s="85"/>
    </row>
    <row r="2761" spans="11:16">
      <c r="K2761" s="85">
        <v>35</v>
      </c>
      <c r="N2761" s="78"/>
      <c r="P2761" s="85"/>
    </row>
    <row r="2762" spans="11:16">
      <c r="K2762" s="85">
        <v>36</v>
      </c>
      <c r="N2762" s="78"/>
      <c r="P2762" s="85"/>
    </row>
    <row r="2763" spans="11:16">
      <c r="K2763" s="85">
        <v>26</v>
      </c>
      <c r="N2763" s="78"/>
      <c r="P2763" s="85"/>
    </row>
    <row r="2764" spans="11:16">
      <c r="K2764" s="85">
        <v>27</v>
      </c>
      <c r="N2764" s="78"/>
      <c r="P2764" s="85"/>
    </row>
    <row r="2765" spans="11:16">
      <c r="K2765" s="85">
        <v>30</v>
      </c>
      <c r="N2765" s="78"/>
      <c r="P2765" s="85"/>
    </row>
    <row r="2766" spans="11:16">
      <c r="K2766" s="85">
        <v>31</v>
      </c>
      <c r="N2766" s="78"/>
      <c r="P2766" s="85"/>
    </row>
    <row r="2767" spans="11:16">
      <c r="K2767" s="85">
        <v>32</v>
      </c>
      <c r="N2767" s="78"/>
      <c r="P2767" s="85"/>
    </row>
    <row r="2768" spans="11:16">
      <c r="K2768" s="85">
        <v>34</v>
      </c>
      <c r="N2768" s="78"/>
      <c r="P2768" s="85"/>
    </row>
    <row r="2769" spans="11:16">
      <c r="K2769" s="85">
        <v>35</v>
      </c>
      <c r="N2769" s="78"/>
      <c r="P2769" s="85"/>
    </row>
    <row r="2770" spans="11:16">
      <c r="K2770" s="85">
        <v>25</v>
      </c>
      <c r="N2770" s="78"/>
      <c r="P2770" s="85"/>
    </row>
    <row r="2771" spans="11:16">
      <c r="K2771" s="85">
        <v>26</v>
      </c>
      <c r="N2771" s="78"/>
      <c r="P2771" s="85"/>
    </row>
    <row r="2772" spans="11:16">
      <c r="K2772" s="85">
        <v>27</v>
      </c>
      <c r="N2772" s="78"/>
      <c r="P2772" s="85"/>
    </row>
    <row r="2773" spans="11:16">
      <c r="K2773" s="85">
        <v>28</v>
      </c>
      <c r="N2773" s="78"/>
      <c r="P2773" s="85"/>
    </row>
    <row r="2774" spans="11:16">
      <c r="K2774" s="85">
        <v>29</v>
      </c>
      <c r="N2774" s="78"/>
      <c r="P2774" s="85"/>
    </row>
    <row r="2775" spans="11:16">
      <c r="K2775" s="85">
        <v>31</v>
      </c>
      <c r="N2775" s="78"/>
      <c r="P2775" s="85"/>
    </row>
    <row r="2776" spans="11:16">
      <c r="K2776" s="85">
        <v>32</v>
      </c>
      <c r="N2776" s="78"/>
      <c r="P2776" s="85"/>
    </row>
    <row r="2777" spans="11:16">
      <c r="K2777" s="85">
        <v>33</v>
      </c>
      <c r="N2777" s="78"/>
      <c r="P2777" s="85"/>
    </row>
    <row r="2778" spans="11:16">
      <c r="K2778" s="85">
        <v>34</v>
      </c>
      <c r="N2778" s="78"/>
      <c r="P2778" s="85"/>
    </row>
    <row r="2779" spans="11:16">
      <c r="K2779" s="85">
        <v>35</v>
      </c>
      <c r="N2779" s="78"/>
      <c r="P2779" s="85"/>
    </row>
    <row r="2780" spans="11:16">
      <c r="K2780" s="85">
        <v>27</v>
      </c>
      <c r="N2780" s="78"/>
      <c r="P2780" s="85"/>
    </row>
    <row r="2781" spans="11:16">
      <c r="K2781" s="85">
        <v>28</v>
      </c>
      <c r="N2781" s="78"/>
      <c r="P2781" s="85"/>
    </row>
    <row r="2782" spans="11:16">
      <c r="K2782" s="85">
        <v>31</v>
      </c>
      <c r="N2782" s="78"/>
      <c r="P2782" s="85"/>
    </row>
    <row r="2783" spans="11:16">
      <c r="K2783" s="85">
        <v>32</v>
      </c>
      <c r="N2783" s="78"/>
      <c r="P2783" s="85"/>
    </row>
    <row r="2784" spans="11:16">
      <c r="K2784" s="85">
        <v>34</v>
      </c>
      <c r="N2784" s="78"/>
      <c r="P2784" s="85"/>
    </row>
    <row r="2785" spans="11:16">
      <c r="K2785" s="85">
        <v>35</v>
      </c>
      <c r="N2785" s="78"/>
      <c r="P2785" s="85"/>
    </row>
    <row r="2786" spans="11:16">
      <c r="K2786" s="85">
        <v>27</v>
      </c>
      <c r="N2786" s="78"/>
      <c r="P2786" s="85"/>
    </row>
    <row r="2787" spans="11:16">
      <c r="K2787" s="85">
        <v>31</v>
      </c>
      <c r="N2787" s="78"/>
      <c r="P2787" s="85"/>
    </row>
    <row r="2788" spans="11:16">
      <c r="K2788" s="85">
        <v>32</v>
      </c>
      <c r="N2788" s="78"/>
      <c r="P2788" s="85"/>
    </row>
    <row r="2789" spans="11:16">
      <c r="K2789" s="85">
        <v>34</v>
      </c>
      <c r="N2789" s="78"/>
      <c r="P2789" s="85"/>
    </row>
    <row r="2790" spans="11:16">
      <c r="K2790" s="85">
        <v>35</v>
      </c>
      <c r="N2790" s="78"/>
      <c r="P2790" s="85"/>
    </row>
    <row r="2791" spans="11:16">
      <c r="K2791" s="85">
        <v>27</v>
      </c>
      <c r="N2791" s="78"/>
      <c r="P2791" s="85"/>
    </row>
    <row r="2792" spans="11:16">
      <c r="K2792" s="85">
        <v>31</v>
      </c>
      <c r="N2792" s="78"/>
      <c r="P2792" s="85"/>
    </row>
    <row r="2793" spans="11:16">
      <c r="K2793" s="85">
        <v>32</v>
      </c>
      <c r="N2793" s="78"/>
      <c r="P2793" s="85"/>
    </row>
    <row r="2794" spans="11:16">
      <c r="K2794" s="85">
        <v>25</v>
      </c>
      <c r="N2794" s="78"/>
      <c r="P2794" s="85"/>
    </row>
    <row r="2795" spans="11:16">
      <c r="K2795" s="85">
        <v>26</v>
      </c>
      <c r="N2795" s="78"/>
      <c r="P2795" s="85"/>
    </row>
    <row r="2796" spans="11:16">
      <c r="K2796" s="85">
        <v>27</v>
      </c>
      <c r="N2796" s="78"/>
      <c r="P2796" s="85"/>
    </row>
    <row r="2797" spans="11:16">
      <c r="K2797" s="85">
        <v>28</v>
      </c>
      <c r="N2797" s="78"/>
      <c r="P2797" s="85"/>
    </row>
    <row r="2798" spans="11:16">
      <c r="K2798" s="85">
        <v>29</v>
      </c>
      <c r="N2798" s="78"/>
      <c r="P2798" s="85"/>
    </row>
    <row r="2799" spans="11:16">
      <c r="K2799" s="85">
        <v>30</v>
      </c>
      <c r="N2799" s="78"/>
      <c r="P2799" s="85"/>
    </row>
    <row r="2800" spans="11:16">
      <c r="K2800" s="85">
        <v>31</v>
      </c>
      <c r="N2800" s="78"/>
      <c r="P2800" s="85"/>
    </row>
    <row r="2801" spans="11:16">
      <c r="K2801" s="85">
        <v>32</v>
      </c>
      <c r="N2801" s="78"/>
      <c r="P2801" s="85"/>
    </row>
    <row r="2802" spans="11:16">
      <c r="K2802" s="85">
        <v>33</v>
      </c>
      <c r="N2802" s="78"/>
      <c r="P2802" s="85"/>
    </row>
    <row r="2803" spans="11:16">
      <c r="K2803" s="85">
        <v>34</v>
      </c>
      <c r="N2803" s="78"/>
      <c r="P2803" s="85"/>
    </row>
    <row r="2804" spans="11:16">
      <c r="K2804" s="85">
        <v>35</v>
      </c>
      <c r="N2804" s="78"/>
      <c r="P2804" s="85"/>
    </row>
    <row r="2805" spans="11:16">
      <c r="K2805" s="85">
        <v>36</v>
      </c>
      <c r="N2805" s="78"/>
      <c r="P2805" s="85"/>
    </row>
    <row r="2806" spans="11:16">
      <c r="K2806" s="85">
        <v>27</v>
      </c>
      <c r="N2806" s="78"/>
      <c r="P2806" s="85"/>
    </row>
    <row r="2807" spans="11:16">
      <c r="K2807" s="85">
        <v>28</v>
      </c>
      <c r="N2807" s="78"/>
      <c r="P2807" s="85"/>
    </row>
    <row r="2808" spans="11:16">
      <c r="K2808" s="85">
        <v>34</v>
      </c>
      <c r="N2808" s="78"/>
      <c r="P2808" s="85"/>
    </row>
    <row r="2809" spans="11:16">
      <c r="K2809" s="85">
        <v>35</v>
      </c>
      <c r="N2809" s="78"/>
      <c r="P2809" s="85"/>
    </row>
    <row r="2810" spans="11:16">
      <c r="K2810" s="85">
        <v>26</v>
      </c>
      <c r="N2810" s="78"/>
      <c r="P2810" s="85"/>
    </row>
    <row r="2811" spans="11:16">
      <c r="K2811" s="85">
        <v>27</v>
      </c>
      <c r="N2811" s="78"/>
      <c r="P2811" s="85"/>
    </row>
    <row r="2812" spans="11:16">
      <c r="K2812" s="85">
        <v>28</v>
      </c>
      <c r="N2812" s="78"/>
      <c r="P2812" s="85"/>
    </row>
    <row r="2813" spans="11:16">
      <c r="K2813" s="85">
        <v>29</v>
      </c>
      <c r="N2813" s="78"/>
      <c r="P2813" s="85"/>
    </row>
    <row r="2814" spans="11:16">
      <c r="K2814" s="85">
        <v>30</v>
      </c>
      <c r="N2814" s="78"/>
      <c r="P2814" s="85"/>
    </row>
    <row r="2815" spans="11:16">
      <c r="K2815" s="85">
        <v>31</v>
      </c>
      <c r="N2815" s="78"/>
      <c r="P2815" s="85"/>
    </row>
    <row r="2816" spans="11:16">
      <c r="K2816" s="85">
        <v>34</v>
      </c>
      <c r="N2816" s="78"/>
      <c r="P2816" s="85"/>
    </row>
    <row r="2817" spans="11:16">
      <c r="K2817" s="85">
        <v>35</v>
      </c>
      <c r="N2817" s="78"/>
      <c r="P2817" s="85"/>
    </row>
    <row r="2818" spans="11:16">
      <c r="K2818" s="85">
        <v>25</v>
      </c>
      <c r="N2818" s="78"/>
      <c r="P2818" s="85"/>
    </row>
    <row r="2819" spans="11:16">
      <c r="K2819" s="85">
        <v>26</v>
      </c>
      <c r="N2819" s="78"/>
      <c r="P2819" s="85"/>
    </row>
    <row r="2820" spans="11:16">
      <c r="K2820" s="85">
        <v>27</v>
      </c>
      <c r="N2820" s="78"/>
      <c r="P2820" s="85"/>
    </row>
    <row r="2821" spans="11:16">
      <c r="K2821" s="85">
        <v>28</v>
      </c>
      <c r="N2821" s="78"/>
      <c r="P2821" s="85"/>
    </row>
    <row r="2822" spans="11:16">
      <c r="K2822" s="85">
        <v>29</v>
      </c>
      <c r="N2822" s="78"/>
      <c r="P2822" s="85"/>
    </row>
    <row r="2823" spans="11:16">
      <c r="K2823" s="85">
        <v>30</v>
      </c>
      <c r="N2823" s="78"/>
      <c r="P2823" s="85"/>
    </row>
    <row r="2824" spans="11:16">
      <c r="K2824" s="85">
        <v>31</v>
      </c>
      <c r="N2824" s="78"/>
      <c r="P2824" s="85"/>
    </row>
    <row r="2825" spans="11:16">
      <c r="K2825" s="85">
        <v>32</v>
      </c>
      <c r="N2825" s="78"/>
      <c r="P2825" s="85"/>
    </row>
    <row r="2826" spans="11:16">
      <c r="K2826" s="85">
        <v>34</v>
      </c>
      <c r="N2826" s="78"/>
      <c r="P2826" s="85"/>
    </row>
    <row r="2827" spans="11:16">
      <c r="K2827" s="85">
        <v>35</v>
      </c>
      <c r="N2827" s="78"/>
      <c r="P2827" s="85"/>
    </row>
    <row r="2828" spans="11:16">
      <c r="K2828" s="85">
        <v>36</v>
      </c>
      <c r="N2828" s="78"/>
      <c r="P2828" s="85"/>
    </row>
    <row r="2829" spans="11:16">
      <c r="K2829" s="85">
        <v>25</v>
      </c>
      <c r="N2829" s="78"/>
      <c r="P2829" s="85"/>
    </row>
    <row r="2830" spans="11:16">
      <c r="K2830" s="85">
        <v>26</v>
      </c>
      <c r="N2830" s="78"/>
      <c r="P2830" s="85"/>
    </row>
    <row r="2831" spans="11:16">
      <c r="K2831" s="85">
        <v>27</v>
      </c>
      <c r="N2831" s="78"/>
      <c r="P2831" s="85"/>
    </row>
    <row r="2832" spans="11:16">
      <c r="K2832" s="85">
        <v>28</v>
      </c>
      <c r="N2832" s="78"/>
      <c r="P2832" s="85"/>
    </row>
    <row r="2833" spans="11:16">
      <c r="K2833" s="85">
        <v>29</v>
      </c>
      <c r="N2833" s="78"/>
      <c r="P2833" s="85"/>
    </row>
    <row r="2834" spans="11:16">
      <c r="K2834" s="85">
        <v>30</v>
      </c>
      <c r="N2834" s="78"/>
      <c r="P2834" s="85"/>
    </row>
    <row r="2835" spans="11:16">
      <c r="K2835" s="85">
        <v>33</v>
      </c>
      <c r="N2835" s="78"/>
      <c r="P2835" s="85"/>
    </row>
    <row r="2836" spans="11:16">
      <c r="K2836" s="85">
        <v>34</v>
      </c>
      <c r="N2836" s="78"/>
      <c r="P2836" s="85"/>
    </row>
    <row r="2837" spans="11:16">
      <c r="K2837" s="85">
        <v>35</v>
      </c>
      <c r="N2837" s="78"/>
      <c r="P2837" s="85"/>
    </row>
    <row r="2838" spans="11:16">
      <c r="K2838" s="85">
        <v>26</v>
      </c>
      <c r="N2838" s="78"/>
      <c r="P2838" s="85"/>
    </row>
    <row r="2839" spans="11:16">
      <c r="K2839" s="85">
        <v>27</v>
      </c>
      <c r="N2839" s="78"/>
      <c r="P2839" s="85"/>
    </row>
    <row r="2840" spans="11:16">
      <c r="K2840" s="85">
        <v>31</v>
      </c>
      <c r="N2840" s="78"/>
      <c r="P2840" s="85"/>
    </row>
    <row r="2841" spans="11:16">
      <c r="K2841" s="85">
        <v>34</v>
      </c>
      <c r="N2841" s="78"/>
      <c r="P2841" s="85"/>
    </row>
    <row r="2842" spans="11:16">
      <c r="K2842" s="85">
        <v>26</v>
      </c>
      <c r="N2842" s="78"/>
      <c r="P2842" s="85"/>
    </row>
    <row r="2843" spans="11:16">
      <c r="K2843" s="85">
        <v>34</v>
      </c>
      <c r="N2843" s="78"/>
      <c r="P2843" s="85"/>
    </row>
    <row r="2844" spans="11:16">
      <c r="K2844" s="85">
        <v>35</v>
      </c>
      <c r="N2844" s="78"/>
      <c r="P2844" s="85"/>
    </row>
    <row r="2845" spans="11:16">
      <c r="K2845" s="85">
        <v>25</v>
      </c>
      <c r="N2845" s="78"/>
      <c r="P2845" s="85"/>
    </row>
    <row r="2846" spans="11:16">
      <c r="K2846" s="85">
        <v>27</v>
      </c>
      <c r="N2846" s="78"/>
      <c r="P2846" s="85"/>
    </row>
    <row r="2847" spans="11:16">
      <c r="K2847" s="85">
        <v>28</v>
      </c>
      <c r="N2847" s="78"/>
      <c r="P2847" s="85"/>
    </row>
    <row r="2848" spans="11:16">
      <c r="K2848" s="85">
        <v>29</v>
      </c>
      <c r="N2848" s="78"/>
      <c r="P2848" s="85"/>
    </row>
    <row r="2849" spans="11:16">
      <c r="K2849" s="85">
        <v>31</v>
      </c>
      <c r="N2849" s="78"/>
      <c r="P2849" s="85"/>
    </row>
    <row r="2850" spans="11:16">
      <c r="K2850" s="85">
        <v>34</v>
      </c>
      <c r="N2850" s="78"/>
      <c r="P2850" s="85"/>
    </row>
    <row r="2851" spans="11:16">
      <c r="K2851" s="85">
        <v>35</v>
      </c>
      <c r="N2851" s="78"/>
      <c r="P2851" s="85"/>
    </row>
    <row r="2852" spans="11:16">
      <c r="K2852" s="85">
        <v>36</v>
      </c>
      <c r="N2852" s="78"/>
      <c r="P2852" s="85"/>
    </row>
    <row r="2853" spans="11:16">
      <c r="K2853" s="85">
        <v>25</v>
      </c>
      <c r="N2853" s="78"/>
      <c r="P2853" s="85"/>
    </row>
    <row r="2854" spans="11:16">
      <c r="K2854" s="85">
        <v>26</v>
      </c>
      <c r="N2854" s="78"/>
      <c r="P2854" s="85"/>
    </row>
    <row r="2855" spans="11:16">
      <c r="K2855" s="85">
        <v>27</v>
      </c>
      <c r="N2855" s="78"/>
      <c r="P2855" s="85"/>
    </row>
    <row r="2856" spans="11:16">
      <c r="K2856" s="85">
        <v>28</v>
      </c>
      <c r="N2856" s="78"/>
      <c r="P2856" s="85"/>
    </row>
    <row r="2857" spans="11:16">
      <c r="K2857" s="85">
        <v>30</v>
      </c>
      <c r="N2857" s="78"/>
      <c r="P2857" s="85"/>
    </row>
    <row r="2858" spans="11:16">
      <c r="K2858" s="85">
        <v>31</v>
      </c>
      <c r="N2858" s="78"/>
      <c r="P2858" s="85"/>
    </row>
    <row r="2859" spans="11:16">
      <c r="K2859" s="85">
        <v>32</v>
      </c>
      <c r="N2859" s="78"/>
      <c r="P2859" s="85"/>
    </row>
    <row r="2860" spans="11:16">
      <c r="K2860" s="85">
        <v>33</v>
      </c>
      <c r="N2860" s="78"/>
      <c r="P2860" s="85"/>
    </row>
    <row r="2861" spans="11:16">
      <c r="K2861" s="85">
        <v>34</v>
      </c>
      <c r="N2861" s="78"/>
      <c r="P2861" s="85"/>
    </row>
    <row r="2862" spans="11:16">
      <c r="K2862" s="85">
        <v>35</v>
      </c>
      <c r="N2862" s="78"/>
      <c r="P2862" s="85"/>
    </row>
    <row r="2863" spans="11:16">
      <c r="K2863" s="85">
        <v>25</v>
      </c>
      <c r="N2863" s="78"/>
      <c r="P2863" s="85"/>
    </row>
    <row r="2864" spans="11:16">
      <c r="K2864" s="85">
        <v>26</v>
      </c>
      <c r="N2864" s="78"/>
      <c r="P2864" s="85"/>
    </row>
    <row r="2865" spans="11:16">
      <c r="K2865" s="85">
        <v>27</v>
      </c>
      <c r="N2865" s="78"/>
      <c r="P2865" s="85"/>
    </row>
    <row r="2866" spans="11:16">
      <c r="K2866" s="85">
        <v>28</v>
      </c>
      <c r="N2866" s="78"/>
      <c r="P2866" s="85"/>
    </row>
    <row r="2867" spans="11:16">
      <c r="K2867" s="85">
        <v>31</v>
      </c>
      <c r="N2867" s="78"/>
      <c r="P2867" s="85"/>
    </row>
    <row r="2868" spans="11:16">
      <c r="K2868" s="85">
        <v>32</v>
      </c>
      <c r="N2868" s="78"/>
      <c r="P2868" s="85"/>
    </row>
    <row r="2869" spans="11:16">
      <c r="K2869" s="85">
        <v>33</v>
      </c>
      <c r="N2869" s="78"/>
      <c r="P2869" s="85"/>
    </row>
    <row r="2870" spans="11:16">
      <c r="K2870" s="85">
        <v>34</v>
      </c>
      <c r="N2870" s="78"/>
      <c r="P2870" s="85"/>
    </row>
    <row r="2871" spans="11:16">
      <c r="K2871" s="85">
        <v>35</v>
      </c>
      <c r="N2871" s="78"/>
      <c r="P2871" s="85"/>
    </row>
    <row r="2872" spans="11:16">
      <c r="K2872" s="85">
        <v>25</v>
      </c>
      <c r="N2872" s="78"/>
      <c r="P2872" s="85"/>
    </row>
    <row r="2873" spans="11:16">
      <c r="K2873" s="85">
        <v>26</v>
      </c>
      <c r="N2873" s="78"/>
      <c r="P2873" s="85"/>
    </row>
    <row r="2874" spans="11:16">
      <c r="K2874" s="85">
        <v>27</v>
      </c>
      <c r="N2874" s="78"/>
      <c r="P2874" s="85"/>
    </row>
    <row r="2875" spans="11:16">
      <c r="K2875" s="85">
        <v>28</v>
      </c>
      <c r="N2875" s="78"/>
      <c r="P2875" s="85"/>
    </row>
    <row r="2876" spans="11:16">
      <c r="K2876" s="85">
        <v>29</v>
      </c>
      <c r="N2876" s="78"/>
      <c r="P2876" s="85"/>
    </row>
    <row r="2877" spans="11:16">
      <c r="K2877" s="85">
        <v>31</v>
      </c>
      <c r="N2877" s="78"/>
      <c r="P2877" s="85"/>
    </row>
    <row r="2878" spans="11:16">
      <c r="K2878" s="85">
        <v>34</v>
      </c>
      <c r="N2878" s="78"/>
      <c r="P2878" s="85"/>
    </row>
    <row r="2879" spans="11:16">
      <c r="K2879" s="85">
        <v>25</v>
      </c>
      <c r="N2879" s="78"/>
      <c r="P2879" s="85"/>
    </row>
    <row r="2880" spans="11:16">
      <c r="K2880" s="85">
        <v>26</v>
      </c>
      <c r="N2880" s="78"/>
      <c r="P2880" s="85"/>
    </row>
    <row r="2881" spans="11:16">
      <c r="K2881" s="85">
        <v>27</v>
      </c>
      <c r="N2881" s="78"/>
      <c r="P2881" s="85"/>
    </row>
    <row r="2882" spans="11:16">
      <c r="K2882" s="85">
        <v>28</v>
      </c>
      <c r="N2882" s="78"/>
      <c r="P2882" s="85"/>
    </row>
    <row r="2883" spans="11:16">
      <c r="K2883" s="85">
        <v>29</v>
      </c>
      <c r="N2883" s="78"/>
      <c r="P2883" s="85"/>
    </row>
    <row r="2884" spans="11:16">
      <c r="K2884" s="85">
        <v>30</v>
      </c>
      <c r="N2884" s="78"/>
      <c r="P2884" s="85"/>
    </row>
    <row r="2885" spans="11:16">
      <c r="K2885" s="85">
        <v>31</v>
      </c>
      <c r="N2885" s="78"/>
      <c r="P2885" s="85"/>
    </row>
    <row r="2886" spans="11:16">
      <c r="K2886" s="85">
        <v>32</v>
      </c>
      <c r="N2886" s="78"/>
      <c r="P2886" s="85"/>
    </row>
    <row r="2887" spans="11:16">
      <c r="K2887" s="85">
        <v>34</v>
      </c>
      <c r="N2887" s="78"/>
      <c r="P2887" s="85"/>
    </row>
    <row r="2888" spans="11:16">
      <c r="K2888" s="85">
        <v>35</v>
      </c>
      <c r="N2888" s="78"/>
      <c r="P2888" s="85"/>
    </row>
    <row r="2889" spans="11:16">
      <c r="K2889" s="85">
        <v>36</v>
      </c>
      <c r="N2889" s="78"/>
      <c r="P2889" s="85"/>
    </row>
    <row r="2890" spans="11:16">
      <c r="K2890" s="85">
        <v>25</v>
      </c>
      <c r="N2890" s="78"/>
      <c r="P2890" s="85"/>
    </row>
    <row r="2891" spans="11:16">
      <c r="K2891" s="85">
        <v>26</v>
      </c>
      <c r="N2891" s="78"/>
      <c r="P2891" s="85"/>
    </row>
    <row r="2892" spans="11:16">
      <c r="K2892" s="85">
        <v>27</v>
      </c>
      <c r="N2892" s="78"/>
      <c r="P2892" s="85"/>
    </row>
    <row r="2893" spans="11:16">
      <c r="K2893" s="85">
        <v>28</v>
      </c>
      <c r="N2893" s="78"/>
      <c r="P2893" s="85"/>
    </row>
    <row r="2894" spans="11:16">
      <c r="K2894" s="85">
        <v>29</v>
      </c>
      <c r="N2894" s="78"/>
      <c r="P2894" s="85"/>
    </row>
    <row r="2895" spans="11:16">
      <c r="K2895" s="85">
        <v>30</v>
      </c>
      <c r="N2895" s="78"/>
      <c r="P2895" s="85"/>
    </row>
    <row r="2896" spans="11:16">
      <c r="K2896" s="85">
        <v>31</v>
      </c>
      <c r="N2896" s="78"/>
      <c r="P2896" s="85"/>
    </row>
    <row r="2897" spans="11:16">
      <c r="K2897" s="85">
        <v>32</v>
      </c>
      <c r="N2897" s="78"/>
      <c r="P2897" s="85"/>
    </row>
    <row r="2898" spans="11:16">
      <c r="K2898" s="85">
        <v>33</v>
      </c>
      <c r="N2898" s="78"/>
      <c r="P2898" s="85"/>
    </row>
    <row r="2899" spans="11:16">
      <c r="K2899" s="85">
        <v>34</v>
      </c>
      <c r="N2899" s="78"/>
      <c r="P2899" s="85"/>
    </row>
    <row r="2900" spans="11:16">
      <c r="K2900" s="85">
        <v>35</v>
      </c>
      <c r="N2900" s="78"/>
      <c r="P2900" s="85"/>
    </row>
    <row r="2901" spans="11:16">
      <c r="K2901" s="85">
        <v>25</v>
      </c>
      <c r="N2901" s="78"/>
      <c r="P2901" s="85"/>
    </row>
    <row r="2902" spans="11:16">
      <c r="K2902" s="85">
        <v>26</v>
      </c>
      <c r="N2902" s="78"/>
      <c r="P2902" s="85"/>
    </row>
    <row r="2903" spans="11:16">
      <c r="K2903" s="85">
        <v>27</v>
      </c>
      <c r="N2903" s="78"/>
      <c r="P2903" s="85"/>
    </row>
    <row r="2904" spans="11:16">
      <c r="K2904" s="85">
        <v>28</v>
      </c>
      <c r="N2904" s="78"/>
      <c r="P2904" s="85"/>
    </row>
    <row r="2905" spans="11:16">
      <c r="K2905" s="85">
        <v>29</v>
      </c>
      <c r="N2905" s="78"/>
      <c r="P2905" s="85"/>
    </row>
    <row r="2906" spans="11:16">
      <c r="K2906" s="85">
        <v>30</v>
      </c>
      <c r="N2906" s="78"/>
      <c r="P2906" s="85"/>
    </row>
    <row r="2907" spans="11:16">
      <c r="K2907" s="85">
        <v>31</v>
      </c>
      <c r="N2907" s="78"/>
      <c r="P2907" s="85"/>
    </row>
    <row r="2908" spans="11:16">
      <c r="K2908" s="85">
        <v>35</v>
      </c>
      <c r="N2908" s="78"/>
      <c r="P2908" s="85"/>
    </row>
    <row r="2909" spans="11:16">
      <c r="K2909" s="85">
        <v>36</v>
      </c>
      <c r="N2909" s="78"/>
      <c r="P2909" s="85"/>
    </row>
    <row r="2910" spans="11:16">
      <c r="K2910" s="85">
        <v>25</v>
      </c>
      <c r="N2910" s="78"/>
      <c r="P2910" s="85"/>
    </row>
    <row r="2911" spans="11:16">
      <c r="K2911" s="85">
        <v>26</v>
      </c>
      <c r="N2911" s="78"/>
      <c r="P2911" s="85"/>
    </row>
    <row r="2912" spans="11:16">
      <c r="K2912" s="85">
        <v>27</v>
      </c>
      <c r="N2912" s="78"/>
      <c r="P2912" s="85"/>
    </row>
    <row r="2913" spans="11:16">
      <c r="K2913" s="85">
        <v>28</v>
      </c>
      <c r="N2913" s="78"/>
      <c r="P2913" s="85"/>
    </row>
    <row r="2914" spans="11:16">
      <c r="K2914" s="85">
        <v>29</v>
      </c>
      <c r="N2914" s="78"/>
      <c r="P2914" s="85"/>
    </row>
    <row r="2915" spans="11:16">
      <c r="K2915" s="85">
        <v>30</v>
      </c>
      <c r="N2915" s="78"/>
      <c r="P2915" s="85"/>
    </row>
    <row r="2916" spans="11:16">
      <c r="K2916" s="85">
        <v>31</v>
      </c>
      <c r="N2916" s="78"/>
      <c r="P2916" s="85"/>
    </row>
    <row r="2917" spans="11:16">
      <c r="K2917" s="85">
        <v>32</v>
      </c>
      <c r="N2917" s="78"/>
      <c r="P2917" s="85"/>
    </row>
    <row r="2918" spans="11:16">
      <c r="K2918" s="85">
        <v>33</v>
      </c>
      <c r="N2918" s="78"/>
      <c r="P2918" s="85"/>
    </row>
    <row r="2919" spans="11:16">
      <c r="K2919" s="85">
        <v>34</v>
      </c>
      <c r="N2919" s="78"/>
      <c r="P2919" s="85"/>
    </row>
    <row r="2920" spans="11:16">
      <c r="K2920" s="85">
        <v>35</v>
      </c>
      <c r="N2920" s="78"/>
      <c r="P2920" s="85"/>
    </row>
    <row r="2921" spans="11:16">
      <c r="K2921" s="85">
        <v>36</v>
      </c>
      <c r="N2921" s="78"/>
      <c r="P2921" s="85"/>
    </row>
    <row r="2922" spans="11:16">
      <c r="K2922" s="85">
        <v>34</v>
      </c>
      <c r="N2922" s="78"/>
      <c r="P2922" s="85"/>
    </row>
    <row r="2923" spans="11:16">
      <c r="K2923" s="85">
        <v>35</v>
      </c>
      <c r="N2923" s="78"/>
      <c r="P2923" s="85"/>
    </row>
    <row r="2924" spans="11:16">
      <c r="K2924" s="85">
        <v>25</v>
      </c>
      <c r="N2924" s="78"/>
      <c r="P2924" s="85"/>
    </row>
    <row r="2925" spans="11:16">
      <c r="K2925" s="85">
        <v>27</v>
      </c>
      <c r="N2925" s="78"/>
      <c r="P2925" s="85"/>
    </row>
    <row r="2926" spans="11:16">
      <c r="K2926" s="85">
        <v>30</v>
      </c>
      <c r="N2926" s="78"/>
      <c r="P2926" s="85"/>
    </row>
    <row r="2927" spans="11:16">
      <c r="K2927" s="85">
        <v>31</v>
      </c>
      <c r="N2927" s="78"/>
      <c r="P2927" s="85"/>
    </row>
    <row r="2928" spans="11:16">
      <c r="K2928" s="85">
        <v>34</v>
      </c>
      <c r="N2928" s="78"/>
      <c r="P2928" s="85"/>
    </row>
    <row r="2929" spans="11:16">
      <c r="K2929" s="85">
        <v>35</v>
      </c>
      <c r="N2929" s="78"/>
      <c r="P2929" s="85"/>
    </row>
    <row r="2930" spans="11:16">
      <c r="K2930" s="85">
        <v>36</v>
      </c>
      <c r="N2930" s="78"/>
      <c r="P2930" s="85"/>
    </row>
    <row r="2931" spans="11:16">
      <c r="K2931" s="85">
        <v>27</v>
      </c>
      <c r="N2931" s="78"/>
      <c r="P2931" s="85"/>
    </row>
    <row r="2932" spans="11:16">
      <c r="K2932" s="85">
        <v>31</v>
      </c>
      <c r="N2932" s="78"/>
      <c r="P2932" s="85"/>
    </row>
    <row r="2933" spans="11:16">
      <c r="K2933" s="85">
        <v>32</v>
      </c>
      <c r="N2933" s="78"/>
      <c r="P2933" s="85"/>
    </row>
    <row r="2934" spans="11:16">
      <c r="K2934" s="85">
        <v>34</v>
      </c>
      <c r="N2934" s="78"/>
      <c r="P2934" s="85"/>
    </row>
    <row r="2935" spans="11:16">
      <c r="K2935" s="85">
        <v>26</v>
      </c>
      <c r="N2935" s="78"/>
      <c r="P2935" s="85"/>
    </row>
    <row r="2936" spans="11:16">
      <c r="K2936" s="85">
        <v>27</v>
      </c>
      <c r="N2936" s="78"/>
      <c r="P2936" s="85"/>
    </row>
    <row r="2937" spans="11:16">
      <c r="K2937" s="85">
        <v>28</v>
      </c>
      <c r="N2937" s="78"/>
      <c r="P2937" s="85"/>
    </row>
    <row r="2938" spans="11:16">
      <c r="K2938" s="85">
        <v>31</v>
      </c>
      <c r="N2938" s="78"/>
      <c r="P2938" s="85"/>
    </row>
    <row r="2939" spans="11:16">
      <c r="K2939" s="85">
        <v>32</v>
      </c>
      <c r="N2939" s="78"/>
      <c r="P2939" s="85"/>
    </row>
    <row r="2940" spans="11:16">
      <c r="K2940" s="85">
        <v>34</v>
      </c>
      <c r="N2940" s="78"/>
      <c r="P2940" s="85"/>
    </row>
    <row r="2941" spans="11:16">
      <c r="K2941" s="85">
        <v>35</v>
      </c>
      <c r="N2941" s="78"/>
      <c r="P2941" s="85"/>
    </row>
    <row r="2942" spans="11:16">
      <c r="K2942" s="85">
        <v>36</v>
      </c>
      <c r="N2942" s="78"/>
      <c r="P2942" s="85"/>
    </row>
    <row r="2943" spans="11:16">
      <c r="K2943" s="85">
        <v>25</v>
      </c>
      <c r="N2943" s="78"/>
      <c r="P2943" s="85"/>
    </row>
    <row r="2944" spans="11:16">
      <c r="K2944" s="85">
        <v>27</v>
      </c>
      <c r="N2944" s="78"/>
      <c r="P2944" s="85"/>
    </row>
    <row r="2945" spans="11:16">
      <c r="K2945" s="85">
        <v>30</v>
      </c>
      <c r="N2945" s="78"/>
      <c r="P2945" s="85"/>
    </row>
    <row r="2946" spans="11:16">
      <c r="K2946" s="85">
        <v>31</v>
      </c>
      <c r="N2946" s="78"/>
      <c r="P2946" s="85"/>
    </row>
    <row r="2947" spans="11:16">
      <c r="K2947" s="85">
        <v>32</v>
      </c>
      <c r="N2947" s="78"/>
      <c r="P2947" s="85"/>
    </row>
    <row r="2948" spans="11:16">
      <c r="K2948" s="85">
        <v>34</v>
      </c>
      <c r="N2948" s="78"/>
      <c r="P2948" s="85"/>
    </row>
    <row r="2949" spans="11:16">
      <c r="K2949" s="85">
        <v>35</v>
      </c>
      <c r="N2949" s="78"/>
      <c r="P2949" s="85"/>
    </row>
    <row r="2950" spans="11:16">
      <c r="K2950" s="85">
        <v>36</v>
      </c>
      <c r="N2950" s="78"/>
      <c r="P2950" s="85"/>
    </row>
    <row r="2951" spans="11:16">
      <c r="K2951" s="85">
        <v>27</v>
      </c>
      <c r="N2951" s="78"/>
      <c r="P2951" s="85"/>
    </row>
    <row r="2952" spans="11:16">
      <c r="K2952" s="85">
        <v>31</v>
      </c>
      <c r="N2952" s="78"/>
      <c r="P2952" s="85"/>
    </row>
    <row r="2953" spans="11:16">
      <c r="K2953" s="85">
        <v>34</v>
      </c>
      <c r="N2953" s="78"/>
      <c r="P2953" s="85"/>
    </row>
    <row r="2954" spans="11:16">
      <c r="K2954" s="85">
        <v>25</v>
      </c>
      <c r="N2954" s="78"/>
      <c r="P2954" s="85"/>
    </row>
    <row r="2955" spans="11:16">
      <c r="K2955" s="85">
        <v>26</v>
      </c>
      <c r="N2955" s="78"/>
      <c r="P2955" s="85"/>
    </row>
    <row r="2956" spans="11:16">
      <c r="K2956" s="85">
        <v>27</v>
      </c>
      <c r="N2956" s="78"/>
      <c r="P2956" s="85"/>
    </row>
    <row r="2957" spans="11:16">
      <c r="K2957" s="85">
        <v>29</v>
      </c>
      <c r="N2957" s="78"/>
      <c r="P2957" s="85"/>
    </row>
    <row r="2958" spans="11:16">
      <c r="K2958" s="85">
        <v>30</v>
      </c>
      <c r="N2958" s="78"/>
      <c r="P2958" s="85"/>
    </row>
    <row r="2959" spans="11:16">
      <c r="K2959" s="85">
        <v>31</v>
      </c>
      <c r="N2959" s="78"/>
      <c r="P2959" s="85"/>
    </row>
    <row r="2960" spans="11:16">
      <c r="K2960" s="85">
        <v>32</v>
      </c>
      <c r="N2960" s="78"/>
      <c r="P2960" s="85"/>
    </row>
    <row r="2961" spans="11:16">
      <c r="K2961" s="85">
        <v>34</v>
      </c>
      <c r="N2961" s="78"/>
      <c r="P2961" s="85"/>
    </row>
    <row r="2962" spans="11:16">
      <c r="K2962" s="85">
        <v>25</v>
      </c>
      <c r="N2962" s="78"/>
      <c r="P2962" s="85"/>
    </row>
    <row r="2963" spans="11:16">
      <c r="K2963" s="85">
        <v>27</v>
      </c>
      <c r="N2963" s="78"/>
      <c r="P2963" s="85"/>
    </row>
    <row r="2964" spans="11:16">
      <c r="K2964" s="85">
        <v>29</v>
      </c>
      <c r="N2964" s="78"/>
      <c r="P2964" s="85"/>
    </row>
    <row r="2965" spans="11:16">
      <c r="K2965" s="85">
        <v>32</v>
      </c>
      <c r="N2965" s="78"/>
      <c r="P2965" s="85"/>
    </row>
    <row r="2966" spans="11:16">
      <c r="K2966" s="85">
        <v>33</v>
      </c>
      <c r="N2966" s="78"/>
      <c r="P2966" s="85"/>
    </row>
    <row r="2967" spans="11:16">
      <c r="K2967" s="85">
        <v>35</v>
      </c>
      <c r="N2967" s="78"/>
      <c r="P2967" s="85"/>
    </row>
    <row r="2968" spans="11:16">
      <c r="K2968" s="85">
        <v>25</v>
      </c>
      <c r="N2968" s="78"/>
      <c r="P2968" s="85"/>
    </row>
    <row r="2969" spans="11:16">
      <c r="K2969" s="85">
        <v>30</v>
      </c>
      <c r="N2969" s="78"/>
      <c r="P2969" s="85"/>
    </row>
    <row r="2970" spans="11:16">
      <c r="K2970" s="85">
        <v>31</v>
      </c>
      <c r="N2970" s="78"/>
      <c r="P2970" s="85"/>
    </row>
    <row r="2971" spans="11:16">
      <c r="K2971" s="85">
        <v>32</v>
      </c>
      <c r="N2971" s="78"/>
      <c r="P2971" s="85"/>
    </row>
    <row r="2972" spans="11:16">
      <c r="K2972" s="85">
        <v>25</v>
      </c>
      <c r="N2972" s="78"/>
      <c r="P2972" s="85"/>
    </row>
    <row r="2973" spans="11:16">
      <c r="K2973" s="85">
        <v>26</v>
      </c>
      <c r="N2973" s="78"/>
      <c r="P2973" s="85"/>
    </row>
    <row r="2974" spans="11:16">
      <c r="K2974" s="85">
        <v>27</v>
      </c>
      <c r="N2974" s="78"/>
      <c r="P2974" s="85"/>
    </row>
    <row r="2975" spans="11:16">
      <c r="K2975" s="85">
        <v>28</v>
      </c>
      <c r="N2975" s="78"/>
      <c r="P2975" s="85"/>
    </row>
    <row r="2976" spans="11:16">
      <c r="K2976" s="85">
        <v>29</v>
      </c>
      <c r="N2976" s="78"/>
      <c r="P2976" s="85"/>
    </row>
    <row r="2977" spans="11:16">
      <c r="K2977" s="85">
        <v>30</v>
      </c>
      <c r="N2977" s="78"/>
      <c r="P2977" s="85"/>
    </row>
    <row r="2978" spans="11:16">
      <c r="K2978" s="85">
        <v>31</v>
      </c>
      <c r="N2978" s="78"/>
      <c r="P2978" s="85"/>
    </row>
    <row r="2979" spans="11:16">
      <c r="K2979" s="85">
        <v>32</v>
      </c>
      <c r="N2979" s="78"/>
      <c r="P2979" s="85"/>
    </row>
    <row r="2980" spans="11:16">
      <c r="K2980" s="85">
        <v>34</v>
      </c>
      <c r="N2980" s="78"/>
      <c r="P2980" s="85"/>
    </row>
    <row r="2981" spans="11:16">
      <c r="K2981" s="85">
        <v>35</v>
      </c>
      <c r="N2981" s="78"/>
      <c r="P2981" s="85"/>
    </row>
    <row r="2982" spans="11:16">
      <c r="K2982" s="85">
        <v>36</v>
      </c>
      <c r="N2982" s="78"/>
      <c r="P2982" s="85"/>
    </row>
    <row r="2983" spans="11:16">
      <c r="K2983" s="85">
        <v>25</v>
      </c>
      <c r="N2983" s="78"/>
      <c r="P2983" s="85"/>
    </row>
    <row r="2984" spans="11:16">
      <c r="K2984" s="85">
        <v>26</v>
      </c>
      <c r="N2984" s="78"/>
      <c r="P2984" s="85"/>
    </row>
    <row r="2985" spans="11:16">
      <c r="K2985" s="85">
        <v>27</v>
      </c>
      <c r="N2985" s="78"/>
      <c r="P2985" s="85"/>
    </row>
    <row r="2986" spans="11:16">
      <c r="K2986" s="85">
        <v>28</v>
      </c>
      <c r="N2986" s="78"/>
      <c r="P2986" s="85"/>
    </row>
    <row r="2987" spans="11:16">
      <c r="K2987" s="85">
        <v>29</v>
      </c>
      <c r="N2987" s="78"/>
      <c r="P2987" s="85"/>
    </row>
    <row r="2988" spans="11:16">
      <c r="K2988" s="85">
        <v>30</v>
      </c>
      <c r="N2988" s="78"/>
      <c r="P2988" s="85"/>
    </row>
    <row r="2989" spans="11:16">
      <c r="K2989" s="85">
        <v>31</v>
      </c>
      <c r="N2989" s="78"/>
      <c r="P2989" s="85"/>
    </row>
    <row r="2990" spans="11:16">
      <c r="K2990" s="85">
        <v>32</v>
      </c>
      <c r="N2990" s="78"/>
      <c r="P2990" s="85"/>
    </row>
    <row r="2991" spans="11:16">
      <c r="K2991" s="85">
        <v>33</v>
      </c>
      <c r="N2991" s="78"/>
      <c r="P2991" s="85"/>
    </row>
    <row r="2992" spans="11:16">
      <c r="K2992" s="85">
        <v>34</v>
      </c>
      <c r="N2992" s="78"/>
      <c r="P2992" s="85"/>
    </row>
    <row r="2993" spans="11:16">
      <c r="K2993" s="85">
        <v>35</v>
      </c>
      <c r="N2993" s="78"/>
      <c r="P2993" s="85"/>
    </row>
    <row r="2994" spans="11:16">
      <c r="K2994" s="85">
        <v>36</v>
      </c>
      <c r="N2994" s="78"/>
      <c r="P2994" s="85"/>
    </row>
    <row r="2995" spans="11:16">
      <c r="K2995" s="85">
        <v>27</v>
      </c>
      <c r="N2995" s="78"/>
      <c r="P2995" s="85"/>
    </row>
    <row r="2996" spans="11:16">
      <c r="K2996" s="85">
        <v>30</v>
      </c>
      <c r="N2996" s="78"/>
      <c r="P2996" s="85"/>
    </row>
    <row r="2997" spans="11:16">
      <c r="K2997" s="85">
        <v>32</v>
      </c>
      <c r="N2997" s="78"/>
      <c r="P2997" s="85"/>
    </row>
    <row r="2998" spans="11:16">
      <c r="K2998" s="85">
        <v>34</v>
      </c>
      <c r="N2998" s="78"/>
      <c r="P2998" s="85"/>
    </row>
    <row r="2999" spans="11:16">
      <c r="K2999" s="85">
        <v>35</v>
      </c>
      <c r="N2999" s="78"/>
      <c r="P2999" s="85"/>
    </row>
    <row r="3000" spans="11:16">
      <c r="K3000" s="85">
        <v>25</v>
      </c>
      <c r="N3000" s="78"/>
      <c r="P3000" s="85"/>
    </row>
    <row r="3001" spans="11:16">
      <c r="K3001" s="85">
        <v>26</v>
      </c>
      <c r="N3001" s="78"/>
      <c r="P3001" s="85"/>
    </row>
    <row r="3002" spans="11:16">
      <c r="K3002" s="85">
        <v>27</v>
      </c>
      <c r="N3002" s="78"/>
      <c r="P3002" s="85"/>
    </row>
    <row r="3003" spans="11:16">
      <c r="K3003" s="85">
        <v>28</v>
      </c>
      <c r="N3003" s="78"/>
      <c r="P3003" s="85"/>
    </row>
    <row r="3004" spans="11:16">
      <c r="K3004" s="85">
        <v>29</v>
      </c>
      <c r="N3004" s="78"/>
      <c r="P3004" s="85"/>
    </row>
    <row r="3005" spans="11:16">
      <c r="K3005" s="85">
        <v>30</v>
      </c>
      <c r="N3005" s="78"/>
      <c r="P3005" s="85"/>
    </row>
    <row r="3006" spans="11:16">
      <c r="K3006" s="85">
        <v>31</v>
      </c>
      <c r="N3006" s="78"/>
      <c r="P3006" s="85"/>
    </row>
    <row r="3007" spans="11:16">
      <c r="K3007" s="85">
        <v>32</v>
      </c>
      <c r="N3007" s="78"/>
      <c r="P3007" s="85"/>
    </row>
    <row r="3008" spans="11:16">
      <c r="K3008" s="85">
        <v>34</v>
      </c>
      <c r="N3008" s="78"/>
      <c r="P3008" s="85"/>
    </row>
    <row r="3009" spans="11:16">
      <c r="K3009" s="85">
        <v>35</v>
      </c>
      <c r="N3009" s="78"/>
      <c r="P3009" s="85"/>
    </row>
    <row r="3010" spans="11:16">
      <c r="K3010" s="85">
        <v>25</v>
      </c>
      <c r="N3010" s="78"/>
      <c r="P3010" s="85"/>
    </row>
    <row r="3011" spans="11:16">
      <c r="K3011" s="85">
        <v>26</v>
      </c>
      <c r="N3011" s="78"/>
      <c r="P3011" s="85"/>
    </row>
    <row r="3012" spans="11:16">
      <c r="K3012" s="85">
        <v>27</v>
      </c>
      <c r="N3012" s="78"/>
      <c r="P3012" s="85"/>
    </row>
    <row r="3013" spans="11:16">
      <c r="K3013" s="85">
        <v>28</v>
      </c>
      <c r="N3013" s="78"/>
      <c r="P3013" s="85"/>
    </row>
    <row r="3014" spans="11:16">
      <c r="K3014" s="85">
        <v>29</v>
      </c>
      <c r="N3014" s="78"/>
      <c r="P3014" s="85"/>
    </row>
    <row r="3015" spans="11:16">
      <c r="K3015" s="85">
        <v>30</v>
      </c>
      <c r="N3015" s="78"/>
      <c r="P3015" s="85"/>
    </row>
    <row r="3016" spans="11:16">
      <c r="K3016" s="85">
        <v>31</v>
      </c>
      <c r="N3016" s="78"/>
      <c r="P3016" s="85"/>
    </row>
    <row r="3017" spans="11:16">
      <c r="K3017" s="85">
        <v>32</v>
      </c>
      <c r="N3017" s="78"/>
      <c r="P3017" s="85"/>
    </row>
    <row r="3018" spans="11:16">
      <c r="K3018" s="85">
        <v>33</v>
      </c>
      <c r="N3018" s="78"/>
      <c r="P3018" s="85"/>
    </row>
    <row r="3019" spans="11:16">
      <c r="K3019" s="85">
        <v>35</v>
      </c>
      <c r="N3019" s="78"/>
      <c r="P3019" s="85"/>
    </row>
    <row r="3020" spans="11:16">
      <c r="K3020" s="85">
        <v>36</v>
      </c>
      <c r="N3020" s="78"/>
      <c r="P3020" s="85"/>
    </row>
    <row r="3021" spans="11:16">
      <c r="K3021" s="85">
        <v>25</v>
      </c>
      <c r="N3021" s="78"/>
      <c r="P3021" s="85"/>
    </row>
    <row r="3022" spans="11:16">
      <c r="K3022" s="85">
        <v>26</v>
      </c>
      <c r="N3022" s="78"/>
      <c r="P3022" s="85"/>
    </row>
    <row r="3023" spans="11:16">
      <c r="K3023" s="85">
        <v>27</v>
      </c>
      <c r="N3023" s="78"/>
      <c r="P3023" s="85"/>
    </row>
    <row r="3024" spans="11:16">
      <c r="K3024" s="85">
        <v>31</v>
      </c>
      <c r="N3024" s="78"/>
      <c r="P3024" s="85"/>
    </row>
    <row r="3025" spans="11:16">
      <c r="K3025" s="85">
        <v>34</v>
      </c>
      <c r="N3025" s="78"/>
      <c r="P3025" s="85"/>
    </row>
    <row r="3026" spans="11:16">
      <c r="K3026" s="85">
        <v>35</v>
      </c>
      <c r="N3026" s="78"/>
      <c r="P3026" s="85"/>
    </row>
    <row r="3027" spans="11:16">
      <c r="K3027" s="85">
        <v>25</v>
      </c>
      <c r="N3027" s="78"/>
      <c r="P3027" s="85"/>
    </row>
    <row r="3028" spans="11:16">
      <c r="K3028" s="85">
        <v>27</v>
      </c>
      <c r="N3028" s="78"/>
      <c r="P3028" s="85"/>
    </row>
    <row r="3029" spans="11:16">
      <c r="K3029" s="85">
        <v>31</v>
      </c>
      <c r="N3029" s="78"/>
      <c r="P3029" s="85"/>
    </row>
    <row r="3030" spans="11:16">
      <c r="K3030" s="85">
        <v>32</v>
      </c>
      <c r="N3030" s="78"/>
      <c r="P3030" s="85"/>
    </row>
    <row r="3031" spans="11:16">
      <c r="K3031" s="85">
        <v>33</v>
      </c>
      <c r="N3031" s="78"/>
      <c r="P3031" s="85"/>
    </row>
    <row r="3032" spans="11:16">
      <c r="K3032" s="85">
        <v>25</v>
      </c>
      <c r="N3032" s="78"/>
      <c r="P3032" s="85"/>
    </row>
    <row r="3033" spans="11:16">
      <c r="K3033" s="85">
        <v>26</v>
      </c>
      <c r="N3033" s="78"/>
      <c r="P3033" s="85"/>
    </row>
    <row r="3034" spans="11:16">
      <c r="K3034" s="85">
        <v>27</v>
      </c>
      <c r="N3034" s="78"/>
      <c r="P3034" s="85"/>
    </row>
    <row r="3035" spans="11:16">
      <c r="K3035" s="85">
        <v>28</v>
      </c>
      <c r="N3035" s="78"/>
      <c r="P3035" s="85"/>
    </row>
    <row r="3036" spans="11:16">
      <c r="K3036" s="85">
        <v>30</v>
      </c>
      <c r="N3036" s="78"/>
      <c r="P3036" s="85"/>
    </row>
    <row r="3037" spans="11:16">
      <c r="K3037" s="85">
        <v>31</v>
      </c>
      <c r="N3037" s="78"/>
      <c r="P3037" s="85"/>
    </row>
    <row r="3038" spans="11:16">
      <c r="K3038" s="85">
        <v>32</v>
      </c>
      <c r="N3038" s="78"/>
      <c r="P3038" s="85"/>
    </row>
    <row r="3039" spans="11:16">
      <c r="K3039" s="85">
        <v>33</v>
      </c>
      <c r="N3039" s="78"/>
      <c r="P3039" s="85"/>
    </row>
    <row r="3040" spans="11:16">
      <c r="K3040" s="85">
        <v>35</v>
      </c>
      <c r="N3040" s="78"/>
      <c r="P3040" s="85"/>
    </row>
    <row r="3041" spans="11:16">
      <c r="K3041" s="85">
        <v>25</v>
      </c>
      <c r="N3041" s="78"/>
      <c r="P3041" s="85"/>
    </row>
    <row r="3042" spans="11:16">
      <c r="K3042" s="85">
        <v>27</v>
      </c>
      <c r="N3042" s="78"/>
      <c r="P3042" s="85"/>
    </row>
    <row r="3043" spans="11:16">
      <c r="K3043" s="85">
        <v>31</v>
      </c>
      <c r="N3043" s="78"/>
      <c r="P3043" s="85"/>
    </row>
    <row r="3044" spans="11:16">
      <c r="K3044" s="85">
        <v>32</v>
      </c>
      <c r="N3044" s="78"/>
      <c r="P3044" s="85"/>
    </row>
    <row r="3045" spans="11:16">
      <c r="K3045" s="85">
        <v>33</v>
      </c>
      <c r="N3045" s="78"/>
      <c r="P3045" s="85"/>
    </row>
    <row r="3046" spans="11:16">
      <c r="K3046" s="85">
        <v>34</v>
      </c>
      <c r="N3046" s="78"/>
      <c r="P3046" s="85"/>
    </row>
    <row r="3047" spans="11:16">
      <c r="K3047" s="85">
        <v>25</v>
      </c>
      <c r="N3047" s="78"/>
      <c r="P3047" s="85"/>
    </row>
    <row r="3048" spans="11:16">
      <c r="K3048" s="85">
        <v>26</v>
      </c>
      <c r="N3048" s="78"/>
      <c r="P3048" s="85"/>
    </row>
    <row r="3049" spans="11:16">
      <c r="K3049" s="85">
        <v>27</v>
      </c>
      <c r="N3049" s="78"/>
      <c r="P3049" s="85"/>
    </row>
    <row r="3050" spans="11:16">
      <c r="K3050" s="85">
        <v>28</v>
      </c>
      <c r="N3050" s="78"/>
      <c r="P3050" s="85"/>
    </row>
    <row r="3051" spans="11:16">
      <c r="K3051" s="85">
        <v>29</v>
      </c>
      <c r="N3051" s="78"/>
      <c r="P3051" s="85"/>
    </row>
    <row r="3052" spans="11:16">
      <c r="K3052" s="85">
        <v>30</v>
      </c>
      <c r="N3052" s="78"/>
      <c r="P3052" s="85"/>
    </row>
    <row r="3053" spans="11:16">
      <c r="K3053" s="85">
        <v>31</v>
      </c>
      <c r="N3053" s="78"/>
      <c r="P3053" s="85"/>
    </row>
    <row r="3054" spans="11:16">
      <c r="K3054" s="85">
        <v>32</v>
      </c>
      <c r="N3054" s="78"/>
      <c r="P3054" s="85"/>
    </row>
    <row r="3055" spans="11:16">
      <c r="K3055" s="85">
        <v>33</v>
      </c>
      <c r="N3055" s="78"/>
      <c r="P3055" s="85"/>
    </row>
    <row r="3056" spans="11:16">
      <c r="K3056" s="85">
        <v>34</v>
      </c>
      <c r="N3056" s="78"/>
      <c r="P3056" s="85"/>
    </row>
    <row r="3057" spans="11:16">
      <c r="K3057" s="85">
        <v>35</v>
      </c>
      <c r="N3057" s="78"/>
      <c r="P3057" s="85"/>
    </row>
    <row r="3058" spans="11:16">
      <c r="K3058" s="85">
        <v>36</v>
      </c>
      <c r="N3058" s="78"/>
      <c r="P3058" s="85"/>
    </row>
    <row r="3059" spans="11:16">
      <c r="K3059" s="85">
        <v>25</v>
      </c>
      <c r="N3059" s="78"/>
      <c r="P3059" s="85"/>
    </row>
    <row r="3060" spans="11:16">
      <c r="K3060" s="85">
        <v>26</v>
      </c>
      <c r="N3060" s="78"/>
      <c r="P3060" s="85"/>
    </row>
    <row r="3061" spans="11:16">
      <c r="K3061" s="85">
        <v>27</v>
      </c>
      <c r="N3061" s="78"/>
      <c r="P3061" s="85"/>
    </row>
    <row r="3062" spans="11:16">
      <c r="K3062" s="85">
        <v>30</v>
      </c>
      <c r="N3062" s="78"/>
      <c r="P3062" s="85"/>
    </row>
    <row r="3063" spans="11:16">
      <c r="K3063" s="85">
        <v>31</v>
      </c>
      <c r="N3063" s="78"/>
      <c r="P3063" s="85"/>
    </row>
    <row r="3064" spans="11:16">
      <c r="K3064" s="85">
        <v>32</v>
      </c>
      <c r="N3064" s="78"/>
      <c r="P3064" s="85"/>
    </row>
    <row r="3065" spans="11:16">
      <c r="K3065" s="85">
        <v>33</v>
      </c>
      <c r="N3065" s="78"/>
      <c r="P3065" s="85"/>
    </row>
    <row r="3066" spans="11:16">
      <c r="K3066" s="85">
        <v>34</v>
      </c>
      <c r="N3066" s="78"/>
      <c r="P3066" s="85"/>
    </row>
    <row r="3067" spans="11:16">
      <c r="K3067" s="85">
        <v>35</v>
      </c>
      <c r="N3067" s="78"/>
      <c r="P3067" s="85"/>
    </row>
    <row r="3068" spans="11:16">
      <c r="K3068" s="85">
        <v>36</v>
      </c>
      <c r="N3068" s="78"/>
      <c r="P3068" s="85"/>
    </row>
    <row r="3069" spans="11:16">
      <c r="K3069" s="85">
        <v>26</v>
      </c>
      <c r="N3069" s="78"/>
      <c r="P3069" s="85"/>
    </row>
    <row r="3070" spans="11:16">
      <c r="K3070" s="85">
        <v>27</v>
      </c>
      <c r="N3070" s="78"/>
      <c r="P3070" s="85"/>
    </row>
    <row r="3071" spans="11:16">
      <c r="K3071" s="85">
        <v>28</v>
      </c>
      <c r="N3071" s="78"/>
      <c r="P3071" s="85"/>
    </row>
    <row r="3072" spans="11:16">
      <c r="K3072" s="85">
        <v>29</v>
      </c>
      <c r="N3072" s="78"/>
      <c r="P3072" s="85"/>
    </row>
    <row r="3073" spans="11:16">
      <c r="K3073" s="85">
        <v>30</v>
      </c>
      <c r="N3073" s="78"/>
      <c r="P3073" s="85"/>
    </row>
    <row r="3074" spans="11:16">
      <c r="K3074" s="85">
        <v>31</v>
      </c>
      <c r="N3074" s="78"/>
      <c r="P3074" s="85"/>
    </row>
    <row r="3075" spans="11:16">
      <c r="K3075" s="85">
        <v>34</v>
      </c>
      <c r="N3075" s="78"/>
      <c r="P3075" s="85"/>
    </row>
    <row r="3076" spans="11:16">
      <c r="K3076" s="85">
        <v>35</v>
      </c>
      <c r="N3076" s="78"/>
      <c r="P3076" s="85"/>
    </row>
    <row r="3077" spans="11:16">
      <c r="K3077" s="85">
        <v>36</v>
      </c>
      <c r="N3077" s="78"/>
      <c r="P3077" s="85"/>
    </row>
    <row r="3078" spans="11:16">
      <c r="K3078" s="85">
        <v>27</v>
      </c>
      <c r="N3078" s="78"/>
      <c r="P3078" s="85"/>
    </row>
    <row r="3079" spans="11:16">
      <c r="K3079" s="85">
        <v>28</v>
      </c>
      <c r="N3079" s="78"/>
      <c r="P3079" s="85"/>
    </row>
    <row r="3080" spans="11:16">
      <c r="K3080" s="85">
        <v>29</v>
      </c>
      <c r="N3080" s="78"/>
      <c r="P3080" s="85"/>
    </row>
    <row r="3081" spans="11:16">
      <c r="K3081" s="85">
        <v>30</v>
      </c>
      <c r="N3081" s="78"/>
      <c r="P3081" s="85"/>
    </row>
    <row r="3082" spans="11:16">
      <c r="K3082" s="85">
        <v>31</v>
      </c>
      <c r="N3082" s="78"/>
      <c r="P3082" s="85"/>
    </row>
    <row r="3083" spans="11:16">
      <c r="K3083" s="85">
        <v>32</v>
      </c>
      <c r="N3083" s="78"/>
      <c r="P3083" s="85"/>
    </row>
    <row r="3084" spans="11:16">
      <c r="K3084" s="85">
        <v>33</v>
      </c>
      <c r="N3084" s="78"/>
      <c r="P3084" s="85"/>
    </row>
    <row r="3085" spans="11:16">
      <c r="K3085" s="85">
        <v>34</v>
      </c>
      <c r="N3085" s="78"/>
      <c r="P3085" s="85"/>
    </row>
    <row r="3086" spans="11:16">
      <c r="K3086" s="85">
        <v>27</v>
      </c>
      <c r="N3086" s="78"/>
      <c r="P3086" s="85"/>
    </row>
    <row r="3087" spans="11:16">
      <c r="K3087" s="85">
        <v>31</v>
      </c>
      <c r="N3087" s="78"/>
      <c r="P3087" s="85"/>
    </row>
    <row r="3088" spans="11:16">
      <c r="K3088" s="85">
        <v>32</v>
      </c>
      <c r="N3088" s="78"/>
      <c r="P3088" s="85"/>
    </row>
    <row r="3089" spans="11:16">
      <c r="K3089" s="85">
        <v>33</v>
      </c>
      <c r="N3089" s="78"/>
      <c r="P3089" s="85"/>
    </row>
    <row r="3090" spans="11:16">
      <c r="K3090" s="85">
        <v>34</v>
      </c>
      <c r="N3090" s="78"/>
      <c r="P3090" s="85"/>
    </row>
    <row r="3091" spans="11:16">
      <c r="K3091" s="85">
        <v>35</v>
      </c>
      <c r="N3091" s="78"/>
      <c r="P3091" s="85"/>
    </row>
    <row r="3092" spans="11:16">
      <c r="K3092" s="85">
        <v>25</v>
      </c>
      <c r="N3092" s="78"/>
      <c r="P3092" s="85"/>
    </row>
    <row r="3093" spans="11:16">
      <c r="K3093" s="85">
        <v>26</v>
      </c>
      <c r="N3093" s="78"/>
      <c r="P3093" s="85"/>
    </row>
    <row r="3094" spans="11:16">
      <c r="K3094" s="85">
        <v>27</v>
      </c>
      <c r="N3094" s="78"/>
      <c r="P3094" s="85"/>
    </row>
    <row r="3095" spans="11:16">
      <c r="K3095" s="85">
        <v>28</v>
      </c>
      <c r="N3095" s="78"/>
      <c r="P3095" s="85"/>
    </row>
    <row r="3096" spans="11:16">
      <c r="K3096" s="85">
        <v>30</v>
      </c>
      <c r="N3096" s="78"/>
      <c r="P3096" s="85"/>
    </row>
    <row r="3097" spans="11:16">
      <c r="K3097" s="85">
        <v>31</v>
      </c>
      <c r="N3097" s="78"/>
      <c r="P3097" s="85"/>
    </row>
    <row r="3098" spans="11:16">
      <c r="K3098" s="85">
        <v>32</v>
      </c>
      <c r="N3098" s="78"/>
      <c r="P3098" s="85"/>
    </row>
    <row r="3099" spans="11:16">
      <c r="K3099" s="85">
        <v>34</v>
      </c>
      <c r="N3099" s="78"/>
      <c r="P3099" s="85"/>
    </row>
    <row r="3100" spans="11:16">
      <c r="K3100" s="85">
        <v>35</v>
      </c>
      <c r="N3100" s="78"/>
      <c r="P3100" s="85"/>
    </row>
    <row r="3101" spans="11:16">
      <c r="K3101" s="85">
        <v>36</v>
      </c>
      <c r="N3101" s="78"/>
      <c r="P3101" s="85"/>
    </row>
    <row r="3102" spans="11:16">
      <c r="K3102" s="85">
        <v>25</v>
      </c>
      <c r="N3102" s="78"/>
      <c r="P3102" s="85"/>
    </row>
    <row r="3103" spans="11:16">
      <c r="K3103" s="85">
        <v>27</v>
      </c>
      <c r="N3103" s="78"/>
      <c r="P3103" s="85"/>
    </row>
    <row r="3104" spans="11:16">
      <c r="K3104" s="85">
        <v>28</v>
      </c>
      <c r="N3104" s="78"/>
      <c r="P3104" s="85"/>
    </row>
    <row r="3105" spans="11:16">
      <c r="K3105" s="85">
        <v>29</v>
      </c>
      <c r="N3105" s="78"/>
      <c r="P3105" s="85"/>
    </row>
    <row r="3106" spans="11:16">
      <c r="K3106" s="85">
        <v>30</v>
      </c>
      <c r="N3106" s="78"/>
      <c r="P3106" s="85"/>
    </row>
    <row r="3107" spans="11:16">
      <c r="K3107" s="85">
        <v>31</v>
      </c>
      <c r="N3107" s="78"/>
      <c r="P3107" s="85"/>
    </row>
    <row r="3108" spans="11:16">
      <c r="K3108" s="85">
        <v>32</v>
      </c>
      <c r="N3108" s="78"/>
      <c r="P3108" s="85"/>
    </row>
    <row r="3109" spans="11:16">
      <c r="K3109" s="85">
        <v>25</v>
      </c>
      <c r="N3109" s="78"/>
      <c r="P3109" s="85"/>
    </row>
    <row r="3110" spans="11:16">
      <c r="K3110" s="85">
        <v>26</v>
      </c>
      <c r="N3110" s="78"/>
      <c r="P3110" s="85"/>
    </row>
    <row r="3111" spans="11:16">
      <c r="K3111" s="85">
        <v>27</v>
      </c>
      <c r="N3111" s="78"/>
      <c r="P3111" s="85"/>
    </row>
    <row r="3112" spans="11:16">
      <c r="K3112" s="85">
        <v>28</v>
      </c>
      <c r="N3112" s="78"/>
      <c r="P3112" s="85"/>
    </row>
    <row r="3113" spans="11:16">
      <c r="K3113" s="85">
        <v>29</v>
      </c>
      <c r="N3113" s="78"/>
      <c r="P3113" s="85"/>
    </row>
    <row r="3114" spans="11:16">
      <c r="K3114" s="85">
        <v>30</v>
      </c>
      <c r="N3114" s="78"/>
      <c r="P3114" s="85"/>
    </row>
    <row r="3115" spans="11:16">
      <c r="K3115" s="85">
        <v>31</v>
      </c>
      <c r="N3115" s="78"/>
      <c r="P3115" s="85"/>
    </row>
    <row r="3116" spans="11:16">
      <c r="K3116" s="85">
        <v>32</v>
      </c>
      <c r="N3116" s="78"/>
      <c r="P3116" s="85"/>
    </row>
    <row r="3117" spans="11:16">
      <c r="K3117" s="85">
        <v>33</v>
      </c>
      <c r="N3117" s="78"/>
      <c r="P3117" s="85"/>
    </row>
    <row r="3118" spans="11:16">
      <c r="K3118" s="85">
        <v>34</v>
      </c>
      <c r="N3118" s="78"/>
      <c r="P3118" s="85"/>
    </row>
    <row r="3119" spans="11:16">
      <c r="K3119" s="85">
        <v>35</v>
      </c>
      <c r="N3119" s="78"/>
      <c r="P3119" s="85"/>
    </row>
    <row r="3120" spans="11:16">
      <c r="K3120" s="85">
        <v>36</v>
      </c>
      <c r="N3120" s="78"/>
      <c r="P3120" s="85"/>
    </row>
    <row r="3121" spans="11:16">
      <c r="K3121" s="85">
        <v>25</v>
      </c>
      <c r="N3121" s="78"/>
      <c r="P3121" s="85"/>
    </row>
    <row r="3122" spans="11:16">
      <c r="K3122" s="85">
        <v>26</v>
      </c>
      <c r="N3122" s="78"/>
      <c r="P3122" s="85"/>
    </row>
    <row r="3123" spans="11:16">
      <c r="K3123" s="85">
        <v>27</v>
      </c>
      <c r="N3123" s="78"/>
      <c r="P3123" s="85"/>
    </row>
    <row r="3124" spans="11:16">
      <c r="K3124" s="85">
        <v>29</v>
      </c>
      <c r="N3124" s="78"/>
      <c r="P3124" s="85"/>
    </row>
    <row r="3125" spans="11:16">
      <c r="K3125" s="85">
        <v>30</v>
      </c>
      <c r="N3125" s="78"/>
      <c r="P3125" s="85"/>
    </row>
    <row r="3126" spans="11:16">
      <c r="K3126" s="85">
        <v>31</v>
      </c>
      <c r="N3126" s="78"/>
      <c r="P3126" s="85"/>
    </row>
    <row r="3127" spans="11:16">
      <c r="K3127" s="85">
        <v>32</v>
      </c>
      <c r="N3127" s="78"/>
      <c r="P3127" s="85"/>
    </row>
    <row r="3128" spans="11:16">
      <c r="K3128" s="85">
        <v>34</v>
      </c>
      <c r="N3128" s="78"/>
      <c r="P3128" s="85"/>
    </row>
    <row r="3129" spans="11:16">
      <c r="K3129" s="85">
        <v>35</v>
      </c>
      <c r="N3129" s="78"/>
      <c r="P3129" s="85"/>
    </row>
    <row r="3130" spans="11:16">
      <c r="K3130" s="85">
        <v>25</v>
      </c>
      <c r="N3130" s="78"/>
      <c r="P3130" s="85"/>
    </row>
    <row r="3131" spans="11:16">
      <c r="K3131" s="85">
        <v>26</v>
      </c>
      <c r="N3131" s="78"/>
      <c r="P3131" s="85"/>
    </row>
    <row r="3132" spans="11:16">
      <c r="K3132" s="85">
        <v>27</v>
      </c>
      <c r="N3132" s="78"/>
      <c r="P3132" s="85"/>
    </row>
    <row r="3133" spans="11:16">
      <c r="K3133" s="85">
        <v>28</v>
      </c>
      <c r="N3133" s="78"/>
      <c r="P3133" s="85"/>
    </row>
    <row r="3134" spans="11:16">
      <c r="K3134" s="85">
        <v>29</v>
      </c>
      <c r="N3134" s="78"/>
      <c r="P3134" s="85"/>
    </row>
    <row r="3135" spans="11:16">
      <c r="K3135" s="85">
        <v>30</v>
      </c>
      <c r="N3135" s="78"/>
      <c r="P3135" s="85"/>
    </row>
    <row r="3136" spans="11:16">
      <c r="K3136" s="85">
        <v>32</v>
      </c>
      <c r="N3136" s="78"/>
      <c r="P3136" s="85"/>
    </row>
    <row r="3137" spans="11:16">
      <c r="K3137" s="85">
        <v>33</v>
      </c>
      <c r="N3137" s="78"/>
      <c r="P3137" s="85"/>
    </row>
    <row r="3138" spans="11:16">
      <c r="K3138" s="85">
        <v>34</v>
      </c>
      <c r="N3138" s="78"/>
      <c r="P3138" s="85"/>
    </row>
    <row r="3139" spans="11:16">
      <c r="K3139" s="85">
        <v>35</v>
      </c>
      <c r="N3139" s="78"/>
      <c r="P3139" s="85"/>
    </row>
    <row r="3140" spans="11:16">
      <c r="K3140" s="85">
        <v>36</v>
      </c>
      <c r="N3140" s="78"/>
      <c r="P3140" s="85"/>
    </row>
    <row r="3141" spans="11:16">
      <c r="K3141" s="85">
        <v>26</v>
      </c>
      <c r="N3141" s="78"/>
      <c r="P3141" s="85"/>
    </row>
    <row r="3142" spans="11:16">
      <c r="K3142" s="85">
        <v>27</v>
      </c>
      <c r="N3142" s="78"/>
      <c r="P3142" s="85"/>
    </row>
    <row r="3143" spans="11:16">
      <c r="K3143" s="85">
        <v>28</v>
      </c>
      <c r="N3143" s="78"/>
      <c r="P3143" s="85"/>
    </row>
    <row r="3144" spans="11:16">
      <c r="K3144" s="85">
        <v>29</v>
      </c>
      <c r="N3144" s="78"/>
      <c r="P3144" s="85"/>
    </row>
    <row r="3145" spans="11:16">
      <c r="K3145" s="85">
        <v>31</v>
      </c>
      <c r="N3145" s="78"/>
      <c r="P3145" s="85"/>
    </row>
    <row r="3146" spans="11:16">
      <c r="K3146" s="85">
        <v>32</v>
      </c>
      <c r="N3146" s="78"/>
      <c r="P3146" s="85"/>
    </row>
    <row r="3147" spans="11:16">
      <c r="K3147" s="85">
        <v>34</v>
      </c>
      <c r="N3147" s="78"/>
      <c r="P3147" s="85"/>
    </row>
    <row r="3148" spans="11:16">
      <c r="K3148" s="85">
        <v>35</v>
      </c>
      <c r="N3148" s="78"/>
      <c r="P3148" s="85"/>
    </row>
    <row r="3149" spans="11:16">
      <c r="K3149" s="85">
        <v>25</v>
      </c>
      <c r="N3149" s="78"/>
      <c r="P3149" s="85"/>
    </row>
    <row r="3150" spans="11:16">
      <c r="K3150" s="85">
        <v>26</v>
      </c>
      <c r="N3150" s="78"/>
      <c r="P3150" s="85"/>
    </row>
    <row r="3151" spans="11:16">
      <c r="K3151" s="85">
        <v>27</v>
      </c>
      <c r="N3151" s="78"/>
      <c r="P3151" s="85"/>
    </row>
    <row r="3152" spans="11:16">
      <c r="K3152" s="85">
        <v>28</v>
      </c>
      <c r="N3152" s="78"/>
      <c r="P3152" s="85"/>
    </row>
    <row r="3153" spans="11:16">
      <c r="K3153" s="85">
        <v>29</v>
      </c>
      <c r="N3153" s="78"/>
      <c r="P3153" s="85"/>
    </row>
    <row r="3154" spans="11:16">
      <c r="K3154" s="85">
        <v>30</v>
      </c>
      <c r="N3154" s="78"/>
      <c r="P3154" s="85"/>
    </row>
    <row r="3155" spans="11:16">
      <c r="K3155" s="85">
        <v>32</v>
      </c>
      <c r="N3155" s="78"/>
      <c r="P3155" s="85"/>
    </row>
    <row r="3156" spans="11:16">
      <c r="K3156" s="85">
        <v>35</v>
      </c>
      <c r="N3156" s="78"/>
      <c r="P3156" s="85"/>
    </row>
    <row r="3157" spans="11:16">
      <c r="K3157" s="85">
        <v>25</v>
      </c>
      <c r="N3157" s="78"/>
      <c r="P3157" s="85"/>
    </row>
    <row r="3158" spans="11:16">
      <c r="K3158" s="85">
        <v>26</v>
      </c>
      <c r="N3158" s="78"/>
      <c r="P3158" s="85"/>
    </row>
    <row r="3159" spans="11:16">
      <c r="K3159" s="85">
        <v>27</v>
      </c>
      <c r="N3159" s="78"/>
      <c r="P3159" s="85"/>
    </row>
    <row r="3160" spans="11:16">
      <c r="K3160" s="85">
        <v>28</v>
      </c>
      <c r="N3160" s="78"/>
      <c r="P3160" s="85"/>
    </row>
    <row r="3161" spans="11:16">
      <c r="K3161" s="85">
        <v>30</v>
      </c>
      <c r="N3161" s="78"/>
      <c r="P3161" s="85"/>
    </row>
    <row r="3162" spans="11:16">
      <c r="K3162" s="85">
        <v>31</v>
      </c>
      <c r="N3162" s="78"/>
      <c r="P3162" s="85"/>
    </row>
    <row r="3163" spans="11:16">
      <c r="K3163" s="85">
        <v>32</v>
      </c>
      <c r="N3163" s="78"/>
      <c r="P3163" s="85"/>
    </row>
    <row r="3164" spans="11:16">
      <c r="K3164" s="85">
        <v>34</v>
      </c>
      <c r="N3164" s="78"/>
      <c r="P3164" s="85"/>
    </row>
    <row r="3165" spans="11:16">
      <c r="K3165" s="85">
        <v>35</v>
      </c>
      <c r="N3165" s="78"/>
      <c r="P3165" s="85"/>
    </row>
    <row r="3166" spans="11:16">
      <c r="K3166" s="85">
        <v>25</v>
      </c>
      <c r="N3166" s="78"/>
      <c r="P3166" s="85"/>
    </row>
    <row r="3167" spans="11:16">
      <c r="K3167" s="85">
        <v>26</v>
      </c>
      <c r="N3167" s="78"/>
      <c r="P3167" s="85"/>
    </row>
    <row r="3168" spans="11:16">
      <c r="K3168" s="85">
        <v>27</v>
      </c>
      <c r="N3168" s="78"/>
      <c r="P3168" s="85"/>
    </row>
    <row r="3169" spans="11:16">
      <c r="K3169" s="85">
        <v>28</v>
      </c>
      <c r="N3169" s="78"/>
      <c r="P3169" s="85"/>
    </row>
    <row r="3170" spans="11:16">
      <c r="K3170" s="85">
        <v>29</v>
      </c>
      <c r="N3170" s="78"/>
      <c r="P3170" s="85"/>
    </row>
    <row r="3171" spans="11:16">
      <c r="K3171" s="85">
        <v>30</v>
      </c>
      <c r="N3171" s="78"/>
      <c r="P3171" s="85"/>
    </row>
    <row r="3172" spans="11:16">
      <c r="K3172" s="85">
        <v>31</v>
      </c>
      <c r="N3172" s="78"/>
      <c r="P3172" s="85"/>
    </row>
    <row r="3173" spans="11:16">
      <c r="K3173" s="85">
        <v>32</v>
      </c>
      <c r="N3173" s="78"/>
      <c r="P3173" s="85"/>
    </row>
    <row r="3174" spans="11:16">
      <c r="K3174" s="85">
        <v>33</v>
      </c>
      <c r="N3174" s="78"/>
      <c r="P3174" s="85"/>
    </row>
    <row r="3175" spans="11:16">
      <c r="K3175" s="85">
        <v>34</v>
      </c>
      <c r="N3175" s="78"/>
      <c r="P3175" s="85"/>
    </row>
    <row r="3176" spans="11:16">
      <c r="K3176" s="85">
        <v>35</v>
      </c>
      <c r="N3176" s="78"/>
      <c r="P3176" s="85"/>
    </row>
    <row r="3177" spans="11:16">
      <c r="K3177" s="85">
        <v>36</v>
      </c>
      <c r="N3177" s="78"/>
      <c r="P3177" s="85"/>
    </row>
    <row r="3178" spans="11:16">
      <c r="K3178" s="85">
        <v>25</v>
      </c>
      <c r="N3178" s="78"/>
      <c r="P3178" s="85"/>
    </row>
    <row r="3179" spans="11:16">
      <c r="K3179" s="85">
        <v>27</v>
      </c>
      <c r="N3179" s="78"/>
      <c r="P3179" s="85"/>
    </row>
    <row r="3180" spans="11:16">
      <c r="K3180" s="85">
        <v>28</v>
      </c>
      <c r="N3180" s="78"/>
      <c r="P3180" s="85"/>
    </row>
    <row r="3181" spans="11:16">
      <c r="K3181" s="85">
        <v>30</v>
      </c>
      <c r="N3181" s="78"/>
      <c r="P3181" s="85"/>
    </row>
    <row r="3182" spans="11:16">
      <c r="K3182" s="85">
        <v>31</v>
      </c>
      <c r="N3182" s="78"/>
      <c r="P3182" s="85"/>
    </row>
    <row r="3183" spans="11:16">
      <c r="K3183" s="85">
        <v>34</v>
      </c>
      <c r="N3183" s="78"/>
      <c r="P3183" s="85"/>
    </row>
    <row r="3184" spans="11:16">
      <c r="K3184" s="85">
        <v>25</v>
      </c>
      <c r="N3184" s="78"/>
      <c r="P3184" s="85"/>
    </row>
    <row r="3185" spans="11:16">
      <c r="K3185" s="85">
        <v>28</v>
      </c>
      <c r="N3185" s="78"/>
      <c r="P3185" s="85"/>
    </row>
    <row r="3186" spans="11:16">
      <c r="K3186" s="85">
        <v>29</v>
      </c>
      <c r="N3186" s="78"/>
      <c r="P3186" s="85"/>
    </row>
    <row r="3187" spans="11:16">
      <c r="K3187" s="85">
        <v>31</v>
      </c>
      <c r="N3187" s="78"/>
      <c r="P3187" s="85"/>
    </row>
    <row r="3188" spans="11:16">
      <c r="K3188" s="85">
        <v>34</v>
      </c>
      <c r="N3188" s="78"/>
      <c r="P3188" s="85"/>
    </row>
    <row r="3189" spans="11:16">
      <c r="K3189" s="85">
        <v>35</v>
      </c>
      <c r="N3189" s="78"/>
      <c r="P3189" s="85"/>
    </row>
    <row r="3190" spans="11:16">
      <c r="K3190" s="85">
        <v>36</v>
      </c>
      <c r="N3190" s="78"/>
      <c r="P3190" s="85"/>
    </row>
    <row r="3191" spans="11:16">
      <c r="K3191" s="85">
        <v>25</v>
      </c>
      <c r="N3191" s="78"/>
      <c r="P3191" s="85"/>
    </row>
    <row r="3192" spans="11:16">
      <c r="K3192" s="85">
        <v>27</v>
      </c>
      <c r="N3192" s="78"/>
      <c r="P3192" s="85"/>
    </row>
    <row r="3193" spans="11:16">
      <c r="K3193" s="85">
        <v>28</v>
      </c>
      <c r="N3193" s="78"/>
      <c r="P3193" s="85"/>
    </row>
    <row r="3194" spans="11:16">
      <c r="K3194" s="85">
        <v>29</v>
      </c>
      <c r="N3194" s="78"/>
      <c r="P3194" s="85"/>
    </row>
    <row r="3195" spans="11:16">
      <c r="K3195" s="85">
        <v>31</v>
      </c>
      <c r="N3195" s="78"/>
      <c r="P3195" s="85"/>
    </row>
    <row r="3196" spans="11:16">
      <c r="K3196" s="85">
        <v>32</v>
      </c>
      <c r="N3196" s="78"/>
      <c r="P3196" s="85"/>
    </row>
    <row r="3197" spans="11:16">
      <c r="K3197" s="85">
        <v>34</v>
      </c>
      <c r="N3197" s="78"/>
      <c r="P3197" s="85"/>
    </row>
    <row r="3198" spans="11:16">
      <c r="K3198" s="85">
        <v>35</v>
      </c>
      <c r="N3198" s="78"/>
      <c r="P3198" s="85"/>
    </row>
    <row r="3199" spans="11:16">
      <c r="K3199" s="85">
        <v>36</v>
      </c>
      <c r="N3199" s="78"/>
      <c r="P3199" s="85"/>
    </row>
    <row r="3200" spans="11:16">
      <c r="K3200" s="85">
        <v>25</v>
      </c>
      <c r="N3200" s="78"/>
      <c r="P3200" s="85"/>
    </row>
    <row r="3201" spans="11:16">
      <c r="K3201" s="85">
        <v>26</v>
      </c>
      <c r="N3201" s="78"/>
      <c r="P3201" s="85"/>
    </row>
    <row r="3202" spans="11:16">
      <c r="K3202" s="85">
        <v>27</v>
      </c>
      <c r="N3202" s="78"/>
      <c r="P3202" s="85"/>
    </row>
    <row r="3203" spans="11:16">
      <c r="K3203" s="85">
        <v>28</v>
      </c>
      <c r="N3203" s="78"/>
      <c r="P3203" s="85"/>
    </row>
    <row r="3204" spans="11:16">
      <c r="K3204" s="85">
        <v>29</v>
      </c>
      <c r="N3204" s="78"/>
      <c r="P3204" s="85"/>
    </row>
    <row r="3205" spans="11:16">
      <c r="K3205" s="85">
        <v>30</v>
      </c>
      <c r="N3205" s="78"/>
      <c r="P3205" s="85"/>
    </row>
    <row r="3206" spans="11:16">
      <c r="K3206" s="85">
        <v>31</v>
      </c>
      <c r="N3206" s="78"/>
      <c r="P3206" s="85"/>
    </row>
    <row r="3207" spans="11:16">
      <c r="K3207" s="85">
        <v>32</v>
      </c>
      <c r="N3207" s="78"/>
      <c r="P3207" s="85"/>
    </row>
    <row r="3208" spans="11:16">
      <c r="K3208" s="85">
        <v>33</v>
      </c>
      <c r="N3208" s="78"/>
      <c r="P3208" s="85"/>
    </row>
    <row r="3209" spans="11:16">
      <c r="K3209" s="85">
        <v>34</v>
      </c>
      <c r="N3209" s="78"/>
      <c r="P3209" s="85"/>
    </row>
    <row r="3210" spans="11:16">
      <c r="K3210" s="85">
        <v>35</v>
      </c>
      <c r="N3210" s="78"/>
      <c r="P3210" s="85"/>
    </row>
    <row r="3211" spans="11:16">
      <c r="K3211" s="85">
        <v>36</v>
      </c>
      <c r="N3211" s="78"/>
      <c r="P3211" s="85"/>
    </row>
    <row r="3212" spans="11:16">
      <c r="K3212" s="85">
        <v>25</v>
      </c>
      <c r="N3212" s="78"/>
      <c r="P3212" s="85"/>
    </row>
    <row r="3213" spans="11:16">
      <c r="K3213" s="85">
        <v>26</v>
      </c>
      <c r="N3213" s="78"/>
      <c r="P3213" s="85"/>
    </row>
    <row r="3214" spans="11:16">
      <c r="K3214" s="85">
        <v>27</v>
      </c>
      <c r="N3214" s="78"/>
      <c r="P3214" s="85"/>
    </row>
    <row r="3215" spans="11:16">
      <c r="K3215" s="85">
        <v>28</v>
      </c>
      <c r="N3215" s="78"/>
      <c r="P3215" s="85"/>
    </row>
    <row r="3216" spans="11:16">
      <c r="K3216" s="85">
        <v>29</v>
      </c>
      <c r="N3216" s="78"/>
      <c r="P3216" s="85"/>
    </row>
    <row r="3217" spans="11:16">
      <c r="K3217" s="85">
        <v>30</v>
      </c>
      <c r="N3217" s="78"/>
      <c r="P3217" s="85"/>
    </row>
    <row r="3218" spans="11:16">
      <c r="K3218" s="85">
        <v>31</v>
      </c>
      <c r="N3218" s="78"/>
      <c r="P3218" s="85"/>
    </row>
    <row r="3219" spans="11:16">
      <c r="K3219" s="85">
        <v>32</v>
      </c>
      <c r="N3219" s="78"/>
      <c r="P3219" s="85"/>
    </row>
    <row r="3220" spans="11:16">
      <c r="K3220" s="85">
        <v>33</v>
      </c>
      <c r="N3220" s="78"/>
      <c r="P3220" s="85"/>
    </row>
    <row r="3221" spans="11:16">
      <c r="K3221" s="85">
        <v>34</v>
      </c>
      <c r="N3221" s="78"/>
      <c r="P3221" s="85"/>
    </row>
    <row r="3222" spans="11:16">
      <c r="K3222" s="85">
        <v>35</v>
      </c>
      <c r="N3222" s="78"/>
      <c r="P3222" s="85"/>
    </row>
    <row r="3223" spans="11:16">
      <c r="K3223" s="85">
        <v>36</v>
      </c>
      <c r="N3223" s="78"/>
      <c r="P3223" s="85"/>
    </row>
    <row r="3224" spans="11:16">
      <c r="K3224" s="85">
        <v>26</v>
      </c>
      <c r="N3224" s="78"/>
      <c r="P3224" s="85"/>
    </row>
    <row r="3225" spans="11:16">
      <c r="K3225" s="85">
        <v>27</v>
      </c>
      <c r="N3225" s="78"/>
      <c r="P3225" s="85"/>
    </row>
    <row r="3226" spans="11:16">
      <c r="K3226" s="85">
        <v>28</v>
      </c>
      <c r="N3226" s="78"/>
      <c r="P3226" s="85"/>
    </row>
    <row r="3227" spans="11:16">
      <c r="K3227" s="85">
        <v>31</v>
      </c>
      <c r="N3227" s="78"/>
      <c r="P3227" s="85"/>
    </row>
    <row r="3228" spans="11:16">
      <c r="K3228" s="85">
        <v>32</v>
      </c>
      <c r="N3228" s="78"/>
      <c r="P3228" s="85"/>
    </row>
    <row r="3229" spans="11:16">
      <c r="K3229" s="85">
        <v>34</v>
      </c>
      <c r="N3229" s="78"/>
      <c r="P3229" s="85"/>
    </row>
    <row r="3230" spans="11:16">
      <c r="K3230" s="85">
        <v>35</v>
      </c>
      <c r="N3230" s="78"/>
      <c r="P3230" s="85"/>
    </row>
    <row r="3231" spans="11:16">
      <c r="K3231" s="85">
        <v>25</v>
      </c>
      <c r="N3231" s="78"/>
      <c r="P3231" s="85"/>
    </row>
    <row r="3232" spans="11:16">
      <c r="K3232" s="85">
        <v>26</v>
      </c>
      <c r="N3232" s="78"/>
      <c r="P3232" s="85"/>
    </row>
    <row r="3233" spans="11:16">
      <c r="K3233" s="85">
        <v>27</v>
      </c>
      <c r="N3233" s="78"/>
      <c r="P3233" s="85"/>
    </row>
    <row r="3234" spans="11:16">
      <c r="K3234" s="85">
        <v>28</v>
      </c>
      <c r="N3234" s="78"/>
      <c r="P3234" s="85"/>
    </row>
    <row r="3235" spans="11:16">
      <c r="K3235" s="85">
        <v>30</v>
      </c>
      <c r="N3235" s="78"/>
      <c r="P3235" s="85"/>
    </row>
    <row r="3236" spans="11:16">
      <c r="K3236" s="85">
        <v>31</v>
      </c>
      <c r="N3236" s="78"/>
      <c r="P3236" s="85"/>
    </row>
    <row r="3237" spans="11:16">
      <c r="K3237" s="85">
        <v>34</v>
      </c>
      <c r="N3237" s="78"/>
      <c r="P3237" s="85"/>
    </row>
    <row r="3238" spans="11:16">
      <c r="K3238" s="85">
        <v>35</v>
      </c>
      <c r="N3238" s="78"/>
      <c r="P3238" s="85"/>
    </row>
    <row r="3239" spans="11:16">
      <c r="K3239" s="85">
        <v>36</v>
      </c>
      <c r="N3239" s="78"/>
      <c r="P3239" s="85"/>
    </row>
    <row r="3240" spans="11:16">
      <c r="K3240" s="85">
        <v>25</v>
      </c>
      <c r="N3240" s="78"/>
      <c r="P3240" s="85"/>
    </row>
    <row r="3241" spans="11:16">
      <c r="K3241" s="85">
        <v>26</v>
      </c>
      <c r="N3241" s="78"/>
      <c r="P3241" s="85"/>
    </row>
    <row r="3242" spans="11:16">
      <c r="K3242" s="85">
        <v>27</v>
      </c>
      <c r="N3242" s="78"/>
      <c r="P3242" s="85"/>
    </row>
    <row r="3243" spans="11:16">
      <c r="K3243" s="85">
        <v>28</v>
      </c>
      <c r="N3243" s="78"/>
      <c r="P3243" s="85"/>
    </row>
    <row r="3244" spans="11:16">
      <c r="K3244" s="85">
        <v>29</v>
      </c>
      <c r="N3244" s="78"/>
      <c r="P3244" s="85"/>
    </row>
    <row r="3245" spans="11:16">
      <c r="K3245" s="85">
        <v>30</v>
      </c>
      <c r="N3245" s="78"/>
      <c r="P3245" s="85"/>
    </row>
    <row r="3246" spans="11:16">
      <c r="K3246" s="85">
        <v>31</v>
      </c>
      <c r="N3246" s="78"/>
      <c r="P3246" s="85"/>
    </row>
    <row r="3247" spans="11:16">
      <c r="K3247" s="85">
        <v>32</v>
      </c>
      <c r="N3247" s="78"/>
      <c r="P3247" s="85"/>
    </row>
    <row r="3248" spans="11:16">
      <c r="K3248" s="85">
        <v>33</v>
      </c>
      <c r="N3248" s="78"/>
      <c r="P3248" s="85"/>
    </row>
    <row r="3249" spans="11:16">
      <c r="K3249" s="85">
        <v>34</v>
      </c>
      <c r="N3249" s="78"/>
      <c r="P3249" s="85"/>
    </row>
    <row r="3250" spans="11:16">
      <c r="K3250" s="85">
        <v>35</v>
      </c>
      <c r="N3250" s="78"/>
      <c r="P3250" s="85"/>
    </row>
    <row r="3251" spans="11:16">
      <c r="K3251" s="85">
        <v>36</v>
      </c>
      <c r="N3251" s="78"/>
      <c r="P3251" s="85"/>
    </row>
    <row r="3252" spans="11:16">
      <c r="K3252" s="85">
        <v>27</v>
      </c>
      <c r="N3252" s="78"/>
      <c r="P3252" s="85"/>
    </row>
    <row r="3253" spans="11:16">
      <c r="K3253" s="85">
        <v>31</v>
      </c>
      <c r="N3253" s="78"/>
      <c r="P3253" s="85"/>
    </row>
    <row r="3254" spans="11:16">
      <c r="K3254" s="85">
        <v>34</v>
      </c>
      <c r="N3254" s="78"/>
      <c r="P3254" s="85"/>
    </row>
    <row r="3255" spans="11:16">
      <c r="K3255" s="85">
        <v>35</v>
      </c>
      <c r="N3255" s="78"/>
      <c r="P3255" s="85"/>
    </row>
    <row r="3256" spans="11:16">
      <c r="K3256" s="85">
        <v>36</v>
      </c>
      <c r="N3256" s="78"/>
      <c r="P3256" s="85"/>
    </row>
    <row r="3257" spans="11:16">
      <c r="K3257" s="85">
        <v>25</v>
      </c>
      <c r="N3257" s="78"/>
      <c r="P3257" s="85"/>
    </row>
    <row r="3258" spans="11:16">
      <c r="K3258" s="85">
        <v>26</v>
      </c>
      <c r="N3258" s="78"/>
      <c r="P3258" s="85"/>
    </row>
    <row r="3259" spans="11:16">
      <c r="K3259" s="85">
        <v>27</v>
      </c>
      <c r="N3259" s="78"/>
      <c r="P3259" s="85"/>
    </row>
    <row r="3260" spans="11:16">
      <c r="K3260" s="85">
        <v>28</v>
      </c>
      <c r="N3260" s="78"/>
      <c r="P3260" s="85"/>
    </row>
    <row r="3261" spans="11:16">
      <c r="K3261" s="85">
        <v>29</v>
      </c>
      <c r="N3261" s="78"/>
      <c r="P3261" s="85"/>
    </row>
    <row r="3262" spans="11:16">
      <c r="K3262" s="85">
        <v>30</v>
      </c>
      <c r="N3262" s="78"/>
      <c r="P3262" s="85"/>
    </row>
    <row r="3263" spans="11:16">
      <c r="K3263" s="85">
        <v>31</v>
      </c>
      <c r="N3263" s="78"/>
      <c r="P3263" s="85"/>
    </row>
    <row r="3264" spans="11:16">
      <c r="K3264" s="85">
        <v>32</v>
      </c>
      <c r="N3264" s="78"/>
      <c r="P3264" s="85"/>
    </row>
    <row r="3265" spans="11:16">
      <c r="K3265" s="85">
        <v>33</v>
      </c>
      <c r="N3265" s="78"/>
      <c r="P3265" s="85"/>
    </row>
    <row r="3266" spans="11:16">
      <c r="K3266" s="85">
        <v>34</v>
      </c>
      <c r="N3266" s="78"/>
      <c r="P3266" s="85"/>
    </row>
    <row r="3267" spans="11:16">
      <c r="K3267" s="85">
        <v>35</v>
      </c>
      <c r="N3267" s="78"/>
      <c r="P3267" s="85"/>
    </row>
    <row r="3268" spans="11:16">
      <c r="K3268" s="85">
        <v>36</v>
      </c>
      <c r="N3268" s="78"/>
      <c r="P3268" s="85"/>
    </row>
    <row r="3269" spans="11:16">
      <c r="K3269" s="85">
        <v>26</v>
      </c>
      <c r="N3269" s="78"/>
      <c r="P3269" s="85"/>
    </row>
    <row r="3270" spans="11:16">
      <c r="K3270" s="85">
        <v>27</v>
      </c>
      <c r="N3270" s="78"/>
      <c r="P3270" s="85"/>
    </row>
    <row r="3271" spans="11:16">
      <c r="K3271" s="85">
        <v>28</v>
      </c>
      <c r="N3271" s="78"/>
      <c r="P3271" s="85"/>
    </row>
    <row r="3272" spans="11:16">
      <c r="K3272" s="85">
        <v>30</v>
      </c>
      <c r="N3272" s="78"/>
      <c r="P3272" s="85"/>
    </row>
    <row r="3273" spans="11:16">
      <c r="K3273" s="85">
        <v>31</v>
      </c>
      <c r="N3273" s="78"/>
      <c r="P3273" s="85"/>
    </row>
    <row r="3274" spans="11:16">
      <c r="K3274" s="85">
        <v>32</v>
      </c>
      <c r="N3274" s="78"/>
      <c r="P3274" s="85"/>
    </row>
    <row r="3275" spans="11:16">
      <c r="K3275" s="85">
        <v>33</v>
      </c>
      <c r="N3275" s="78"/>
      <c r="P3275" s="85"/>
    </row>
    <row r="3276" spans="11:16">
      <c r="K3276" s="85">
        <v>34</v>
      </c>
      <c r="N3276" s="78"/>
      <c r="P3276" s="85"/>
    </row>
    <row r="3277" spans="11:16">
      <c r="K3277" s="85">
        <v>35</v>
      </c>
      <c r="N3277" s="78"/>
      <c r="P3277" s="85"/>
    </row>
    <row r="3278" spans="11:16">
      <c r="K3278" s="85">
        <v>25</v>
      </c>
      <c r="N3278" s="78"/>
      <c r="P3278" s="85"/>
    </row>
    <row r="3279" spans="11:16">
      <c r="K3279" s="85">
        <v>26</v>
      </c>
      <c r="N3279" s="78"/>
      <c r="P3279" s="85"/>
    </row>
    <row r="3280" spans="11:16">
      <c r="K3280" s="85">
        <v>27</v>
      </c>
      <c r="N3280" s="78"/>
      <c r="P3280" s="85"/>
    </row>
    <row r="3281" spans="11:16">
      <c r="K3281" s="85">
        <v>28</v>
      </c>
      <c r="N3281" s="78"/>
      <c r="P3281" s="85"/>
    </row>
    <row r="3282" spans="11:16">
      <c r="K3282" s="85">
        <v>34</v>
      </c>
      <c r="N3282" s="78"/>
      <c r="P3282" s="85"/>
    </row>
    <row r="3283" spans="11:16">
      <c r="K3283" s="85">
        <v>35</v>
      </c>
      <c r="N3283" s="78"/>
      <c r="P3283" s="85"/>
    </row>
    <row r="3284" spans="11:16">
      <c r="K3284" s="85">
        <v>36</v>
      </c>
      <c r="N3284" s="78"/>
      <c r="P3284" s="85"/>
    </row>
    <row r="3285" spans="11:16">
      <c r="K3285" s="85">
        <v>25</v>
      </c>
      <c r="N3285" s="78"/>
      <c r="P3285" s="85"/>
    </row>
    <row r="3286" spans="11:16">
      <c r="K3286" s="85">
        <v>26</v>
      </c>
      <c r="N3286" s="78"/>
      <c r="P3286" s="85"/>
    </row>
    <row r="3287" spans="11:16">
      <c r="K3287" s="85">
        <v>27</v>
      </c>
      <c r="N3287" s="78"/>
      <c r="P3287" s="85"/>
    </row>
    <row r="3288" spans="11:16">
      <c r="K3288" s="85">
        <v>28</v>
      </c>
      <c r="N3288" s="78"/>
      <c r="P3288" s="85"/>
    </row>
    <row r="3289" spans="11:16">
      <c r="K3289" s="85">
        <v>29</v>
      </c>
      <c r="N3289" s="78"/>
      <c r="P3289" s="85"/>
    </row>
    <row r="3290" spans="11:16">
      <c r="K3290" s="85">
        <v>30</v>
      </c>
      <c r="N3290" s="78"/>
      <c r="P3290" s="85"/>
    </row>
    <row r="3291" spans="11:16">
      <c r="K3291" s="85">
        <v>31</v>
      </c>
      <c r="N3291" s="78"/>
      <c r="P3291" s="85"/>
    </row>
    <row r="3292" spans="11:16">
      <c r="K3292" s="85">
        <v>32</v>
      </c>
      <c r="N3292" s="78"/>
      <c r="P3292" s="85"/>
    </row>
    <row r="3293" spans="11:16">
      <c r="K3293" s="85">
        <v>33</v>
      </c>
      <c r="N3293" s="78"/>
      <c r="P3293" s="85"/>
    </row>
    <row r="3294" spans="11:16">
      <c r="K3294" s="85">
        <v>34</v>
      </c>
      <c r="N3294" s="78"/>
      <c r="P3294" s="85"/>
    </row>
    <row r="3295" spans="11:16">
      <c r="K3295" s="85">
        <v>35</v>
      </c>
      <c r="N3295" s="78"/>
      <c r="P3295" s="85"/>
    </row>
    <row r="3296" spans="11:16">
      <c r="K3296" s="85">
        <v>36</v>
      </c>
      <c r="N3296" s="78"/>
      <c r="P3296" s="85"/>
    </row>
    <row r="3297" spans="11:16">
      <c r="K3297" s="85">
        <v>25</v>
      </c>
      <c r="N3297" s="78"/>
      <c r="P3297" s="85"/>
    </row>
    <row r="3298" spans="11:16">
      <c r="K3298" s="85">
        <v>26</v>
      </c>
      <c r="N3298" s="78"/>
      <c r="P3298" s="85"/>
    </row>
    <row r="3299" spans="11:16">
      <c r="K3299" s="85">
        <v>27</v>
      </c>
      <c r="N3299" s="78"/>
      <c r="P3299" s="85"/>
    </row>
    <row r="3300" spans="11:16">
      <c r="K3300" s="85">
        <v>28</v>
      </c>
      <c r="N3300" s="78"/>
      <c r="P3300" s="85"/>
    </row>
    <row r="3301" spans="11:16">
      <c r="K3301" s="85">
        <v>29</v>
      </c>
      <c r="N3301" s="78"/>
      <c r="P3301" s="85"/>
    </row>
    <row r="3302" spans="11:16">
      <c r="K3302" s="85">
        <v>30</v>
      </c>
      <c r="N3302" s="78"/>
      <c r="P3302" s="85"/>
    </row>
    <row r="3303" spans="11:16">
      <c r="K3303" s="85">
        <v>31</v>
      </c>
      <c r="N3303" s="78"/>
      <c r="P3303" s="85"/>
    </row>
    <row r="3304" spans="11:16">
      <c r="K3304" s="85">
        <v>32</v>
      </c>
      <c r="N3304" s="78"/>
      <c r="P3304" s="85"/>
    </row>
    <row r="3305" spans="11:16">
      <c r="K3305" s="85">
        <v>34</v>
      </c>
      <c r="N3305" s="78"/>
      <c r="P3305" s="85"/>
    </row>
    <row r="3306" spans="11:16">
      <c r="K3306" s="85">
        <v>35</v>
      </c>
      <c r="N3306" s="78"/>
      <c r="P3306" s="85"/>
    </row>
    <row r="3307" spans="11:16">
      <c r="K3307" s="85">
        <v>36</v>
      </c>
      <c r="N3307" s="78"/>
      <c r="P3307" s="85"/>
    </row>
    <row r="3308" spans="11:16">
      <c r="K3308" s="85">
        <v>28</v>
      </c>
      <c r="N3308" s="78"/>
      <c r="P3308" s="85"/>
    </row>
    <row r="3309" spans="11:16">
      <c r="K3309" s="85">
        <v>29</v>
      </c>
      <c r="N3309" s="78"/>
      <c r="P3309" s="85"/>
    </row>
    <row r="3310" spans="11:16">
      <c r="K3310" s="85">
        <v>31</v>
      </c>
      <c r="N3310" s="78"/>
      <c r="P3310" s="85"/>
    </row>
    <row r="3311" spans="11:16">
      <c r="K3311" s="85">
        <v>32</v>
      </c>
      <c r="N3311" s="78"/>
      <c r="P3311" s="85"/>
    </row>
    <row r="3312" spans="11:16">
      <c r="K3312" s="85">
        <v>33</v>
      </c>
      <c r="N3312" s="78"/>
      <c r="P3312" s="85"/>
    </row>
    <row r="3313" spans="11:16">
      <c r="K3313" s="85">
        <v>25</v>
      </c>
      <c r="N3313" s="78"/>
      <c r="P3313" s="85"/>
    </row>
    <row r="3314" spans="11:16">
      <c r="K3314" s="85">
        <v>27</v>
      </c>
      <c r="N3314" s="78"/>
      <c r="P3314" s="85"/>
    </row>
    <row r="3315" spans="11:16">
      <c r="K3315" s="85">
        <v>30</v>
      </c>
      <c r="N3315" s="78"/>
      <c r="P3315" s="85"/>
    </row>
    <row r="3316" spans="11:16">
      <c r="K3316" s="85">
        <v>32</v>
      </c>
      <c r="N3316" s="78"/>
      <c r="P3316" s="85"/>
    </row>
    <row r="3317" spans="11:16">
      <c r="K3317" s="85">
        <v>34</v>
      </c>
      <c r="N3317" s="78"/>
      <c r="P3317" s="85"/>
    </row>
    <row r="3318" spans="11:16">
      <c r="K3318" s="85">
        <v>35</v>
      </c>
      <c r="N3318" s="78"/>
      <c r="P3318" s="85"/>
    </row>
    <row r="3319" spans="11:16">
      <c r="K3319" s="85">
        <v>25</v>
      </c>
      <c r="N3319" s="78"/>
      <c r="P3319" s="85"/>
    </row>
    <row r="3320" spans="11:16">
      <c r="K3320" s="85">
        <v>26</v>
      </c>
      <c r="N3320" s="78"/>
      <c r="P3320" s="85"/>
    </row>
    <row r="3321" spans="11:16">
      <c r="K3321" s="85">
        <v>27</v>
      </c>
      <c r="N3321" s="78"/>
      <c r="P3321" s="85"/>
    </row>
    <row r="3322" spans="11:16">
      <c r="K3322" s="85">
        <v>28</v>
      </c>
      <c r="N3322" s="78"/>
      <c r="P3322" s="85"/>
    </row>
    <row r="3323" spans="11:16">
      <c r="K3323" s="85">
        <v>30</v>
      </c>
      <c r="N3323" s="78"/>
      <c r="P3323" s="85"/>
    </row>
    <row r="3324" spans="11:16">
      <c r="K3324" s="85">
        <v>32</v>
      </c>
      <c r="N3324" s="78"/>
      <c r="P3324" s="85"/>
    </row>
    <row r="3325" spans="11:16">
      <c r="K3325" s="85">
        <v>36</v>
      </c>
      <c r="N3325" s="78"/>
      <c r="P3325" s="85"/>
    </row>
    <row r="3326" spans="11:16">
      <c r="K3326" s="85">
        <v>25</v>
      </c>
      <c r="N3326" s="78"/>
      <c r="P3326" s="85"/>
    </row>
    <row r="3327" spans="11:16">
      <c r="K3327" s="85">
        <v>26</v>
      </c>
      <c r="N3327" s="78"/>
      <c r="P3327" s="85"/>
    </row>
    <row r="3328" spans="11:16">
      <c r="K3328" s="85">
        <v>27</v>
      </c>
      <c r="N3328" s="78"/>
      <c r="P3328" s="85"/>
    </row>
    <row r="3329" spans="11:16">
      <c r="K3329" s="85">
        <v>28</v>
      </c>
      <c r="N3329" s="78"/>
      <c r="P3329" s="85"/>
    </row>
    <row r="3330" spans="11:16">
      <c r="K3330" s="85">
        <v>29</v>
      </c>
      <c r="N3330" s="78"/>
      <c r="P3330" s="85"/>
    </row>
    <row r="3331" spans="11:16">
      <c r="K3331" s="85">
        <v>30</v>
      </c>
      <c r="N3331" s="78"/>
      <c r="P3331" s="85"/>
    </row>
    <row r="3332" spans="11:16">
      <c r="K3332" s="85">
        <v>31</v>
      </c>
      <c r="N3332" s="78"/>
      <c r="P3332" s="85"/>
    </row>
    <row r="3333" spans="11:16">
      <c r="K3333" s="85">
        <v>32</v>
      </c>
      <c r="N3333" s="78"/>
      <c r="P3333" s="85"/>
    </row>
    <row r="3334" spans="11:16">
      <c r="K3334" s="85">
        <v>34</v>
      </c>
      <c r="N3334" s="78"/>
      <c r="P3334" s="85"/>
    </row>
    <row r="3335" spans="11:16">
      <c r="K3335" s="85">
        <v>35</v>
      </c>
      <c r="N3335" s="78"/>
      <c r="P3335" s="85"/>
    </row>
    <row r="3336" spans="11:16">
      <c r="K3336" s="85">
        <v>36</v>
      </c>
      <c r="N3336" s="78"/>
      <c r="P3336" s="85"/>
    </row>
    <row r="3337" spans="11:16">
      <c r="K3337" s="85">
        <v>25</v>
      </c>
      <c r="N3337" s="78"/>
      <c r="P3337" s="85"/>
    </row>
    <row r="3338" spans="11:16">
      <c r="K3338" s="85">
        <v>26</v>
      </c>
      <c r="N3338" s="78"/>
      <c r="P3338" s="85"/>
    </row>
    <row r="3339" spans="11:16">
      <c r="K3339" s="85">
        <v>27</v>
      </c>
      <c r="N3339" s="78"/>
      <c r="P3339" s="85"/>
    </row>
    <row r="3340" spans="11:16">
      <c r="K3340" s="85">
        <v>28</v>
      </c>
      <c r="N3340" s="78"/>
      <c r="P3340" s="85"/>
    </row>
    <row r="3341" spans="11:16">
      <c r="K3341" s="85">
        <v>29</v>
      </c>
      <c r="N3341" s="78"/>
      <c r="P3341" s="85"/>
    </row>
    <row r="3342" spans="11:16">
      <c r="K3342" s="85">
        <v>30</v>
      </c>
      <c r="N3342" s="78"/>
      <c r="P3342" s="85"/>
    </row>
    <row r="3343" spans="11:16">
      <c r="K3343" s="85">
        <v>31</v>
      </c>
      <c r="N3343" s="78"/>
      <c r="P3343" s="85"/>
    </row>
    <row r="3344" spans="11:16">
      <c r="K3344" s="85">
        <v>32</v>
      </c>
      <c r="N3344" s="78"/>
      <c r="P3344" s="85"/>
    </row>
    <row r="3345" spans="11:16">
      <c r="K3345" s="85">
        <v>33</v>
      </c>
      <c r="N3345" s="78"/>
      <c r="P3345" s="85"/>
    </row>
    <row r="3346" spans="11:16">
      <c r="K3346" s="85">
        <v>34</v>
      </c>
      <c r="N3346" s="78"/>
      <c r="P3346" s="85"/>
    </row>
    <row r="3347" spans="11:16">
      <c r="K3347" s="85">
        <v>35</v>
      </c>
      <c r="N3347" s="78"/>
      <c r="P3347" s="85"/>
    </row>
    <row r="3348" spans="11:16">
      <c r="K3348" s="85">
        <v>36</v>
      </c>
      <c r="N3348" s="78"/>
      <c r="P3348" s="85"/>
    </row>
    <row r="3349" spans="11:16">
      <c r="K3349" s="85">
        <v>25</v>
      </c>
      <c r="N3349" s="78"/>
      <c r="P3349" s="85"/>
    </row>
    <row r="3350" spans="11:16">
      <c r="K3350" s="85">
        <v>26</v>
      </c>
      <c r="N3350" s="78"/>
      <c r="P3350" s="85"/>
    </row>
    <row r="3351" spans="11:16">
      <c r="K3351" s="85">
        <v>27</v>
      </c>
      <c r="N3351" s="78"/>
      <c r="P3351" s="85"/>
    </row>
    <row r="3352" spans="11:16">
      <c r="K3352" s="85">
        <v>28</v>
      </c>
      <c r="N3352" s="78"/>
      <c r="P3352" s="85"/>
    </row>
    <row r="3353" spans="11:16">
      <c r="K3353" s="85">
        <v>29</v>
      </c>
      <c r="N3353" s="78"/>
      <c r="P3353" s="85"/>
    </row>
    <row r="3354" spans="11:16">
      <c r="K3354" s="85">
        <v>31</v>
      </c>
      <c r="N3354" s="78"/>
      <c r="P3354" s="85"/>
    </row>
    <row r="3355" spans="11:16">
      <c r="K3355" s="85">
        <v>32</v>
      </c>
      <c r="N3355" s="78"/>
      <c r="P3355" s="85"/>
    </row>
    <row r="3356" spans="11:16">
      <c r="K3356" s="85">
        <v>26</v>
      </c>
      <c r="N3356" s="78"/>
      <c r="P3356" s="85"/>
    </row>
    <row r="3357" spans="11:16">
      <c r="K3357" s="85">
        <v>27</v>
      </c>
      <c r="N3357" s="78"/>
      <c r="P3357" s="85"/>
    </row>
    <row r="3358" spans="11:16">
      <c r="K3358" s="85">
        <v>28</v>
      </c>
      <c r="N3358" s="78"/>
      <c r="P3358" s="85"/>
    </row>
    <row r="3359" spans="11:16">
      <c r="K3359" s="85">
        <v>30</v>
      </c>
      <c r="N3359" s="78"/>
      <c r="P3359" s="85"/>
    </row>
    <row r="3360" spans="11:16">
      <c r="K3360" s="85">
        <v>31</v>
      </c>
      <c r="N3360" s="78"/>
      <c r="P3360" s="85"/>
    </row>
    <row r="3361" spans="11:16">
      <c r="K3361" s="85">
        <v>32</v>
      </c>
      <c r="N3361" s="78"/>
      <c r="P3361" s="85"/>
    </row>
    <row r="3362" spans="11:16">
      <c r="K3362" s="85">
        <v>33</v>
      </c>
      <c r="N3362" s="78"/>
      <c r="P3362" s="85"/>
    </row>
    <row r="3363" spans="11:16">
      <c r="K3363" s="85">
        <v>34</v>
      </c>
      <c r="N3363" s="78"/>
      <c r="P3363" s="85"/>
    </row>
    <row r="3364" spans="11:16">
      <c r="K3364" s="85">
        <v>35</v>
      </c>
      <c r="N3364" s="78"/>
      <c r="P3364" s="85"/>
    </row>
    <row r="3365" spans="11:16">
      <c r="K3365" s="85">
        <v>25</v>
      </c>
      <c r="N3365" s="78"/>
      <c r="P3365" s="85"/>
    </row>
    <row r="3366" spans="11:16">
      <c r="K3366" s="85">
        <v>27</v>
      </c>
      <c r="N3366" s="78"/>
      <c r="P3366" s="85"/>
    </row>
    <row r="3367" spans="11:16">
      <c r="K3367" s="85">
        <v>34</v>
      </c>
      <c r="N3367" s="78"/>
      <c r="P3367" s="85"/>
    </row>
    <row r="3368" spans="11:16">
      <c r="K3368" s="85">
        <v>35</v>
      </c>
      <c r="N3368" s="78"/>
      <c r="P3368" s="85"/>
    </row>
    <row r="3369" spans="11:16">
      <c r="K3369" s="85">
        <v>27</v>
      </c>
      <c r="N3369" s="78"/>
      <c r="P3369" s="85"/>
    </row>
    <row r="3370" spans="11:16">
      <c r="K3370" s="85">
        <v>29</v>
      </c>
      <c r="N3370" s="78"/>
      <c r="P3370" s="85"/>
    </row>
    <row r="3371" spans="11:16">
      <c r="K3371" s="85">
        <v>30</v>
      </c>
      <c r="N3371" s="78"/>
      <c r="P3371" s="85"/>
    </row>
    <row r="3372" spans="11:16">
      <c r="K3372" s="85">
        <v>31</v>
      </c>
      <c r="N3372" s="78"/>
      <c r="P3372" s="85"/>
    </row>
    <row r="3373" spans="11:16">
      <c r="K3373" s="85">
        <v>32</v>
      </c>
      <c r="N3373" s="78"/>
      <c r="P3373" s="85"/>
    </row>
    <row r="3374" spans="11:16">
      <c r="K3374" s="85">
        <v>33</v>
      </c>
      <c r="N3374" s="78"/>
      <c r="P3374" s="85"/>
    </row>
    <row r="3375" spans="11:16">
      <c r="K3375" s="85">
        <v>34</v>
      </c>
      <c r="N3375" s="78"/>
      <c r="P3375" s="85"/>
    </row>
    <row r="3376" spans="11:16">
      <c r="K3376" s="85">
        <v>35</v>
      </c>
      <c r="N3376" s="78"/>
      <c r="P3376" s="85"/>
    </row>
    <row r="3377" spans="11:16">
      <c r="K3377" s="85">
        <v>36</v>
      </c>
      <c r="N3377" s="78"/>
      <c r="P3377" s="85"/>
    </row>
    <row r="3378" spans="11:16">
      <c r="K3378" s="85">
        <v>25</v>
      </c>
      <c r="N3378" s="78"/>
      <c r="P3378" s="85"/>
    </row>
    <row r="3379" spans="11:16">
      <c r="K3379" s="85">
        <v>26</v>
      </c>
      <c r="N3379" s="78"/>
      <c r="P3379" s="85"/>
    </row>
    <row r="3380" spans="11:16">
      <c r="K3380" s="85">
        <v>27</v>
      </c>
      <c r="N3380" s="78"/>
      <c r="P3380" s="85"/>
    </row>
    <row r="3381" spans="11:16">
      <c r="K3381" s="85">
        <v>28</v>
      </c>
      <c r="N3381" s="78"/>
      <c r="P3381" s="85"/>
    </row>
    <row r="3382" spans="11:16">
      <c r="K3382" s="85">
        <v>29</v>
      </c>
      <c r="N3382" s="78"/>
      <c r="P3382" s="85"/>
    </row>
    <row r="3383" spans="11:16">
      <c r="K3383" s="85">
        <v>30</v>
      </c>
      <c r="N3383" s="78"/>
      <c r="P3383" s="85"/>
    </row>
    <row r="3384" spans="11:16">
      <c r="K3384" s="85">
        <v>31</v>
      </c>
      <c r="N3384" s="78"/>
      <c r="P3384" s="85"/>
    </row>
    <row r="3385" spans="11:16">
      <c r="K3385" s="85">
        <v>32</v>
      </c>
      <c r="N3385" s="78"/>
      <c r="P3385" s="85"/>
    </row>
    <row r="3386" spans="11:16">
      <c r="K3386" s="85">
        <v>34</v>
      </c>
      <c r="N3386" s="78"/>
      <c r="P3386" s="85"/>
    </row>
    <row r="3387" spans="11:16">
      <c r="K3387" s="85">
        <v>35</v>
      </c>
      <c r="N3387" s="78"/>
      <c r="P3387" s="85"/>
    </row>
    <row r="3388" spans="11:16">
      <c r="K3388" s="85">
        <v>36</v>
      </c>
      <c r="N3388" s="78"/>
      <c r="P3388" s="85"/>
    </row>
    <row r="3389" spans="11:16">
      <c r="K3389" s="85">
        <v>25</v>
      </c>
      <c r="N3389" s="78"/>
      <c r="P3389" s="85"/>
    </row>
    <row r="3390" spans="11:16">
      <c r="K3390" s="85">
        <v>26</v>
      </c>
      <c r="N3390" s="78"/>
      <c r="P3390" s="85"/>
    </row>
    <row r="3391" spans="11:16">
      <c r="K3391" s="85">
        <v>27</v>
      </c>
      <c r="N3391" s="78"/>
      <c r="P3391" s="85"/>
    </row>
    <row r="3392" spans="11:16">
      <c r="K3392" s="85">
        <v>28</v>
      </c>
      <c r="N3392" s="78"/>
      <c r="P3392" s="85"/>
    </row>
    <row r="3393" spans="11:16">
      <c r="K3393" s="85">
        <v>29</v>
      </c>
      <c r="N3393" s="78"/>
      <c r="P3393" s="85"/>
    </row>
    <row r="3394" spans="11:16">
      <c r="K3394" s="85">
        <v>30</v>
      </c>
      <c r="N3394" s="78"/>
      <c r="P3394" s="85"/>
    </row>
    <row r="3395" spans="11:16">
      <c r="K3395" s="85">
        <v>31</v>
      </c>
      <c r="N3395" s="78"/>
      <c r="P3395" s="85"/>
    </row>
    <row r="3396" spans="11:16">
      <c r="K3396" s="85">
        <v>32</v>
      </c>
      <c r="N3396" s="78"/>
      <c r="P3396" s="85"/>
    </row>
    <row r="3397" spans="11:16">
      <c r="K3397" s="85">
        <v>33</v>
      </c>
      <c r="N3397" s="78"/>
      <c r="P3397" s="85"/>
    </row>
    <row r="3398" spans="11:16">
      <c r="K3398" s="85">
        <v>34</v>
      </c>
      <c r="N3398" s="78"/>
      <c r="P3398" s="85"/>
    </row>
    <row r="3399" spans="11:16">
      <c r="K3399" s="85">
        <v>35</v>
      </c>
      <c r="N3399" s="78"/>
      <c r="P3399" s="85"/>
    </row>
    <row r="3400" spans="11:16">
      <c r="K3400" s="85">
        <v>36</v>
      </c>
      <c r="N3400" s="78"/>
      <c r="P3400" s="85"/>
    </row>
    <row r="3401" spans="11:16">
      <c r="K3401" s="85">
        <v>26</v>
      </c>
      <c r="N3401" s="78"/>
      <c r="P3401" s="85"/>
    </row>
    <row r="3402" spans="11:16">
      <c r="K3402" s="85">
        <v>27</v>
      </c>
      <c r="N3402" s="78"/>
      <c r="P3402" s="85"/>
    </row>
    <row r="3403" spans="11:16">
      <c r="K3403" s="85">
        <v>29</v>
      </c>
      <c r="N3403" s="78"/>
      <c r="P3403" s="85"/>
    </row>
    <row r="3404" spans="11:16">
      <c r="K3404" s="85">
        <v>31</v>
      </c>
      <c r="N3404" s="78"/>
      <c r="P3404" s="85"/>
    </row>
    <row r="3405" spans="11:16">
      <c r="K3405" s="85">
        <v>34</v>
      </c>
      <c r="N3405" s="78"/>
      <c r="P3405" s="85"/>
    </row>
    <row r="3406" spans="11:16">
      <c r="K3406" s="85">
        <v>35</v>
      </c>
      <c r="N3406" s="78"/>
      <c r="P3406" s="85"/>
    </row>
    <row r="3407" spans="11:16">
      <c r="K3407" s="85">
        <v>25</v>
      </c>
      <c r="N3407" s="78"/>
      <c r="P3407" s="85"/>
    </row>
    <row r="3408" spans="11:16">
      <c r="K3408" s="85">
        <v>26</v>
      </c>
      <c r="N3408" s="78"/>
      <c r="P3408" s="85"/>
    </row>
    <row r="3409" spans="11:16">
      <c r="K3409" s="85">
        <v>27</v>
      </c>
      <c r="N3409" s="78"/>
      <c r="P3409" s="85"/>
    </row>
    <row r="3410" spans="11:16">
      <c r="K3410" s="85">
        <v>28</v>
      </c>
      <c r="N3410" s="78"/>
      <c r="P3410" s="85"/>
    </row>
    <row r="3411" spans="11:16">
      <c r="K3411" s="85">
        <v>29</v>
      </c>
      <c r="N3411" s="78"/>
      <c r="P3411" s="85"/>
    </row>
    <row r="3412" spans="11:16">
      <c r="K3412" s="85">
        <v>30</v>
      </c>
      <c r="N3412" s="78"/>
      <c r="P3412" s="85"/>
    </row>
    <row r="3413" spans="11:16">
      <c r="K3413" s="85">
        <v>31</v>
      </c>
      <c r="N3413" s="78"/>
      <c r="P3413" s="85"/>
    </row>
    <row r="3414" spans="11:16">
      <c r="K3414" s="85">
        <v>32</v>
      </c>
      <c r="N3414" s="78"/>
      <c r="P3414" s="85"/>
    </row>
    <row r="3415" spans="11:16">
      <c r="K3415" s="85">
        <v>33</v>
      </c>
      <c r="N3415" s="78"/>
      <c r="P3415" s="85"/>
    </row>
    <row r="3416" spans="11:16">
      <c r="K3416" s="85">
        <v>34</v>
      </c>
      <c r="N3416" s="78"/>
      <c r="P3416" s="85"/>
    </row>
    <row r="3417" spans="11:16">
      <c r="K3417" s="85">
        <v>35</v>
      </c>
      <c r="N3417" s="78"/>
      <c r="P3417" s="85"/>
    </row>
    <row r="3418" spans="11:16">
      <c r="K3418" s="85">
        <v>36</v>
      </c>
      <c r="N3418" s="78"/>
      <c r="P3418" s="85"/>
    </row>
    <row r="3419" spans="11:16">
      <c r="K3419" s="85">
        <v>25</v>
      </c>
      <c r="N3419" s="78"/>
      <c r="P3419" s="85"/>
    </row>
    <row r="3420" spans="11:16">
      <c r="K3420" s="85">
        <v>26</v>
      </c>
      <c r="N3420" s="78"/>
      <c r="P3420" s="85"/>
    </row>
    <row r="3421" spans="11:16">
      <c r="K3421" s="85">
        <v>27</v>
      </c>
      <c r="N3421" s="78"/>
      <c r="P3421" s="85"/>
    </row>
    <row r="3422" spans="11:16">
      <c r="K3422" s="85">
        <v>28</v>
      </c>
      <c r="N3422" s="78"/>
      <c r="P3422" s="85"/>
    </row>
    <row r="3423" spans="11:16">
      <c r="K3423" s="85">
        <v>29</v>
      </c>
      <c r="N3423" s="78"/>
      <c r="P3423" s="85"/>
    </row>
    <row r="3424" spans="11:16">
      <c r="K3424" s="85">
        <v>30</v>
      </c>
      <c r="N3424" s="78"/>
      <c r="P3424" s="85"/>
    </row>
    <row r="3425" spans="11:16">
      <c r="K3425" s="85">
        <v>31</v>
      </c>
      <c r="N3425" s="78"/>
      <c r="P3425" s="85"/>
    </row>
    <row r="3426" spans="11:16">
      <c r="K3426" s="85">
        <v>32</v>
      </c>
      <c r="N3426" s="78"/>
      <c r="P3426" s="85"/>
    </row>
    <row r="3427" spans="11:16">
      <c r="K3427" s="85">
        <v>33</v>
      </c>
      <c r="N3427" s="78"/>
      <c r="P3427" s="85"/>
    </row>
    <row r="3428" spans="11:16">
      <c r="K3428" s="85">
        <v>34</v>
      </c>
      <c r="N3428" s="78"/>
      <c r="P3428" s="85"/>
    </row>
    <row r="3429" spans="11:16">
      <c r="K3429" s="85">
        <v>35</v>
      </c>
      <c r="N3429" s="78"/>
      <c r="P3429" s="85"/>
    </row>
    <row r="3430" spans="11:16">
      <c r="K3430" s="85">
        <v>36</v>
      </c>
      <c r="N3430" s="78"/>
      <c r="P3430" s="85"/>
    </row>
    <row r="3431" spans="11:16">
      <c r="K3431" s="85">
        <v>25</v>
      </c>
      <c r="N3431" s="78"/>
      <c r="P3431" s="85"/>
    </row>
    <row r="3432" spans="11:16">
      <c r="K3432" s="85">
        <v>27</v>
      </c>
      <c r="N3432" s="78"/>
      <c r="P3432" s="85"/>
    </row>
    <row r="3433" spans="11:16">
      <c r="K3433" s="85">
        <v>29</v>
      </c>
      <c r="N3433" s="78"/>
      <c r="P3433" s="85"/>
    </row>
    <row r="3434" spans="11:16">
      <c r="K3434" s="85">
        <v>31</v>
      </c>
      <c r="N3434" s="78"/>
      <c r="P3434" s="85"/>
    </row>
    <row r="3435" spans="11:16">
      <c r="K3435" s="85">
        <v>27</v>
      </c>
      <c r="N3435" s="78"/>
      <c r="P3435" s="85"/>
    </row>
    <row r="3436" spans="11:16">
      <c r="K3436" s="85">
        <v>30</v>
      </c>
      <c r="N3436" s="78"/>
      <c r="P3436" s="85"/>
    </row>
    <row r="3437" spans="11:16">
      <c r="K3437" s="85">
        <v>31</v>
      </c>
      <c r="N3437" s="78"/>
      <c r="P3437" s="85"/>
    </row>
    <row r="3438" spans="11:16">
      <c r="K3438" s="85">
        <v>32</v>
      </c>
      <c r="N3438" s="78"/>
      <c r="P3438" s="85"/>
    </row>
    <row r="3439" spans="11:16">
      <c r="K3439" s="85">
        <v>33</v>
      </c>
      <c r="N3439" s="78"/>
      <c r="P3439" s="85"/>
    </row>
    <row r="3440" spans="11:16">
      <c r="K3440" s="85">
        <v>34</v>
      </c>
      <c r="N3440" s="78"/>
      <c r="P3440" s="85"/>
    </row>
    <row r="3441" spans="11:16">
      <c r="K3441" s="85">
        <v>35</v>
      </c>
      <c r="N3441" s="78"/>
      <c r="P3441" s="85"/>
    </row>
    <row r="3442" spans="11:16">
      <c r="K3442" s="85">
        <v>36</v>
      </c>
      <c r="N3442" s="78"/>
      <c r="P3442" s="85"/>
    </row>
    <row r="3443" spans="11:16">
      <c r="K3443" s="85">
        <v>25</v>
      </c>
      <c r="N3443" s="78"/>
      <c r="P3443" s="85"/>
    </row>
    <row r="3444" spans="11:16">
      <c r="K3444" s="85">
        <v>26</v>
      </c>
      <c r="N3444" s="78"/>
      <c r="P3444" s="85"/>
    </row>
    <row r="3445" spans="11:16">
      <c r="K3445" s="85">
        <v>27</v>
      </c>
      <c r="N3445" s="78"/>
      <c r="P3445" s="85"/>
    </row>
    <row r="3446" spans="11:16">
      <c r="K3446" s="85">
        <v>28</v>
      </c>
      <c r="N3446" s="78"/>
      <c r="P3446" s="85"/>
    </row>
    <row r="3447" spans="11:16">
      <c r="K3447" s="85">
        <v>29</v>
      </c>
      <c r="N3447" s="78"/>
      <c r="P3447" s="85"/>
    </row>
    <row r="3448" spans="11:16">
      <c r="K3448" s="85">
        <v>30</v>
      </c>
      <c r="N3448" s="78"/>
      <c r="P3448" s="85"/>
    </row>
    <row r="3449" spans="11:16">
      <c r="K3449" s="85">
        <v>31</v>
      </c>
      <c r="N3449" s="78"/>
      <c r="P3449" s="85"/>
    </row>
    <row r="3450" spans="11:16">
      <c r="K3450" s="85">
        <v>32</v>
      </c>
      <c r="N3450" s="78"/>
      <c r="P3450" s="85"/>
    </row>
    <row r="3451" spans="11:16">
      <c r="K3451" s="85">
        <v>34</v>
      </c>
      <c r="N3451" s="78"/>
      <c r="P3451" s="85"/>
    </row>
    <row r="3452" spans="11:16">
      <c r="K3452" s="85">
        <v>35</v>
      </c>
      <c r="N3452" s="78"/>
      <c r="P3452" s="85"/>
    </row>
    <row r="3453" spans="11:16">
      <c r="K3453" s="85">
        <v>36</v>
      </c>
      <c r="N3453" s="78"/>
      <c r="P3453" s="85"/>
    </row>
    <row r="3454" spans="11:16">
      <c r="K3454" s="85">
        <v>25</v>
      </c>
      <c r="N3454" s="78"/>
      <c r="P3454" s="85"/>
    </row>
    <row r="3455" spans="11:16">
      <c r="K3455" s="85">
        <v>26</v>
      </c>
      <c r="N3455" s="78"/>
      <c r="P3455" s="85"/>
    </row>
    <row r="3456" spans="11:16">
      <c r="K3456" s="85">
        <v>27</v>
      </c>
      <c r="N3456" s="78"/>
      <c r="P3456" s="85"/>
    </row>
    <row r="3457" spans="11:16">
      <c r="K3457" s="85">
        <v>28</v>
      </c>
      <c r="N3457" s="78"/>
      <c r="P3457" s="85"/>
    </row>
    <row r="3458" spans="11:16">
      <c r="K3458" s="85">
        <v>29</v>
      </c>
      <c r="N3458" s="78"/>
      <c r="P3458" s="85"/>
    </row>
    <row r="3459" spans="11:16">
      <c r="K3459" s="85">
        <v>30</v>
      </c>
      <c r="N3459" s="78"/>
      <c r="P3459" s="85"/>
    </row>
    <row r="3460" spans="11:16">
      <c r="K3460" s="85">
        <v>31</v>
      </c>
      <c r="N3460" s="78"/>
      <c r="P3460" s="85"/>
    </row>
    <row r="3461" spans="11:16">
      <c r="K3461" s="85">
        <v>32</v>
      </c>
      <c r="N3461" s="78"/>
      <c r="P3461" s="85"/>
    </row>
    <row r="3462" spans="11:16">
      <c r="K3462" s="85">
        <v>33</v>
      </c>
      <c r="N3462" s="78"/>
      <c r="P3462" s="85"/>
    </row>
    <row r="3463" spans="11:16">
      <c r="K3463" s="85">
        <v>34</v>
      </c>
      <c r="N3463" s="78"/>
      <c r="P3463" s="85"/>
    </row>
    <row r="3464" spans="11:16">
      <c r="K3464" s="85">
        <v>35</v>
      </c>
      <c r="N3464" s="78"/>
      <c r="P3464" s="85"/>
    </row>
    <row r="3465" spans="11:16">
      <c r="K3465" s="85">
        <v>36</v>
      </c>
      <c r="N3465" s="78"/>
      <c r="P3465" s="85"/>
    </row>
    <row r="3466" spans="11:16">
      <c r="K3466" s="85">
        <v>26</v>
      </c>
      <c r="N3466" s="78"/>
      <c r="P3466" s="85"/>
    </row>
    <row r="3467" spans="11:16">
      <c r="K3467" s="85">
        <v>27</v>
      </c>
      <c r="N3467" s="78"/>
      <c r="P3467" s="85"/>
    </row>
    <row r="3468" spans="11:16">
      <c r="K3468" s="85">
        <v>28</v>
      </c>
      <c r="N3468" s="78"/>
      <c r="P3468" s="85"/>
    </row>
    <row r="3469" spans="11:16">
      <c r="K3469" s="85">
        <v>29</v>
      </c>
      <c r="N3469" s="78"/>
      <c r="P3469" s="85"/>
    </row>
    <row r="3470" spans="11:16">
      <c r="K3470" s="85">
        <v>30</v>
      </c>
      <c r="N3470" s="78"/>
      <c r="P3470" s="85"/>
    </row>
    <row r="3471" spans="11:16">
      <c r="K3471" s="85">
        <v>31</v>
      </c>
      <c r="N3471" s="78"/>
      <c r="P3471" s="85"/>
    </row>
    <row r="3472" spans="11:16">
      <c r="K3472" s="85">
        <v>32</v>
      </c>
      <c r="N3472" s="78"/>
      <c r="P3472" s="85"/>
    </row>
    <row r="3473" spans="11:16">
      <c r="K3473" s="85">
        <v>33</v>
      </c>
      <c r="N3473" s="78"/>
      <c r="P3473" s="85"/>
    </row>
    <row r="3474" spans="11:16">
      <c r="K3474" s="85">
        <v>34</v>
      </c>
      <c r="N3474" s="78"/>
      <c r="P3474" s="85"/>
    </row>
    <row r="3475" spans="11:16">
      <c r="K3475" s="85">
        <v>35</v>
      </c>
      <c r="N3475" s="78"/>
      <c r="P3475" s="85"/>
    </row>
    <row r="3476" spans="11:16">
      <c r="K3476" s="85">
        <v>25</v>
      </c>
      <c r="N3476" s="78"/>
      <c r="P3476" s="85"/>
    </row>
    <row r="3477" spans="11:16">
      <c r="K3477" s="85">
        <v>26</v>
      </c>
      <c r="N3477" s="78"/>
      <c r="P3477" s="85"/>
    </row>
    <row r="3478" spans="11:16">
      <c r="K3478" s="85">
        <v>28</v>
      </c>
      <c r="N3478" s="78"/>
      <c r="P3478" s="85"/>
    </row>
    <row r="3479" spans="11:16">
      <c r="K3479" s="85">
        <v>29</v>
      </c>
      <c r="N3479" s="78"/>
      <c r="P3479" s="85"/>
    </row>
    <row r="3480" spans="11:16">
      <c r="K3480" s="85">
        <v>30</v>
      </c>
      <c r="N3480" s="78"/>
      <c r="P3480" s="85"/>
    </row>
    <row r="3481" spans="11:16">
      <c r="K3481" s="85">
        <v>31</v>
      </c>
      <c r="N3481" s="78"/>
      <c r="P3481" s="85"/>
    </row>
    <row r="3482" spans="11:16">
      <c r="K3482" s="85">
        <v>32</v>
      </c>
      <c r="N3482" s="78"/>
      <c r="P3482" s="85"/>
    </row>
    <row r="3483" spans="11:16">
      <c r="K3483" s="85">
        <v>34</v>
      </c>
      <c r="N3483" s="78"/>
      <c r="P3483" s="85"/>
    </row>
    <row r="3484" spans="11:16">
      <c r="K3484" s="85">
        <v>35</v>
      </c>
      <c r="N3484" s="78"/>
      <c r="P3484" s="85"/>
    </row>
    <row r="3485" spans="11:16">
      <c r="K3485" s="85">
        <v>36</v>
      </c>
      <c r="N3485" s="78"/>
      <c r="P3485" s="85"/>
    </row>
    <row r="3486" spans="11:16">
      <c r="K3486" s="85">
        <v>27</v>
      </c>
      <c r="N3486" s="78"/>
      <c r="P3486" s="85"/>
    </row>
    <row r="3487" spans="11:16">
      <c r="K3487" s="85">
        <v>30</v>
      </c>
      <c r="N3487" s="78"/>
      <c r="P3487" s="85"/>
    </row>
    <row r="3488" spans="11:16">
      <c r="K3488" s="85">
        <v>34</v>
      </c>
      <c r="N3488" s="78"/>
      <c r="P3488" s="85"/>
    </row>
    <row r="3489" spans="11:16">
      <c r="K3489" s="85">
        <v>27</v>
      </c>
      <c r="N3489" s="78"/>
      <c r="P3489" s="85"/>
    </row>
    <row r="3490" spans="11:16">
      <c r="K3490" s="85">
        <v>29</v>
      </c>
      <c r="N3490" s="78"/>
      <c r="P3490" s="85"/>
    </row>
    <row r="3491" spans="11:16">
      <c r="K3491" s="85">
        <v>31</v>
      </c>
      <c r="N3491" s="78"/>
      <c r="P3491" s="85"/>
    </row>
    <row r="3492" spans="11:16">
      <c r="K3492" s="85">
        <v>33</v>
      </c>
      <c r="N3492" s="78"/>
      <c r="P3492" s="85"/>
    </row>
    <row r="3493" spans="11:16">
      <c r="K3493" s="85">
        <v>35</v>
      </c>
      <c r="N3493" s="78"/>
      <c r="P3493" s="85"/>
    </row>
    <row r="3494" spans="11:16">
      <c r="K3494" s="85">
        <v>26</v>
      </c>
      <c r="N3494" s="78"/>
      <c r="P3494" s="85"/>
    </row>
    <row r="3495" spans="11:16">
      <c r="K3495" s="85">
        <v>29</v>
      </c>
      <c r="N3495" s="78"/>
      <c r="P3495" s="85"/>
    </row>
    <row r="3496" spans="11:16">
      <c r="K3496" s="85">
        <v>31</v>
      </c>
      <c r="N3496" s="78"/>
      <c r="P3496" s="85"/>
    </row>
    <row r="3497" spans="11:16">
      <c r="K3497" s="85">
        <v>34</v>
      </c>
      <c r="N3497" s="78"/>
      <c r="P3497" s="85"/>
    </row>
    <row r="3498" spans="11:16">
      <c r="K3498" s="85">
        <v>35</v>
      </c>
      <c r="N3498" s="78"/>
      <c r="P3498" s="85"/>
    </row>
    <row r="3499" spans="11:16">
      <c r="K3499" s="85">
        <v>26</v>
      </c>
      <c r="N3499" s="78"/>
      <c r="P3499" s="85"/>
    </row>
    <row r="3500" spans="11:16">
      <c r="K3500" s="85">
        <v>27</v>
      </c>
      <c r="N3500" s="78"/>
      <c r="P3500" s="85"/>
    </row>
    <row r="3501" spans="11:16">
      <c r="K3501" s="85">
        <v>28</v>
      </c>
      <c r="N3501" s="78"/>
      <c r="P3501" s="85"/>
    </row>
    <row r="3502" spans="11:16">
      <c r="K3502" s="85">
        <v>29</v>
      </c>
      <c r="N3502" s="78"/>
      <c r="P3502" s="85"/>
    </row>
    <row r="3503" spans="11:16">
      <c r="K3503" s="85">
        <v>32</v>
      </c>
      <c r="N3503" s="78"/>
      <c r="P3503" s="85"/>
    </row>
    <row r="3504" spans="11:16">
      <c r="K3504" s="85">
        <v>35</v>
      </c>
      <c r="N3504" s="78"/>
      <c r="P3504" s="85"/>
    </row>
    <row r="3505" spans="11:16">
      <c r="K3505" s="85">
        <v>25</v>
      </c>
      <c r="N3505" s="78"/>
      <c r="P3505" s="85"/>
    </row>
    <row r="3506" spans="11:16">
      <c r="K3506" s="85">
        <v>26</v>
      </c>
      <c r="N3506" s="78"/>
      <c r="P3506" s="85"/>
    </row>
    <row r="3507" spans="11:16">
      <c r="K3507" s="85">
        <v>27</v>
      </c>
      <c r="N3507" s="78"/>
      <c r="P3507" s="85"/>
    </row>
    <row r="3508" spans="11:16">
      <c r="K3508" s="85">
        <v>28</v>
      </c>
      <c r="N3508" s="78"/>
      <c r="P3508" s="85"/>
    </row>
    <row r="3509" spans="11:16">
      <c r="K3509" s="85">
        <v>29</v>
      </c>
      <c r="N3509" s="78"/>
      <c r="P3509" s="85"/>
    </row>
    <row r="3510" spans="11:16">
      <c r="K3510" s="85">
        <v>30</v>
      </c>
      <c r="N3510" s="78"/>
      <c r="P3510" s="85"/>
    </row>
    <row r="3511" spans="11:16">
      <c r="K3511" s="85">
        <v>31</v>
      </c>
      <c r="N3511" s="78"/>
      <c r="P3511" s="85"/>
    </row>
    <row r="3512" spans="11:16">
      <c r="K3512" s="85">
        <v>32</v>
      </c>
      <c r="N3512" s="78"/>
      <c r="P3512" s="85"/>
    </row>
    <row r="3513" spans="11:16">
      <c r="K3513" s="85">
        <v>34</v>
      </c>
      <c r="N3513" s="78"/>
      <c r="P3513" s="85"/>
    </row>
    <row r="3514" spans="11:16">
      <c r="K3514" s="85">
        <v>35</v>
      </c>
      <c r="N3514" s="78"/>
      <c r="P3514" s="85"/>
    </row>
    <row r="3515" spans="11:16">
      <c r="K3515" s="85">
        <v>36</v>
      </c>
      <c r="N3515" s="78"/>
      <c r="P3515" s="85"/>
    </row>
    <row r="3516" spans="11:16">
      <c r="K3516" s="85">
        <v>26</v>
      </c>
      <c r="N3516" s="78"/>
      <c r="P3516" s="85"/>
    </row>
    <row r="3517" spans="11:16">
      <c r="K3517" s="85">
        <v>27</v>
      </c>
      <c r="N3517" s="78"/>
      <c r="P3517" s="85"/>
    </row>
    <row r="3518" spans="11:16">
      <c r="K3518" s="85">
        <v>29</v>
      </c>
      <c r="N3518" s="78"/>
      <c r="P3518" s="85"/>
    </row>
    <row r="3519" spans="11:16">
      <c r="K3519" s="85">
        <v>32</v>
      </c>
      <c r="N3519" s="78"/>
      <c r="P3519" s="85"/>
    </row>
    <row r="3520" spans="11:16">
      <c r="K3520" s="85">
        <v>35</v>
      </c>
      <c r="N3520" s="78"/>
      <c r="P3520" s="85"/>
    </row>
    <row r="3521" spans="11:16">
      <c r="K3521" s="85">
        <v>27</v>
      </c>
      <c r="N3521" s="78"/>
      <c r="P3521" s="85"/>
    </row>
    <row r="3522" spans="11:16">
      <c r="K3522" s="85">
        <v>29</v>
      </c>
      <c r="N3522" s="78"/>
      <c r="P3522" s="85"/>
    </row>
    <row r="3523" spans="11:16">
      <c r="K3523" s="85">
        <v>34</v>
      </c>
      <c r="N3523" s="78"/>
      <c r="P3523" s="85"/>
    </row>
    <row r="3524" spans="11:16">
      <c r="K3524" s="85">
        <v>35</v>
      </c>
      <c r="N3524" s="78"/>
      <c r="P3524" s="85"/>
    </row>
    <row r="3525" spans="11:16">
      <c r="K3525" s="85">
        <v>25</v>
      </c>
      <c r="N3525" s="78"/>
      <c r="P3525" s="85"/>
    </row>
    <row r="3526" spans="11:16">
      <c r="K3526" s="85">
        <v>26</v>
      </c>
      <c r="N3526" s="78"/>
      <c r="P3526" s="85"/>
    </row>
    <row r="3527" spans="11:16">
      <c r="K3527" s="85">
        <v>27</v>
      </c>
      <c r="N3527" s="78"/>
      <c r="P3527" s="85"/>
    </row>
    <row r="3528" spans="11:16">
      <c r="K3528" s="85">
        <v>30</v>
      </c>
      <c r="N3528" s="78"/>
      <c r="P3528" s="85"/>
    </row>
    <row r="3529" spans="11:16">
      <c r="K3529" s="85">
        <v>31</v>
      </c>
      <c r="N3529" s="78"/>
      <c r="P3529" s="85"/>
    </row>
    <row r="3530" spans="11:16">
      <c r="K3530" s="85">
        <v>32</v>
      </c>
      <c r="N3530" s="78"/>
      <c r="P3530" s="85"/>
    </row>
    <row r="3531" spans="11:16">
      <c r="K3531" s="85">
        <v>33</v>
      </c>
      <c r="N3531" s="78"/>
      <c r="P3531" s="85"/>
    </row>
    <row r="3532" spans="11:16">
      <c r="K3532" s="85">
        <v>34</v>
      </c>
      <c r="N3532" s="78"/>
      <c r="P3532" s="85"/>
    </row>
    <row r="3533" spans="11:16">
      <c r="K3533" s="85">
        <v>35</v>
      </c>
      <c r="N3533" s="78"/>
      <c r="P3533" s="85"/>
    </row>
    <row r="3534" spans="11:16">
      <c r="K3534" s="85">
        <v>36</v>
      </c>
      <c r="N3534" s="78"/>
      <c r="P3534" s="85"/>
    </row>
    <row r="3535" spans="11:16">
      <c r="K3535" s="85">
        <v>25</v>
      </c>
      <c r="N3535" s="78"/>
      <c r="P3535" s="85"/>
    </row>
    <row r="3536" spans="11:16">
      <c r="K3536" s="85">
        <v>26</v>
      </c>
      <c r="N3536" s="78"/>
      <c r="P3536" s="85"/>
    </row>
    <row r="3537" spans="11:16">
      <c r="K3537" s="85">
        <v>27</v>
      </c>
      <c r="N3537" s="78"/>
      <c r="P3537" s="85"/>
    </row>
    <row r="3538" spans="11:16">
      <c r="K3538" s="85">
        <v>28</v>
      </c>
      <c r="N3538" s="78"/>
      <c r="P3538" s="85"/>
    </row>
    <row r="3539" spans="11:16">
      <c r="K3539" s="85">
        <v>29</v>
      </c>
      <c r="N3539" s="78"/>
      <c r="P3539" s="85"/>
    </row>
    <row r="3540" spans="11:16">
      <c r="K3540" s="85">
        <v>30</v>
      </c>
      <c r="N3540" s="78"/>
      <c r="P3540" s="85"/>
    </row>
    <row r="3541" spans="11:16">
      <c r="K3541" s="85">
        <v>31</v>
      </c>
      <c r="N3541" s="78"/>
      <c r="P3541" s="85"/>
    </row>
    <row r="3542" spans="11:16">
      <c r="K3542" s="85">
        <v>32</v>
      </c>
      <c r="N3542" s="78"/>
      <c r="P3542" s="85"/>
    </row>
    <row r="3543" spans="11:16">
      <c r="K3543" s="85">
        <v>33</v>
      </c>
      <c r="N3543" s="78"/>
      <c r="P3543" s="85"/>
    </row>
    <row r="3544" spans="11:16">
      <c r="K3544" s="85">
        <v>34</v>
      </c>
      <c r="N3544" s="78"/>
      <c r="P3544" s="85"/>
    </row>
    <row r="3545" spans="11:16">
      <c r="K3545" s="85">
        <v>35</v>
      </c>
      <c r="N3545" s="78"/>
      <c r="P3545" s="85"/>
    </row>
    <row r="3546" spans="11:16">
      <c r="K3546" s="85">
        <v>36</v>
      </c>
      <c r="N3546" s="78"/>
      <c r="P3546" s="85"/>
    </row>
    <row r="3547" spans="11:16">
      <c r="K3547" s="85">
        <v>26</v>
      </c>
      <c r="N3547" s="78"/>
      <c r="P3547" s="85"/>
    </row>
    <row r="3548" spans="11:16">
      <c r="K3548" s="85">
        <v>27</v>
      </c>
      <c r="N3548" s="78"/>
      <c r="P3548" s="85"/>
    </row>
    <row r="3549" spans="11:16">
      <c r="K3549" s="85">
        <v>32</v>
      </c>
      <c r="N3549" s="78"/>
      <c r="P3549" s="85"/>
    </row>
    <row r="3550" spans="11:16">
      <c r="K3550" s="85">
        <v>25</v>
      </c>
      <c r="N3550" s="78"/>
      <c r="P3550" s="85"/>
    </row>
    <row r="3551" spans="11:16">
      <c r="K3551" s="85">
        <v>26</v>
      </c>
      <c r="N3551" s="78"/>
      <c r="P3551" s="85"/>
    </row>
    <row r="3552" spans="11:16">
      <c r="K3552" s="85">
        <v>27</v>
      </c>
      <c r="N3552" s="78"/>
      <c r="P3552" s="85"/>
    </row>
    <row r="3553" spans="11:16">
      <c r="K3553" s="85">
        <v>34</v>
      </c>
      <c r="N3553" s="78"/>
      <c r="P3553" s="85"/>
    </row>
    <row r="3554" spans="11:16">
      <c r="K3554" s="85">
        <v>35</v>
      </c>
      <c r="N3554" s="78"/>
      <c r="P3554" s="85"/>
    </row>
    <row r="3555" spans="11:16">
      <c r="K3555" s="85">
        <v>25</v>
      </c>
      <c r="N3555" s="78"/>
      <c r="P3555" s="85"/>
    </row>
    <row r="3556" spans="11:16">
      <c r="K3556" s="85">
        <v>26</v>
      </c>
      <c r="N3556" s="78"/>
      <c r="P3556" s="85"/>
    </row>
    <row r="3557" spans="11:16">
      <c r="K3557" s="85">
        <v>27</v>
      </c>
      <c r="N3557" s="78"/>
      <c r="P3557" s="85"/>
    </row>
    <row r="3558" spans="11:16">
      <c r="K3558" s="85">
        <v>29</v>
      </c>
      <c r="N3558" s="78"/>
      <c r="P3558" s="85"/>
    </row>
    <row r="3559" spans="11:16">
      <c r="K3559" s="85">
        <v>31</v>
      </c>
      <c r="N3559" s="78"/>
      <c r="P3559" s="85"/>
    </row>
    <row r="3560" spans="11:16">
      <c r="K3560" s="85">
        <v>32</v>
      </c>
      <c r="N3560" s="78"/>
      <c r="P3560" s="85"/>
    </row>
    <row r="3561" spans="11:16">
      <c r="K3561" s="85">
        <v>25</v>
      </c>
      <c r="N3561" s="78"/>
      <c r="P3561" s="85"/>
    </row>
    <row r="3562" spans="11:16">
      <c r="K3562" s="85">
        <v>27</v>
      </c>
      <c r="N3562" s="78"/>
      <c r="P3562" s="85"/>
    </row>
    <row r="3563" spans="11:16">
      <c r="K3563" s="85">
        <v>28</v>
      </c>
      <c r="N3563" s="78"/>
      <c r="P3563" s="85"/>
    </row>
    <row r="3564" spans="11:16">
      <c r="K3564" s="85">
        <v>35</v>
      </c>
      <c r="N3564" s="78"/>
      <c r="P3564" s="85"/>
    </row>
    <row r="3565" spans="11:16">
      <c r="K3565" s="85">
        <v>26</v>
      </c>
      <c r="N3565" s="78"/>
      <c r="P3565" s="85"/>
    </row>
    <row r="3566" spans="11:16">
      <c r="K3566" s="85">
        <v>27</v>
      </c>
      <c r="N3566" s="78"/>
      <c r="P3566" s="85"/>
    </row>
    <row r="3567" spans="11:16">
      <c r="K3567" s="85">
        <v>28</v>
      </c>
      <c r="N3567" s="78"/>
      <c r="P3567" s="85"/>
    </row>
    <row r="3568" spans="11:16">
      <c r="K3568" s="85">
        <v>35</v>
      </c>
      <c r="N3568" s="78"/>
      <c r="P3568" s="85"/>
    </row>
    <row r="3569" spans="11:16">
      <c r="K3569" s="85">
        <v>25</v>
      </c>
      <c r="N3569" s="78"/>
      <c r="P3569" s="85"/>
    </row>
    <row r="3570" spans="11:16">
      <c r="K3570" s="85">
        <v>26</v>
      </c>
      <c r="N3570" s="78"/>
      <c r="P3570" s="85"/>
    </row>
    <row r="3571" spans="11:16">
      <c r="K3571" s="85">
        <v>27</v>
      </c>
      <c r="N3571" s="78"/>
      <c r="P3571" s="85"/>
    </row>
    <row r="3572" spans="11:16">
      <c r="K3572" s="85">
        <v>31</v>
      </c>
      <c r="N3572" s="78"/>
      <c r="P3572" s="85"/>
    </row>
    <row r="3573" spans="11:16">
      <c r="K3573" s="85">
        <v>32</v>
      </c>
      <c r="N3573" s="78"/>
      <c r="P3573" s="85"/>
    </row>
    <row r="3574" spans="11:16">
      <c r="K3574" s="85">
        <v>33</v>
      </c>
      <c r="N3574" s="78"/>
      <c r="P3574" s="85"/>
    </row>
    <row r="3575" spans="11:16">
      <c r="K3575" s="85">
        <v>34</v>
      </c>
      <c r="N3575" s="78"/>
      <c r="P3575" s="85"/>
    </row>
    <row r="3576" spans="11:16">
      <c r="K3576" s="85">
        <v>35</v>
      </c>
      <c r="N3576" s="78"/>
      <c r="P3576" s="85"/>
    </row>
    <row r="3577" spans="11:16">
      <c r="K3577" s="85">
        <v>27</v>
      </c>
      <c r="N3577" s="78"/>
      <c r="P3577" s="85"/>
    </row>
    <row r="3578" spans="11:16">
      <c r="K3578" s="85">
        <v>28</v>
      </c>
      <c r="N3578" s="78"/>
      <c r="P3578" s="85"/>
    </row>
    <row r="3579" spans="11:16">
      <c r="K3579" s="85">
        <v>31</v>
      </c>
      <c r="N3579" s="78"/>
      <c r="P3579" s="85"/>
    </row>
    <row r="3580" spans="11:16">
      <c r="K3580" s="85">
        <v>34</v>
      </c>
      <c r="N3580" s="78"/>
      <c r="P3580" s="85"/>
    </row>
    <row r="3581" spans="11:16">
      <c r="K3581" s="85">
        <v>35</v>
      </c>
      <c r="N3581" s="78"/>
      <c r="P3581" s="85"/>
    </row>
    <row r="3582" spans="11:16">
      <c r="K3582" s="85">
        <v>27</v>
      </c>
      <c r="N3582" s="78"/>
      <c r="P3582" s="85"/>
    </row>
    <row r="3583" spans="11:16">
      <c r="K3583" s="85">
        <v>30</v>
      </c>
      <c r="N3583" s="78"/>
      <c r="P3583" s="85"/>
    </row>
    <row r="3584" spans="11:16">
      <c r="K3584" s="85">
        <v>31</v>
      </c>
      <c r="N3584" s="78"/>
      <c r="P3584" s="85"/>
    </row>
    <row r="3585" spans="11:16">
      <c r="K3585" s="85">
        <v>32</v>
      </c>
      <c r="N3585" s="78"/>
      <c r="P3585" s="85"/>
    </row>
    <row r="3586" spans="11:16">
      <c r="K3586" s="85">
        <v>33</v>
      </c>
      <c r="N3586" s="78"/>
      <c r="P3586" s="85"/>
    </row>
    <row r="3587" spans="11:16">
      <c r="K3587" s="85">
        <v>34</v>
      </c>
      <c r="N3587" s="78"/>
      <c r="P3587" s="85"/>
    </row>
    <row r="3588" spans="11:16">
      <c r="K3588" s="85">
        <v>35</v>
      </c>
      <c r="N3588" s="78"/>
      <c r="P3588" s="85"/>
    </row>
    <row r="3589" spans="11:16">
      <c r="K3589" s="85">
        <v>36</v>
      </c>
      <c r="N3589" s="78"/>
      <c r="P3589" s="85"/>
    </row>
    <row r="3590" spans="11:16">
      <c r="K3590" s="85">
        <v>25</v>
      </c>
      <c r="N3590" s="78"/>
      <c r="P3590" s="85"/>
    </row>
    <row r="3591" spans="11:16">
      <c r="K3591" s="85">
        <v>26</v>
      </c>
      <c r="N3591" s="78"/>
      <c r="P3591" s="85"/>
    </row>
    <row r="3592" spans="11:16">
      <c r="K3592" s="85">
        <v>27</v>
      </c>
      <c r="N3592" s="78"/>
      <c r="P3592" s="85"/>
    </row>
    <row r="3593" spans="11:16">
      <c r="K3593" s="85">
        <v>28</v>
      </c>
      <c r="N3593" s="78"/>
      <c r="P3593" s="85"/>
    </row>
    <row r="3594" spans="11:16">
      <c r="K3594" s="85">
        <v>29</v>
      </c>
      <c r="N3594" s="78"/>
      <c r="P3594" s="85"/>
    </row>
    <row r="3595" spans="11:16">
      <c r="K3595" s="85">
        <v>30</v>
      </c>
      <c r="N3595" s="78"/>
      <c r="P3595" s="85"/>
    </row>
    <row r="3596" spans="11:16">
      <c r="K3596" s="85">
        <v>31</v>
      </c>
      <c r="N3596" s="78"/>
      <c r="P3596" s="85"/>
    </row>
    <row r="3597" spans="11:16">
      <c r="K3597" s="85">
        <v>32</v>
      </c>
      <c r="N3597" s="78"/>
      <c r="P3597" s="85"/>
    </row>
    <row r="3598" spans="11:16">
      <c r="K3598" s="85">
        <v>33</v>
      </c>
      <c r="N3598" s="78"/>
      <c r="P3598" s="85"/>
    </row>
    <row r="3599" spans="11:16">
      <c r="K3599" s="85">
        <v>34</v>
      </c>
      <c r="N3599" s="78"/>
      <c r="P3599" s="85"/>
    </row>
    <row r="3600" spans="11:16">
      <c r="K3600" s="85">
        <v>35</v>
      </c>
      <c r="N3600" s="78"/>
      <c r="P3600" s="85"/>
    </row>
    <row r="3601" spans="11:16">
      <c r="K3601" s="85">
        <v>36</v>
      </c>
      <c r="N3601" s="78"/>
      <c r="P3601" s="85"/>
    </row>
    <row r="3602" spans="11:16">
      <c r="K3602" s="85">
        <v>26</v>
      </c>
      <c r="N3602" s="78"/>
      <c r="P3602" s="85"/>
    </row>
    <row r="3603" spans="11:16">
      <c r="K3603" s="85">
        <v>27</v>
      </c>
      <c r="N3603" s="78"/>
      <c r="P3603" s="85"/>
    </row>
    <row r="3604" spans="11:16">
      <c r="K3604" s="85">
        <v>28</v>
      </c>
      <c r="N3604" s="78"/>
      <c r="P3604" s="85"/>
    </row>
    <row r="3605" spans="11:16">
      <c r="K3605" s="85">
        <v>29</v>
      </c>
      <c r="N3605" s="78"/>
      <c r="P3605" s="85"/>
    </row>
    <row r="3606" spans="11:16">
      <c r="K3606" s="85">
        <v>30</v>
      </c>
      <c r="N3606" s="78"/>
      <c r="P3606" s="85"/>
    </row>
    <row r="3607" spans="11:16">
      <c r="K3607" s="85">
        <v>31</v>
      </c>
      <c r="N3607" s="78"/>
      <c r="P3607" s="85"/>
    </row>
    <row r="3608" spans="11:16">
      <c r="K3608" s="85">
        <v>32</v>
      </c>
      <c r="N3608" s="78"/>
      <c r="P3608" s="85"/>
    </row>
    <row r="3609" spans="11:16">
      <c r="K3609" s="85">
        <v>35</v>
      </c>
      <c r="N3609" s="78"/>
      <c r="P3609" s="85"/>
    </row>
    <row r="3610" spans="11:16">
      <c r="K3610" s="85">
        <v>28</v>
      </c>
      <c r="L3610" s="78"/>
      <c r="M3610" s="78"/>
      <c r="N3610" s="78"/>
      <c r="P3610" s="85"/>
    </row>
    <row r="3611" spans="11:16">
      <c r="K3611" s="85">
        <v>31</v>
      </c>
      <c r="L3611" s="78"/>
      <c r="M3611" s="78"/>
      <c r="N3611" s="78"/>
      <c r="P3611" s="85"/>
    </row>
    <row r="3612" spans="11:16">
      <c r="K3612" s="85">
        <v>34</v>
      </c>
      <c r="L3612" s="78"/>
      <c r="M3612" s="78"/>
      <c r="N3612" s="78"/>
      <c r="P3612" s="85"/>
    </row>
    <row r="3613" spans="11:16">
      <c r="K3613" s="85">
        <v>35</v>
      </c>
      <c r="L3613" s="78"/>
      <c r="M3613" s="78"/>
      <c r="N3613" s="78"/>
      <c r="P3613" s="85"/>
    </row>
    <row r="3614" spans="11:16">
      <c r="K3614" s="85">
        <v>26</v>
      </c>
      <c r="L3614" s="78"/>
      <c r="M3614" s="78"/>
      <c r="N3614" s="78"/>
      <c r="P3614" s="85"/>
    </row>
    <row r="3615" spans="11:16">
      <c r="K3615" s="85">
        <v>34</v>
      </c>
      <c r="L3615" s="78"/>
      <c r="M3615" s="78"/>
      <c r="N3615" s="78"/>
      <c r="P3615" s="85"/>
    </row>
    <row r="3616" spans="11:16">
      <c r="K3616" s="85">
        <v>26</v>
      </c>
      <c r="L3616" s="78"/>
      <c r="M3616" s="78"/>
      <c r="N3616" s="78"/>
      <c r="P3616" s="85"/>
    </row>
    <row r="3617" spans="11:16">
      <c r="K3617" s="85">
        <v>27</v>
      </c>
      <c r="L3617" s="78"/>
      <c r="M3617" s="78"/>
      <c r="N3617" s="78"/>
      <c r="P3617" s="85"/>
    </row>
    <row r="3618" spans="11:16">
      <c r="K3618" s="85">
        <v>31</v>
      </c>
      <c r="L3618" s="78"/>
      <c r="M3618" s="78"/>
      <c r="N3618" s="78"/>
      <c r="P3618" s="85"/>
    </row>
    <row r="3619" spans="11:16">
      <c r="K3619" s="85">
        <v>32</v>
      </c>
      <c r="L3619" s="78"/>
      <c r="M3619" s="78"/>
      <c r="N3619" s="78"/>
      <c r="P3619" s="85"/>
    </row>
    <row r="3620" spans="11:16">
      <c r="K3620" s="85">
        <v>26</v>
      </c>
      <c r="L3620" s="78"/>
      <c r="M3620" s="78"/>
      <c r="N3620" s="78"/>
      <c r="P3620" s="85"/>
    </row>
    <row r="3621" spans="11:16">
      <c r="K3621" s="85">
        <v>27</v>
      </c>
      <c r="L3621" s="78"/>
      <c r="M3621" s="78"/>
      <c r="N3621" s="78"/>
      <c r="P3621" s="85"/>
    </row>
    <row r="3622" spans="11:16">
      <c r="K3622" s="85">
        <v>35</v>
      </c>
      <c r="L3622" s="78"/>
      <c r="M3622" s="78"/>
      <c r="N3622" s="78"/>
      <c r="P3622" s="85"/>
    </row>
    <row r="3623" spans="11:16">
      <c r="K3623" s="85">
        <v>25</v>
      </c>
      <c r="L3623" s="78"/>
      <c r="M3623" s="78"/>
      <c r="N3623" s="78"/>
      <c r="P3623" s="85"/>
    </row>
    <row r="3624" spans="11:16">
      <c r="K3624" s="85">
        <v>26</v>
      </c>
      <c r="L3624" s="78"/>
      <c r="M3624" s="78"/>
      <c r="N3624" s="78"/>
      <c r="P3624" s="85"/>
    </row>
    <row r="3625" spans="11:16">
      <c r="K3625" s="85">
        <v>27</v>
      </c>
      <c r="L3625" s="78"/>
      <c r="M3625" s="78"/>
      <c r="N3625" s="78"/>
      <c r="P3625" s="85"/>
    </row>
    <row r="3626" spans="11:16">
      <c r="K3626" s="85">
        <v>28</v>
      </c>
      <c r="L3626" s="78"/>
      <c r="M3626" s="78"/>
      <c r="N3626" s="78"/>
      <c r="P3626" s="85"/>
    </row>
    <row r="3627" spans="11:16">
      <c r="K3627" s="85">
        <v>31</v>
      </c>
      <c r="L3627" s="78"/>
      <c r="M3627" s="78"/>
      <c r="N3627" s="78"/>
      <c r="P3627" s="85"/>
    </row>
    <row r="3628" spans="11:16">
      <c r="K3628" s="85">
        <v>32</v>
      </c>
      <c r="L3628" s="78"/>
      <c r="M3628" s="78"/>
      <c r="N3628" s="78"/>
      <c r="P3628" s="85"/>
    </row>
    <row r="3629" spans="11:16">
      <c r="K3629" s="85">
        <v>33</v>
      </c>
      <c r="L3629" s="78"/>
      <c r="M3629" s="78"/>
      <c r="N3629" s="78"/>
      <c r="P3629" s="85"/>
    </row>
    <row r="3630" spans="11:16">
      <c r="K3630" s="85">
        <v>34</v>
      </c>
      <c r="L3630" s="78"/>
      <c r="M3630" s="78"/>
      <c r="N3630" s="78"/>
      <c r="P3630" s="85"/>
    </row>
    <row r="3631" spans="11:16">
      <c r="K3631" s="85">
        <v>35</v>
      </c>
      <c r="L3631" s="78"/>
      <c r="M3631" s="78"/>
      <c r="N3631" s="78"/>
      <c r="P3631" s="85"/>
    </row>
    <row r="3632" spans="11:16">
      <c r="K3632" s="85">
        <v>25</v>
      </c>
      <c r="L3632" s="78"/>
      <c r="M3632" s="78"/>
      <c r="N3632" s="78"/>
      <c r="P3632" s="85"/>
    </row>
    <row r="3633" spans="11:16">
      <c r="K3633" s="85">
        <v>26</v>
      </c>
      <c r="L3633" s="78"/>
      <c r="M3633" s="78"/>
      <c r="N3633" s="78"/>
      <c r="P3633" s="85"/>
    </row>
    <row r="3634" spans="11:16">
      <c r="K3634" s="85">
        <v>27</v>
      </c>
      <c r="L3634" s="78"/>
      <c r="M3634" s="78"/>
      <c r="N3634" s="78"/>
      <c r="P3634" s="85"/>
    </row>
    <row r="3635" spans="11:16">
      <c r="K3635" s="85">
        <v>28</v>
      </c>
      <c r="L3635" s="78"/>
      <c r="M3635" s="78"/>
      <c r="N3635" s="78"/>
      <c r="P3635" s="85"/>
    </row>
    <row r="3636" spans="11:16">
      <c r="K3636" s="85">
        <v>29</v>
      </c>
      <c r="L3636" s="78"/>
      <c r="M3636" s="78"/>
      <c r="N3636" s="78"/>
      <c r="P3636" s="85"/>
    </row>
    <row r="3637" spans="11:16">
      <c r="K3637" s="85">
        <v>30</v>
      </c>
      <c r="L3637" s="78"/>
      <c r="M3637" s="78"/>
      <c r="N3637" s="78"/>
      <c r="P3637" s="85"/>
    </row>
    <row r="3638" spans="11:16">
      <c r="K3638" s="85">
        <v>31</v>
      </c>
      <c r="L3638" s="78"/>
      <c r="M3638" s="78"/>
      <c r="N3638" s="78"/>
      <c r="P3638" s="85"/>
    </row>
    <row r="3639" spans="11:16">
      <c r="K3639" s="85">
        <v>32</v>
      </c>
      <c r="L3639" s="78"/>
      <c r="M3639" s="78"/>
      <c r="N3639" s="78"/>
      <c r="P3639" s="85"/>
    </row>
    <row r="3640" spans="11:16">
      <c r="K3640" s="85">
        <v>33</v>
      </c>
      <c r="L3640" s="78"/>
      <c r="M3640" s="78"/>
      <c r="N3640" s="78"/>
      <c r="P3640" s="85"/>
    </row>
    <row r="3641" spans="11:16">
      <c r="K3641" s="85">
        <v>34</v>
      </c>
      <c r="L3641" s="78"/>
      <c r="M3641" s="78"/>
      <c r="N3641" s="78"/>
      <c r="P3641" s="85"/>
    </row>
    <row r="3642" spans="11:16">
      <c r="K3642" s="85">
        <v>35</v>
      </c>
      <c r="L3642" s="78"/>
      <c r="M3642" s="78"/>
      <c r="N3642" s="78"/>
      <c r="P3642" s="85"/>
    </row>
    <row r="3643" spans="11:16">
      <c r="K3643" s="85">
        <v>36</v>
      </c>
      <c r="L3643" s="78"/>
      <c r="M3643" s="78"/>
      <c r="N3643" s="78"/>
      <c r="P3643" s="85"/>
    </row>
    <row r="3644" spans="11:16">
      <c r="K3644" s="85">
        <v>25</v>
      </c>
      <c r="L3644" s="78"/>
      <c r="M3644" s="78"/>
      <c r="N3644" s="78"/>
      <c r="P3644" s="85"/>
    </row>
    <row r="3645" spans="11:16">
      <c r="K3645" s="85">
        <v>26</v>
      </c>
      <c r="L3645" s="78"/>
      <c r="M3645" s="78"/>
      <c r="N3645" s="78"/>
      <c r="P3645" s="85"/>
    </row>
    <row r="3646" spans="11:16">
      <c r="K3646" s="85">
        <v>27</v>
      </c>
      <c r="L3646" s="78"/>
      <c r="M3646" s="78"/>
      <c r="N3646" s="78"/>
      <c r="P3646" s="85"/>
    </row>
    <row r="3647" spans="11:16">
      <c r="K3647" s="85">
        <v>28</v>
      </c>
      <c r="L3647" s="78"/>
      <c r="M3647" s="78"/>
      <c r="N3647" s="78"/>
      <c r="P3647" s="85"/>
    </row>
    <row r="3648" spans="11:16">
      <c r="K3648" s="85">
        <v>29</v>
      </c>
      <c r="L3648" s="78"/>
      <c r="M3648" s="78"/>
      <c r="N3648" s="78"/>
      <c r="P3648" s="85"/>
    </row>
    <row r="3649" spans="11:16">
      <c r="K3649" s="85">
        <v>30</v>
      </c>
      <c r="L3649" s="78"/>
      <c r="M3649" s="78"/>
      <c r="N3649" s="78"/>
      <c r="P3649" s="85"/>
    </row>
    <row r="3650" spans="11:16">
      <c r="K3650" s="85">
        <v>31</v>
      </c>
      <c r="L3650" s="78"/>
      <c r="M3650" s="78"/>
      <c r="N3650" s="78"/>
      <c r="P3650" s="85"/>
    </row>
    <row r="3651" spans="11:16">
      <c r="K3651" s="85">
        <v>32</v>
      </c>
      <c r="L3651" s="78"/>
      <c r="M3651" s="78"/>
      <c r="N3651" s="78"/>
      <c r="P3651" s="85"/>
    </row>
    <row r="3652" spans="11:16">
      <c r="K3652" s="85">
        <v>34</v>
      </c>
      <c r="L3652" s="78"/>
      <c r="M3652" s="78"/>
      <c r="N3652" s="78"/>
      <c r="P3652" s="85"/>
    </row>
    <row r="3653" spans="11:16">
      <c r="K3653" s="85">
        <v>35</v>
      </c>
      <c r="L3653" s="78"/>
      <c r="M3653" s="78"/>
      <c r="N3653" s="78"/>
      <c r="P3653" s="85"/>
    </row>
    <row r="3654" spans="11:16">
      <c r="K3654" s="85">
        <v>25</v>
      </c>
      <c r="L3654" s="78"/>
      <c r="M3654" s="78"/>
      <c r="N3654" s="78"/>
      <c r="P3654" s="85"/>
    </row>
    <row r="3655" spans="11:16">
      <c r="K3655" s="85">
        <v>27</v>
      </c>
      <c r="L3655" s="78"/>
      <c r="M3655" s="78"/>
      <c r="N3655" s="78"/>
      <c r="P3655" s="85"/>
    </row>
    <row r="3656" spans="11:16">
      <c r="K3656" s="85">
        <v>28</v>
      </c>
      <c r="L3656" s="78"/>
      <c r="M3656" s="78"/>
      <c r="N3656" s="78"/>
      <c r="P3656" s="85"/>
    </row>
    <row r="3657" spans="11:16">
      <c r="K3657" s="85">
        <v>30</v>
      </c>
      <c r="L3657" s="78"/>
      <c r="M3657" s="78"/>
      <c r="N3657" s="78"/>
      <c r="P3657" s="85"/>
    </row>
    <row r="3658" spans="11:16">
      <c r="K3658" s="85">
        <v>31</v>
      </c>
      <c r="L3658" s="78"/>
      <c r="M3658" s="78"/>
      <c r="N3658" s="78"/>
      <c r="P3658" s="85"/>
    </row>
    <row r="3659" spans="11:16">
      <c r="K3659" s="85">
        <v>32</v>
      </c>
      <c r="L3659" s="78"/>
      <c r="M3659" s="78"/>
      <c r="N3659" s="78"/>
      <c r="P3659" s="85"/>
    </row>
    <row r="3660" spans="11:16">
      <c r="K3660" s="85">
        <v>34</v>
      </c>
      <c r="L3660" s="78"/>
      <c r="M3660" s="78"/>
      <c r="N3660" s="78"/>
      <c r="P3660" s="85"/>
    </row>
    <row r="3661" spans="11:16">
      <c r="K3661" s="85">
        <v>25</v>
      </c>
      <c r="L3661" s="78"/>
      <c r="M3661" s="78"/>
      <c r="N3661" s="78"/>
      <c r="P3661" s="85"/>
    </row>
    <row r="3662" spans="11:16">
      <c r="K3662" s="85">
        <v>26</v>
      </c>
      <c r="L3662" s="78"/>
      <c r="M3662" s="78"/>
      <c r="N3662" s="78"/>
      <c r="P3662" s="85"/>
    </row>
    <row r="3663" spans="11:16">
      <c r="K3663" s="85">
        <v>27</v>
      </c>
      <c r="L3663" s="78"/>
      <c r="M3663" s="78"/>
      <c r="N3663" s="78"/>
      <c r="P3663" s="85"/>
    </row>
    <row r="3664" spans="11:16">
      <c r="K3664" s="85">
        <v>28</v>
      </c>
      <c r="L3664" s="78"/>
      <c r="M3664" s="78"/>
      <c r="N3664" s="78"/>
      <c r="P3664" s="85"/>
    </row>
    <row r="3665" spans="11:16">
      <c r="K3665" s="85">
        <v>29</v>
      </c>
      <c r="L3665" s="78"/>
      <c r="M3665" s="78"/>
      <c r="N3665" s="78"/>
      <c r="P3665" s="85"/>
    </row>
    <row r="3666" spans="11:16">
      <c r="K3666" s="85">
        <v>30</v>
      </c>
      <c r="L3666" s="78"/>
      <c r="M3666" s="78"/>
      <c r="N3666" s="78"/>
      <c r="P3666" s="85"/>
    </row>
    <row r="3667" spans="11:16">
      <c r="K3667" s="85">
        <v>31</v>
      </c>
      <c r="L3667" s="78"/>
      <c r="M3667" s="78"/>
      <c r="N3667" s="78"/>
      <c r="P3667" s="85"/>
    </row>
    <row r="3668" spans="11:16">
      <c r="K3668" s="85">
        <v>32</v>
      </c>
      <c r="L3668" s="78"/>
      <c r="M3668" s="78"/>
      <c r="N3668" s="78"/>
      <c r="P3668" s="85"/>
    </row>
    <row r="3669" spans="11:16">
      <c r="K3669" s="85">
        <v>34</v>
      </c>
      <c r="L3669" s="78"/>
      <c r="M3669" s="78"/>
      <c r="N3669" s="78"/>
      <c r="P3669" s="85"/>
    </row>
    <row r="3670" spans="11:16">
      <c r="K3670" s="85">
        <v>35</v>
      </c>
      <c r="L3670" s="78"/>
      <c r="M3670" s="78"/>
      <c r="N3670" s="78"/>
      <c r="P3670" s="85"/>
    </row>
    <row r="3671" spans="11:16">
      <c r="K3671" s="85">
        <v>36</v>
      </c>
      <c r="L3671" s="78"/>
      <c r="M3671" s="78"/>
      <c r="N3671" s="78"/>
      <c r="P3671" s="85"/>
    </row>
    <row r="3672" spans="11:16">
      <c r="K3672" s="85">
        <v>25</v>
      </c>
      <c r="L3672" s="78"/>
      <c r="M3672" s="78"/>
      <c r="N3672" s="78"/>
      <c r="P3672" s="85"/>
    </row>
    <row r="3673" spans="11:16">
      <c r="K3673" s="85">
        <v>27</v>
      </c>
      <c r="L3673" s="78"/>
      <c r="M3673" s="78"/>
      <c r="N3673" s="78"/>
      <c r="P3673" s="85"/>
    </row>
    <row r="3674" spans="11:16">
      <c r="K3674" s="85">
        <v>28</v>
      </c>
      <c r="L3674" s="78"/>
      <c r="M3674" s="78"/>
      <c r="N3674" s="78"/>
      <c r="P3674" s="85"/>
    </row>
    <row r="3675" spans="11:16">
      <c r="K3675" s="85">
        <v>29</v>
      </c>
      <c r="L3675" s="78"/>
      <c r="M3675" s="78"/>
      <c r="N3675" s="78"/>
      <c r="P3675" s="85"/>
    </row>
    <row r="3676" spans="11:16">
      <c r="K3676" s="85">
        <v>30</v>
      </c>
      <c r="L3676" s="78"/>
      <c r="M3676" s="78"/>
      <c r="N3676" s="78"/>
      <c r="P3676" s="85"/>
    </row>
    <row r="3677" spans="11:16">
      <c r="K3677" s="85">
        <v>31</v>
      </c>
      <c r="L3677" s="78"/>
      <c r="M3677" s="78"/>
      <c r="N3677" s="78"/>
      <c r="P3677" s="85"/>
    </row>
    <row r="3678" spans="11:16">
      <c r="K3678" s="85">
        <v>32</v>
      </c>
      <c r="L3678" s="78"/>
      <c r="M3678" s="78"/>
      <c r="N3678" s="78"/>
      <c r="P3678" s="85"/>
    </row>
    <row r="3679" spans="11:16">
      <c r="K3679" s="85">
        <v>33</v>
      </c>
      <c r="L3679" s="78"/>
      <c r="M3679" s="78"/>
      <c r="N3679" s="78"/>
      <c r="P3679" s="85"/>
    </row>
    <row r="3680" spans="11:16">
      <c r="K3680" s="85">
        <v>34</v>
      </c>
      <c r="L3680" s="78"/>
      <c r="M3680" s="78"/>
      <c r="N3680" s="78"/>
      <c r="P3680" s="85"/>
    </row>
    <row r="3681" spans="11:16">
      <c r="K3681" s="85">
        <v>35</v>
      </c>
      <c r="L3681" s="78"/>
      <c r="M3681" s="78"/>
      <c r="N3681" s="78"/>
      <c r="P3681" s="85"/>
    </row>
    <row r="3682" spans="11:16">
      <c r="K3682" s="85">
        <v>36</v>
      </c>
      <c r="L3682" s="78"/>
      <c r="M3682" s="78"/>
      <c r="N3682" s="78"/>
      <c r="P3682" s="85"/>
    </row>
    <row r="3683" spans="11:16">
      <c r="K3683" s="85">
        <v>25</v>
      </c>
      <c r="L3683" s="78"/>
      <c r="M3683" s="78"/>
      <c r="N3683" s="78"/>
      <c r="P3683" s="85"/>
    </row>
    <row r="3684" spans="11:16">
      <c r="K3684" s="85">
        <v>26</v>
      </c>
      <c r="L3684" s="78"/>
      <c r="M3684" s="78"/>
      <c r="N3684" s="78"/>
      <c r="P3684" s="85"/>
    </row>
    <row r="3685" spans="11:16">
      <c r="K3685" s="85">
        <v>27</v>
      </c>
      <c r="L3685" s="78"/>
      <c r="M3685" s="78"/>
      <c r="N3685" s="78"/>
      <c r="P3685" s="85"/>
    </row>
    <row r="3686" spans="11:16">
      <c r="K3686" s="85">
        <v>28</v>
      </c>
      <c r="L3686" s="78"/>
      <c r="M3686" s="78"/>
      <c r="N3686" s="78"/>
      <c r="P3686" s="85"/>
    </row>
    <row r="3687" spans="11:16">
      <c r="K3687" s="85">
        <v>29</v>
      </c>
      <c r="L3687" s="78"/>
      <c r="M3687" s="78"/>
      <c r="N3687" s="78"/>
      <c r="P3687" s="85"/>
    </row>
    <row r="3688" spans="11:16">
      <c r="K3688" s="85">
        <v>30</v>
      </c>
      <c r="L3688" s="78"/>
      <c r="M3688" s="78"/>
      <c r="N3688" s="78"/>
      <c r="P3688" s="85"/>
    </row>
    <row r="3689" spans="11:16">
      <c r="K3689" s="85">
        <v>31</v>
      </c>
      <c r="L3689" s="78"/>
      <c r="M3689" s="78"/>
      <c r="N3689" s="78"/>
      <c r="P3689" s="85"/>
    </row>
    <row r="3690" spans="11:16">
      <c r="K3690" s="85">
        <v>32</v>
      </c>
      <c r="L3690" s="78"/>
      <c r="M3690" s="78"/>
      <c r="N3690" s="78"/>
      <c r="P3690" s="85"/>
    </row>
    <row r="3691" spans="11:16">
      <c r="K3691" s="85">
        <v>33</v>
      </c>
      <c r="L3691" s="78"/>
      <c r="M3691" s="78"/>
      <c r="N3691" s="78"/>
      <c r="P3691" s="85"/>
    </row>
    <row r="3692" spans="11:16">
      <c r="K3692" s="85">
        <v>34</v>
      </c>
      <c r="L3692" s="78"/>
      <c r="M3692" s="78"/>
      <c r="N3692" s="78"/>
      <c r="P3692" s="85"/>
    </row>
    <row r="3693" spans="11:16">
      <c r="K3693" s="85">
        <v>35</v>
      </c>
      <c r="L3693" s="78"/>
      <c r="M3693" s="78"/>
      <c r="N3693" s="78"/>
      <c r="P3693" s="85"/>
    </row>
    <row r="3694" spans="11:16">
      <c r="K3694" s="85">
        <v>36</v>
      </c>
      <c r="L3694" s="78"/>
      <c r="M3694" s="78"/>
      <c r="N3694" s="78"/>
      <c r="P3694" s="85"/>
    </row>
    <row r="3695" spans="11:16">
      <c r="K3695" s="85">
        <v>25</v>
      </c>
      <c r="L3695" s="78"/>
      <c r="M3695" s="78"/>
      <c r="N3695" s="78"/>
      <c r="P3695" s="85"/>
    </row>
    <row r="3696" spans="11:16">
      <c r="K3696" s="85">
        <v>26</v>
      </c>
      <c r="L3696" s="78"/>
      <c r="M3696" s="78"/>
      <c r="N3696" s="78"/>
      <c r="P3696" s="85"/>
    </row>
    <row r="3697" spans="11:16">
      <c r="K3697" s="85">
        <v>27</v>
      </c>
      <c r="L3697" s="78"/>
      <c r="M3697" s="78"/>
      <c r="N3697" s="78"/>
      <c r="P3697" s="85"/>
    </row>
    <row r="3698" spans="11:16">
      <c r="K3698" s="85">
        <v>28</v>
      </c>
      <c r="L3698" s="78"/>
      <c r="M3698" s="78"/>
      <c r="N3698" s="78"/>
      <c r="P3698" s="85"/>
    </row>
    <row r="3699" spans="11:16">
      <c r="K3699" s="85">
        <v>29</v>
      </c>
      <c r="L3699" s="78"/>
      <c r="M3699" s="78"/>
      <c r="N3699" s="78"/>
      <c r="P3699" s="85"/>
    </row>
    <row r="3700" spans="11:16">
      <c r="K3700" s="85">
        <v>30</v>
      </c>
      <c r="L3700" s="78"/>
      <c r="M3700" s="78"/>
      <c r="N3700" s="78"/>
      <c r="P3700" s="85"/>
    </row>
    <row r="3701" spans="11:16">
      <c r="K3701" s="85">
        <v>31</v>
      </c>
      <c r="L3701" s="78"/>
      <c r="M3701" s="78"/>
      <c r="N3701" s="78"/>
      <c r="P3701" s="85"/>
    </row>
    <row r="3702" spans="11:16">
      <c r="K3702" s="85">
        <v>32</v>
      </c>
      <c r="L3702" s="78"/>
      <c r="M3702" s="78"/>
      <c r="N3702" s="78"/>
      <c r="P3702" s="85"/>
    </row>
    <row r="3703" spans="11:16">
      <c r="K3703" s="85">
        <v>33</v>
      </c>
      <c r="L3703" s="78"/>
      <c r="M3703" s="78"/>
      <c r="N3703" s="78"/>
      <c r="P3703" s="85"/>
    </row>
    <row r="3704" spans="11:16">
      <c r="K3704" s="85">
        <v>35</v>
      </c>
      <c r="L3704" s="78"/>
      <c r="M3704" s="78"/>
      <c r="N3704" s="78"/>
      <c r="P3704" s="85"/>
    </row>
    <row r="3705" spans="11:16">
      <c r="K3705" s="85">
        <v>26</v>
      </c>
      <c r="L3705" s="78"/>
      <c r="M3705" s="78"/>
      <c r="N3705" s="78"/>
      <c r="P3705" s="85"/>
    </row>
    <row r="3706" spans="11:16">
      <c r="K3706" s="85">
        <v>34</v>
      </c>
      <c r="L3706" s="78"/>
      <c r="M3706" s="78"/>
      <c r="N3706" s="78"/>
      <c r="P3706" s="85"/>
    </row>
    <row r="3707" spans="11:16">
      <c r="K3707" s="85">
        <v>25</v>
      </c>
      <c r="L3707" s="78"/>
      <c r="M3707" s="78"/>
      <c r="N3707" s="78"/>
      <c r="P3707" s="85"/>
    </row>
    <row r="3708" spans="11:16">
      <c r="K3708" s="85">
        <v>27</v>
      </c>
      <c r="L3708" s="78"/>
      <c r="M3708" s="78"/>
      <c r="N3708" s="78"/>
      <c r="P3708" s="85"/>
    </row>
    <row r="3709" spans="11:16">
      <c r="K3709" s="85">
        <v>28</v>
      </c>
      <c r="L3709" s="78"/>
      <c r="M3709" s="78"/>
      <c r="N3709" s="78"/>
      <c r="P3709" s="85"/>
    </row>
    <row r="3710" spans="11:16">
      <c r="K3710" s="85">
        <v>31</v>
      </c>
      <c r="L3710" s="78"/>
      <c r="M3710" s="78"/>
      <c r="N3710" s="78"/>
      <c r="P3710" s="85"/>
    </row>
    <row r="3711" spans="11:16">
      <c r="K3711" s="85">
        <v>32</v>
      </c>
      <c r="L3711" s="78"/>
      <c r="M3711" s="78"/>
      <c r="N3711" s="78"/>
      <c r="P3711" s="85"/>
    </row>
    <row r="3712" spans="11:16">
      <c r="K3712" s="85">
        <v>34</v>
      </c>
      <c r="L3712" s="78"/>
      <c r="M3712" s="78"/>
      <c r="N3712" s="78"/>
      <c r="P3712" s="85"/>
    </row>
    <row r="3713" spans="11:16">
      <c r="K3713" s="85">
        <v>35</v>
      </c>
      <c r="L3713" s="78"/>
      <c r="M3713" s="78"/>
      <c r="N3713" s="78"/>
      <c r="P3713" s="85"/>
    </row>
    <row r="3714" spans="11:16">
      <c r="K3714" s="85">
        <v>27</v>
      </c>
      <c r="L3714" s="78"/>
      <c r="M3714" s="78"/>
      <c r="N3714" s="78"/>
      <c r="P3714" s="85"/>
    </row>
    <row r="3715" spans="11:16">
      <c r="K3715" s="85">
        <v>28</v>
      </c>
      <c r="L3715" s="78"/>
      <c r="M3715" s="78"/>
      <c r="N3715" s="78"/>
      <c r="P3715" s="85"/>
    </row>
    <row r="3716" spans="11:16">
      <c r="K3716" s="85">
        <v>30</v>
      </c>
      <c r="L3716" s="78"/>
      <c r="M3716" s="78"/>
      <c r="N3716" s="78"/>
      <c r="P3716" s="85"/>
    </row>
    <row r="3717" spans="11:16">
      <c r="K3717" s="85">
        <v>31</v>
      </c>
      <c r="L3717" s="78"/>
      <c r="M3717" s="78"/>
      <c r="N3717" s="78"/>
      <c r="P3717" s="85"/>
    </row>
    <row r="3718" spans="11:16">
      <c r="K3718" s="85">
        <v>32</v>
      </c>
      <c r="L3718" s="78"/>
      <c r="M3718" s="78"/>
      <c r="N3718" s="78"/>
      <c r="P3718" s="85"/>
    </row>
    <row r="3719" spans="11:16">
      <c r="K3719" s="85">
        <v>33</v>
      </c>
      <c r="L3719" s="78"/>
      <c r="M3719" s="78"/>
      <c r="N3719" s="78"/>
      <c r="P3719" s="85"/>
    </row>
    <row r="3720" spans="11:16">
      <c r="K3720" s="85">
        <v>34</v>
      </c>
      <c r="L3720" s="78"/>
      <c r="M3720" s="78"/>
      <c r="N3720" s="78"/>
      <c r="P3720" s="85"/>
    </row>
    <row r="3721" spans="11:16">
      <c r="K3721" s="85">
        <v>35</v>
      </c>
      <c r="L3721" s="78"/>
      <c r="M3721" s="78"/>
      <c r="N3721" s="78"/>
      <c r="P3721" s="85"/>
    </row>
    <row r="3722" spans="11:16">
      <c r="K3722" s="85">
        <v>36</v>
      </c>
      <c r="L3722" s="78"/>
      <c r="M3722" s="78"/>
      <c r="N3722" s="78"/>
      <c r="P3722" s="85"/>
    </row>
    <row r="3723" spans="11:16">
      <c r="K3723" s="85">
        <v>27</v>
      </c>
      <c r="L3723" s="78"/>
      <c r="M3723" s="78"/>
      <c r="N3723" s="78"/>
      <c r="P3723" s="85"/>
    </row>
    <row r="3724" spans="11:16">
      <c r="K3724" s="85">
        <v>31</v>
      </c>
      <c r="L3724" s="78"/>
      <c r="M3724" s="78"/>
      <c r="N3724" s="78"/>
      <c r="P3724" s="85"/>
    </row>
    <row r="3725" spans="11:16">
      <c r="K3725" s="85">
        <v>33</v>
      </c>
      <c r="L3725" s="78"/>
      <c r="M3725" s="78"/>
      <c r="N3725" s="78"/>
      <c r="P3725" s="85"/>
    </row>
    <row r="3726" spans="11:16">
      <c r="K3726" s="85">
        <v>34</v>
      </c>
      <c r="L3726" s="78"/>
      <c r="M3726" s="78"/>
      <c r="N3726" s="78"/>
      <c r="P3726" s="85"/>
    </row>
    <row r="3727" spans="11:16">
      <c r="K3727" s="85">
        <v>35</v>
      </c>
      <c r="L3727" s="78"/>
      <c r="M3727" s="78"/>
      <c r="N3727" s="78"/>
      <c r="P3727" s="85"/>
    </row>
    <row r="3728" spans="11:16">
      <c r="K3728" s="85">
        <v>25</v>
      </c>
      <c r="L3728" s="78"/>
      <c r="M3728" s="78"/>
      <c r="N3728" s="78"/>
      <c r="P3728" s="85"/>
    </row>
    <row r="3729" spans="11:16">
      <c r="K3729" s="85">
        <v>26</v>
      </c>
      <c r="L3729" s="78"/>
      <c r="M3729" s="78"/>
      <c r="N3729" s="78"/>
      <c r="P3729" s="85"/>
    </row>
    <row r="3730" spans="11:16">
      <c r="K3730" s="85">
        <v>27</v>
      </c>
      <c r="L3730" s="78"/>
      <c r="M3730" s="78"/>
      <c r="N3730" s="78"/>
      <c r="P3730" s="85"/>
    </row>
    <row r="3731" spans="11:16">
      <c r="K3731" s="85">
        <v>28</v>
      </c>
      <c r="L3731" s="78"/>
      <c r="M3731" s="78"/>
      <c r="N3731" s="78"/>
      <c r="P3731" s="85"/>
    </row>
    <row r="3732" spans="11:16">
      <c r="K3732" s="85">
        <v>29</v>
      </c>
      <c r="L3732" s="78"/>
      <c r="M3732" s="78"/>
      <c r="N3732" s="78"/>
      <c r="P3732" s="85"/>
    </row>
    <row r="3733" spans="11:16">
      <c r="K3733" s="85">
        <v>30</v>
      </c>
      <c r="L3733" s="78"/>
      <c r="M3733" s="78"/>
      <c r="N3733" s="78"/>
      <c r="P3733" s="85"/>
    </row>
    <row r="3734" spans="11:16">
      <c r="K3734" s="85">
        <v>34</v>
      </c>
      <c r="L3734" s="78"/>
      <c r="M3734" s="78"/>
      <c r="N3734" s="78"/>
      <c r="P3734" s="85"/>
    </row>
    <row r="3735" spans="11:16">
      <c r="K3735" s="85">
        <v>35</v>
      </c>
      <c r="L3735" s="78"/>
      <c r="M3735" s="78"/>
      <c r="N3735" s="78"/>
      <c r="P3735" s="85"/>
    </row>
    <row r="3736" spans="11:16">
      <c r="K3736" s="85">
        <v>25</v>
      </c>
      <c r="L3736" s="78"/>
      <c r="M3736" s="78"/>
      <c r="N3736" s="78"/>
      <c r="P3736" s="85"/>
    </row>
    <row r="3737" spans="11:16">
      <c r="K3737" s="85">
        <v>26</v>
      </c>
      <c r="L3737" s="78"/>
      <c r="M3737" s="78"/>
      <c r="N3737" s="78"/>
      <c r="P3737" s="85"/>
    </row>
    <row r="3738" spans="11:16">
      <c r="K3738" s="85">
        <v>27</v>
      </c>
      <c r="L3738" s="78"/>
      <c r="M3738" s="78"/>
      <c r="N3738" s="78"/>
      <c r="P3738" s="85"/>
    </row>
    <row r="3739" spans="11:16">
      <c r="K3739" s="85">
        <v>28</v>
      </c>
      <c r="L3739" s="78"/>
      <c r="M3739" s="78"/>
      <c r="N3739" s="78"/>
      <c r="P3739" s="85"/>
    </row>
    <row r="3740" spans="11:16">
      <c r="K3740" s="85">
        <v>29</v>
      </c>
      <c r="L3740" s="78"/>
      <c r="M3740" s="78"/>
      <c r="N3740" s="78"/>
      <c r="P3740" s="85"/>
    </row>
    <row r="3741" spans="11:16">
      <c r="K3741" s="85">
        <v>31</v>
      </c>
      <c r="L3741" s="78"/>
      <c r="M3741" s="78"/>
      <c r="N3741" s="78"/>
      <c r="P3741" s="85"/>
    </row>
    <row r="3742" spans="11:16">
      <c r="K3742" s="85">
        <v>32</v>
      </c>
      <c r="L3742" s="78"/>
      <c r="M3742" s="78"/>
      <c r="N3742" s="78"/>
      <c r="P3742" s="85"/>
    </row>
    <row r="3743" spans="11:16">
      <c r="K3743" s="85">
        <v>33</v>
      </c>
      <c r="L3743" s="78"/>
      <c r="M3743" s="78"/>
      <c r="N3743" s="78"/>
      <c r="P3743" s="85"/>
    </row>
    <row r="3744" spans="11:16">
      <c r="K3744" s="85">
        <v>34</v>
      </c>
      <c r="L3744" s="78"/>
      <c r="M3744" s="78"/>
      <c r="N3744" s="78"/>
      <c r="P3744" s="85"/>
    </row>
    <row r="3745" spans="11:16">
      <c r="K3745" s="85">
        <v>35</v>
      </c>
      <c r="L3745" s="78"/>
      <c r="M3745" s="78"/>
      <c r="N3745" s="78"/>
      <c r="P3745" s="85"/>
    </row>
    <row r="3746" spans="11:16">
      <c r="K3746" s="85">
        <v>36</v>
      </c>
      <c r="L3746" s="78"/>
      <c r="M3746" s="78"/>
      <c r="N3746" s="78"/>
      <c r="P3746" s="85"/>
    </row>
    <row r="3747" spans="11:16">
      <c r="K3747" s="85">
        <v>25</v>
      </c>
      <c r="L3747" s="78"/>
      <c r="M3747" s="78"/>
      <c r="N3747" s="78"/>
      <c r="P3747" s="85"/>
    </row>
    <row r="3748" spans="11:16">
      <c r="K3748" s="85">
        <v>27</v>
      </c>
      <c r="L3748" s="78"/>
      <c r="M3748" s="78"/>
      <c r="N3748" s="78"/>
      <c r="P3748" s="85"/>
    </row>
    <row r="3749" spans="11:16">
      <c r="K3749" s="85">
        <v>32</v>
      </c>
      <c r="L3749" s="78"/>
      <c r="M3749" s="78"/>
      <c r="N3749" s="78"/>
      <c r="P3749" s="85"/>
    </row>
    <row r="3750" spans="11:16">
      <c r="K3750" s="85">
        <v>33</v>
      </c>
      <c r="L3750" s="78"/>
      <c r="M3750" s="78"/>
      <c r="N3750" s="78"/>
      <c r="P3750" s="85"/>
    </row>
    <row r="3751" spans="11:16">
      <c r="K3751" s="85">
        <v>35</v>
      </c>
      <c r="L3751" s="78"/>
      <c r="M3751" s="78"/>
      <c r="N3751" s="78"/>
      <c r="P3751" s="85"/>
    </row>
    <row r="3752" spans="11:16">
      <c r="K3752" s="85">
        <v>25</v>
      </c>
      <c r="L3752" s="78"/>
      <c r="M3752" s="78"/>
      <c r="N3752" s="78"/>
      <c r="P3752" s="85"/>
    </row>
    <row r="3753" spans="11:16">
      <c r="K3753" s="85">
        <v>26</v>
      </c>
      <c r="L3753" s="78"/>
      <c r="M3753" s="78"/>
      <c r="N3753" s="78"/>
      <c r="P3753" s="85"/>
    </row>
    <row r="3754" spans="11:16">
      <c r="K3754" s="85">
        <v>27</v>
      </c>
      <c r="L3754" s="78"/>
      <c r="M3754" s="78"/>
      <c r="N3754" s="78"/>
      <c r="P3754" s="85"/>
    </row>
    <row r="3755" spans="11:16">
      <c r="K3755" s="85">
        <v>28</v>
      </c>
      <c r="L3755" s="78"/>
      <c r="M3755" s="78"/>
      <c r="N3755" s="78"/>
      <c r="P3755" s="85"/>
    </row>
    <row r="3756" spans="11:16">
      <c r="K3756" s="85">
        <v>29</v>
      </c>
      <c r="L3756" s="78"/>
      <c r="M3756" s="78"/>
      <c r="N3756" s="78"/>
      <c r="P3756" s="85"/>
    </row>
    <row r="3757" spans="11:16">
      <c r="K3757" s="85">
        <v>30</v>
      </c>
      <c r="L3757" s="78"/>
      <c r="M3757" s="78"/>
      <c r="N3757" s="78"/>
      <c r="P3757" s="85"/>
    </row>
    <row r="3758" spans="11:16">
      <c r="K3758" s="85">
        <v>31</v>
      </c>
      <c r="L3758" s="78"/>
      <c r="M3758" s="78"/>
      <c r="N3758" s="78"/>
      <c r="P3758" s="85"/>
    </row>
    <row r="3759" spans="11:16">
      <c r="K3759" s="85">
        <v>32</v>
      </c>
      <c r="L3759" s="78"/>
      <c r="M3759" s="78"/>
      <c r="N3759" s="78"/>
      <c r="P3759" s="85"/>
    </row>
    <row r="3760" spans="11:16">
      <c r="K3760" s="85">
        <v>34</v>
      </c>
      <c r="L3760" s="78"/>
      <c r="M3760" s="78"/>
      <c r="N3760" s="78"/>
      <c r="P3760" s="85"/>
    </row>
    <row r="3761" spans="11:16">
      <c r="K3761" s="85">
        <v>35</v>
      </c>
      <c r="L3761" s="78"/>
      <c r="M3761" s="78"/>
      <c r="N3761" s="78"/>
      <c r="P3761" s="85"/>
    </row>
    <row r="3762" spans="11:16">
      <c r="K3762" s="85">
        <v>36</v>
      </c>
      <c r="L3762" s="78"/>
      <c r="M3762" s="78"/>
      <c r="N3762" s="78"/>
      <c r="P3762" s="85"/>
    </row>
    <row r="3763" spans="11:16">
      <c r="K3763" s="85">
        <v>25</v>
      </c>
      <c r="L3763" s="78"/>
      <c r="M3763" s="78"/>
      <c r="N3763" s="78"/>
      <c r="P3763" s="85"/>
    </row>
    <row r="3764" spans="11:16">
      <c r="K3764" s="85">
        <v>26</v>
      </c>
      <c r="L3764" s="78"/>
      <c r="M3764" s="78"/>
      <c r="N3764" s="78"/>
      <c r="P3764" s="85"/>
    </row>
    <row r="3765" spans="11:16">
      <c r="K3765" s="85">
        <v>27</v>
      </c>
      <c r="L3765" s="78"/>
      <c r="M3765" s="78"/>
      <c r="N3765" s="78"/>
      <c r="P3765" s="85"/>
    </row>
    <row r="3766" spans="11:16">
      <c r="K3766" s="85">
        <v>28</v>
      </c>
      <c r="L3766" s="78"/>
      <c r="M3766" s="78"/>
      <c r="N3766" s="78"/>
      <c r="P3766" s="85"/>
    </row>
    <row r="3767" spans="11:16">
      <c r="K3767" s="85">
        <v>29</v>
      </c>
      <c r="L3767" s="78"/>
      <c r="M3767" s="78"/>
      <c r="N3767" s="78"/>
      <c r="P3767" s="85"/>
    </row>
    <row r="3768" spans="11:16">
      <c r="K3768" s="85">
        <v>30</v>
      </c>
      <c r="L3768" s="78"/>
      <c r="M3768" s="78"/>
      <c r="N3768" s="78"/>
      <c r="P3768" s="85"/>
    </row>
    <row r="3769" spans="11:16">
      <c r="K3769" s="85">
        <v>31</v>
      </c>
      <c r="L3769" s="78"/>
      <c r="M3769" s="78"/>
      <c r="N3769" s="78"/>
      <c r="P3769" s="85"/>
    </row>
    <row r="3770" spans="11:16">
      <c r="K3770" s="85">
        <v>32</v>
      </c>
      <c r="L3770" s="78"/>
      <c r="M3770" s="78"/>
      <c r="N3770" s="78"/>
      <c r="P3770" s="85"/>
    </row>
    <row r="3771" spans="11:16">
      <c r="K3771" s="85">
        <v>34</v>
      </c>
      <c r="L3771" s="78"/>
      <c r="M3771" s="78"/>
      <c r="N3771" s="78"/>
      <c r="P3771" s="85"/>
    </row>
    <row r="3772" spans="11:16">
      <c r="K3772" s="85">
        <v>35</v>
      </c>
      <c r="L3772" s="78"/>
      <c r="M3772" s="78"/>
      <c r="N3772" s="78"/>
      <c r="P3772" s="85"/>
    </row>
    <row r="3773" spans="11:16">
      <c r="K3773" s="85">
        <v>26</v>
      </c>
      <c r="L3773" s="78"/>
      <c r="M3773" s="78"/>
      <c r="N3773" s="78"/>
      <c r="P3773" s="85"/>
    </row>
    <row r="3774" spans="11:16">
      <c r="K3774" s="85">
        <v>27</v>
      </c>
      <c r="L3774" s="78"/>
      <c r="M3774" s="78"/>
      <c r="N3774" s="78"/>
      <c r="P3774" s="85"/>
    </row>
    <row r="3775" spans="11:16">
      <c r="K3775" s="85">
        <v>28</v>
      </c>
      <c r="L3775" s="78"/>
      <c r="M3775" s="78"/>
      <c r="N3775" s="78"/>
      <c r="P3775" s="85"/>
    </row>
    <row r="3776" spans="11:16">
      <c r="K3776" s="85">
        <v>29</v>
      </c>
      <c r="L3776" s="78"/>
      <c r="M3776" s="78"/>
      <c r="N3776" s="78"/>
      <c r="P3776" s="85"/>
    </row>
    <row r="3777" spans="11:16">
      <c r="K3777" s="85">
        <v>30</v>
      </c>
      <c r="L3777" s="78"/>
      <c r="M3777" s="78"/>
      <c r="N3777" s="78"/>
      <c r="P3777" s="85"/>
    </row>
    <row r="3778" spans="11:16">
      <c r="K3778" s="85">
        <v>31</v>
      </c>
      <c r="L3778" s="78"/>
      <c r="M3778" s="78"/>
      <c r="N3778" s="78"/>
      <c r="P3778" s="85"/>
    </row>
    <row r="3779" spans="11:16">
      <c r="K3779" s="85">
        <v>32</v>
      </c>
      <c r="L3779" s="78"/>
      <c r="M3779" s="78"/>
      <c r="N3779" s="78"/>
      <c r="P3779" s="85"/>
    </row>
    <row r="3780" spans="11:16">
      <c r="K3780" s="85">
        <v>33</v>
      </c>
      <c r="L3780" s="78"/>
      <c r="M3780" s="78"/>
      <c r="N3780" s="78"/>
      <c r="P3780" s="85"/>
    </row>
    <row r="3781" spans="11:16">
      <c r="K3781" s="85">
        <v>34</v>
      </c>
      <c r="L3781" s="78"/>
      <c r="M3781" s="78"/>
      <c r="N3781" s="78"/>
      <c r="P3781" s="85"/>
    </row>
    <row r="3782" spans="11:16">
      <c r="K3782" s="85">
        <v>35</v>
      </c>
      <c r="L3782" s="78"/>
      <c r="M3782" s="78"/>
      <c r="N3782" s="78"/>
      <c r="P3782" s="85"/>
    </row>
    <row r="3783" spans="11:16">
      <c r="K3783" s="85">
        <v>26</v>
      </c>
      <c r="L3783" s="78"/>
      <c r="M3783" s="78"/>
      <c r="N3783" s="78"/>
      <c r="P3783" s="85"/>
    </row>
    <row r="3784" spans="11:16">
      <c r="K3784" s="85">
        <v>28</v>
      </c>
      <c r="L3784" s="78"/>
      <c r="M3784" s="78"/>
      <c r="N3784" s="78"/>
      <c r="P3784" s="85"/>
    </row>
    <row r="3785" spans="11:16">
      <c r="K3785" s="85">
        <v>30</v>
      </c>
      <c r="L3785" s="78"/>
      <c r="M3785" s="78"/>
      <c r="N3785" s="78"/>
      <c r="P3785" s="85"/>
    </row>
    <row r="3786" spans="11:16">
      <c r="K3786" s="85">
        <v>31</v>
      </c>
      <c r="L3786" s="78"/>
      <c r="M3786" s="78"/>
      <c r="N3786" s="78"/>
      <c r="P3786" s="85"/>
    </row>
    <row r="3787" spans="11:16">
      <c r="K3787" s="85">
        <v>32</v>
      </c>
      <c r="L3787" s="78"/>
      <c r="M3787" s="78"/>
      <c r="N3787" s="78"/>
      <c r="P3787" s="85"/>
    </row>
    <row r="3788" spans="11:16">
      <c r="K3788" s="85">
        <v>35</v>
      </c>
      <c r="L3788" s="78"/>
      <c r="M3788" s="78"/>
      <c r="N3788" s="78"/>
      <c r="P3788" s="85"/>
    </row>
    <row r="3789" spans="11:16">
      <c r="K3789" s="85">
        <v>26</v>
      </c>
      <c r="L3789" s="78"/>
      <c r="M3789" s="78"/>
      <c r="N3789" s="78"/>
      <c r="P3789" s="85"/>
    </row>
    <row r="3790" spans="11:16">
      <c r="K3790" s="85">
        <v>27</v>
      </c>
      <c r="L3790" s="78"/>
      <c r="M3790" s="78"/>
      <c r="N3790" s="78"/>
      <c r="P3790" s="85"/>
    </row>
    <row r="3791" spans="11:16">
      <c r="K3791" s="85">
        <v>31</v>
      </c>
      <c r="L3791" s="78"/>
      <c r="M3791" s="78"/>
      <c r="N3791" s="78"/>
      <c r="P3791" s="85"/>
    </row>
    <row r="3792" spans="11:16">
      <c r="K3792" s="85">
        <v>32</v>
      </c>
      <c r="L3792" s="78"/>
      <c r="M3792" s="78"/>
      <c r="N3792" s="78"/>
      <c r="P3792" s="85"/>
    </row>
    <row r="3793" spans="11:16">
      <c r="K3793" s="85">
        <v>34</v>
      </c>
      <c r="L3793" s="78"/>
      <c r="M3793" s="78"/>
      <c r="N3793" s="78"/>
      <c r="P3793" s="85"/>
    </row>
    <row r="3794" spans="11:16">
      <c r="K3794" s="85">
        <v>35</v>
      </c>
      <c r="L3794" s="78"/>
      <c r="M3794" s="78"/>
      <c r="N3794" s="78"/>
      <c r="P3794" s="85"/>
    </row>
    <row r="3795" spans="11:16">
      <c r="K3795" s="85">
        <v>26</v>
      </c>
      <c r="L3795" s="78"/>
      <c r="M3795" s="78"/>
      <c r="N3795" s="78"/>
      <c r="P3795" s="85"/>
    </row>
    <row r="3796" spans="11:16">
      <c r="K3796" s="85">
        <v>27</v>
      </c>
      <c r="L3796" s="78"/>
      <c r="M3796" s="78"/>
      <c r="N3796" s="78"/>
      <c r="P3796" s="85"/>
    </row>
    <row r="3797" spans="11:16">
      <c r="K3797" s="85">
        <v>30</v>
      </c>
      <c r="L3797" s="78"/>
      <c r="M3797" s="78"/>
      <c r="N3797" s="78"/>
      <c r="P3797" s="85"/>
    </row>
    <row r="3798" spans="11:16">
      <c r="K3798" s="85">
        <v>31</v>
      </c>
      <c r="L3798" s="78"/>
      <c r="M3798" s="78"/>
      <c r="N3798" s="78"/>
      <c r="P3798" s="85"/>
    </row>
    <row r="3799" spans="11:16">
      <c r="K3799" s="85">
        <v>32</v>
      </c>
      <c r="L3799" s="78"/>
      <c r="M3799" s="78"/>
      <c r="N3799" s="78"/>
      <c r="P3799" s="85"/>
    </row>
    <row r="3800" spans="11:16">
      <c r="K3800" s="85">
        <v>33</v>
      </c>
      <c r="L3800" s="78"/>
      <c r="M3800" s="78"/>
      <c r="N3800" s="78"/>
      <c r="P3800" s="85"/>
    </row>
    <row r="3801" spans="11:16">
      <c r="K3801" s="85">
        <v>34</v>
      </c>
      <c r="L3801" s="78"/>
      <c r="M3801" s="78"/>
      <c r="N3801" s="78"/>
      <c r="P3801" s="85"/>
    </row>
    <row r="3802" spans="11:16">
      <c r="K3802" s="85">
        <v>35</v>
      </c>
      <c r="L3802" s="78"/>
      <c r="M3802" s="78"/>
      <c r="N3802" s="78"/>
      <c r="P3802" s="85"/>
    </row>
    <row r="3803" spans="11:16">
      <c r="K3803" s="85">
        <v>36</v>
      </c>
      <c r="L3803" s="78"/>
      <c r="M3803" s="78"/>
      <c r="N3803" s="78"/>
      <c r="P3803" s="85"/>
    </row>
    <row r="3804" spans="11:16">
      <c r="K3804" s="85">
        <v>26</v>
      </c>
      <c r="L3804" s="78"/>
      <c r="M3804" s="78"/>
      <c r="N3804" s="78"/>
      <c r="P3804" s="85"/>
    </row>
    <row r="3805" spans="11:16">
      <c r="K3805" s="85">
        <v>28</v>
      </c>
      <c r="L3805" s="78"/>
      <c r="M3805" s="78"/>
      <c r="N3805" s="78"/>
      <c r="P3805" s="85"/>
    </row>
    <row r="3806" spans="11:16">
      <c r="K3806" s="85">
        <v>29</v>
      </c>
      <c r="L3806" s="78"/>
      <c r="M3806" s="78"/>
      <c r="N3806" s="78"/>
      <c r="P3806" s="85"/>
    </row>
    <row r="3807" spans="11:16">
      <c r="K3807" s="85">
        <v>30</v>
      </c>
      <c r="L3807" s="78"/>
      <c r="M3807" s="78"/>
      <c r="N3807" s="78"/>
      <c r="P3807" s="85"/>
    </row>
    <row r="3808" spans="11:16">
      <c r="K3808" s="85">
        <v>31</v>
      </c>
      <c r="L3808" s="78"/>
      <c r="M3808" s="78"/>
      <c r="N3808" s="78"/>
      <c r="P3808" s="85"/>
    </row>
    <row r="3809" spans="11:16">
      <c r="K3809" s="85">
        <v>32</v>
      </c>
      <c r="L3809" s="78"/>
      <c r="M3809" s="78"/>
      <c r="N3809" s="78"/>
      <c r="P3809" s="85"/>
    </row>
    <row r="3810" spans="11:16">
      <c r="K3810" s="85">
        <v>33</v>
      </c>
      <c r="L3810" s="78"/>
      <c r="M3810" s="78"/>
      <c r="N3810" s="78"/>
      <c r="P3810" s="85"/>
    </row>
    <row r="3811" spans="11:16">
      <c r="K3811" s="85">
        <v>34</v>
      </c>
      <c r="L3811" s="78"/>
      <c r="M3811" s="78"/>
      <c r="N3811" s="78"/>
      <c r="P3811" s="85"/>
    </row>
    <row r="3812" spans="11:16">
      <c r="K3812" s="85">
        <v>35</v>
      </c>
      <c r="L3812" s="78"/>
      <c r="M3812" s="78"/>
      <c r="N3812" s="78"/>
      <c r="P3812" s="85"/>
    </row>
    <row r="3813" spans="11:16">
      <c r="K3813" s="85">
        <v>36</v>
      </c>
      <c r="L3813" s="78"/>
      <c r="M3813" s="78"/>
      <c r="N3813" s="78"/>
      <c r="P3813" s="85"/>
    </row>
    <row r="3814" spans="11:16">
      <c r="K3814" s="85">
        <v>25</v>
      </c>
      <c r="L3814" s="78"/>
      <c r="M3814" s="78"/>
      <c r="N3814" s="78"/>
      <c r="P3814" s="85"/>
    </row>
    <row r="3815" spans="11:16">
      <c r="K3815" s="85">
        <v>26</v>
      </c>
      <c r="L3815" s="78"/>
      <c r="M3815" s="78"/>
      <c r="N3815" s="78"/>
      <c r="P3815" s="85"/>
    </row>
    <row r="3816" spans="11:16">
      <c r="K3816" s="85">
        <v>27</v>
      </c>
      <c r="L3816" s="78"/>
      <c r="M3816" s="78"/>
      <c r="N3816" s="78"/>
      <c r="P3816" s="85"/>
    </row>
    <row r="3817" spans="11:16">
      <c r="K3817" s="85">
        <v>30</v>
      </c>
      <c r="L3817" s="78"/>
      <c r="M3817" s="78"/>
      <c r="N3817" s="78"/>
      <c r="P3817" s="85"/>
    </row>
    <row r="3818" spans="11:16">
      <c r="K3818" s="85">
        <v>31</v>
      </c>
      <c r="L3818" s="78"/>
      <c r="M3818" s="78"/>
      <c r="N3818" s="78"/>
      <c r="P3818" s="85"/>
    </row>
    <row r="3819" spans="11:16">
      <c r="K3819" s="85">
        <v>32</v>
      </c>
      <c r="L3819" s="78"/>
      <c r="M3819" s="78"/>
      <c r="N3819" s="78"/>
      <c r="P3819" s="85"/>
    </row>
    <row r="3820" spans="11:16">
      <c r="K3820" s="85">
        <v>34</v>
      </c>
      <c r="L3820" s="78"/>
      <c r="M3820" s="78"/>
      <c r="N3820" s="78"/>
      <c r="P3820" s="85"/>
    </row>
    <row r="3821" spans="11:16">
      <c r="K3821" s="85">
        <v>35</v>
      </c>
      <c r="L3821" s="78"/>
      <c r="M3821" s="78"/>
      <c r="N3821" s="78"/>
      <c r="P3821" s="85"/>
    </row>
    <row r="3822" spans="11:16">
      <c r="K3822" s="85">
        <v>36</v>
      </c>
      <c r="L3822" s="78"/>
      <c r="M3822" s="78"/>
      <c r="N3822" s="78"/>
      <c r="P3822" s="85"/>
    </row>
    <row r="3823" spans="11:16">
      <c r="K3823" s="85">
        <v>25</v>
      </c>
      <c r="L3823" s="78"/>
      <c r="M3823" s="78"/>
      <c r="N3823" s="78"/>
      <c r="P3823" s="85"/>
    </row>
    <row r="3824" spans="11:16">
      <c r="K3824" s="85">
        <v>26</v>
      </c>
      <c r="L3824" s="78"/>
      <c r="M3824" s="78"/>
      <c r="N3824" s="78"/>
      <c r="P3824" s="85"/>
    </row>
    <row r="3825" spans="11:16">
      <c r="K3825" s="85">
        <v>27</v>
      </c>
      <c r="L3825" s="78"/>
      <c r="M3825" s="78"/>
      <c r="N3825" s="78"/>
      <c r="P3825" s="85"/>
    </row>
    <row r="3826" spans="11:16">
      <c r="K3826" s="85">
        <v>32</v>
      </c>
      <c r="L3826" s="78"/>
      <c r="M3826" s="78"/>
      <c r="N3826" s="78"/>
      <c r="P3826" s="85"/>
    </row>
    <row r="3827" spans="11:16">
      <c r="K3827" s="85">
        <v>33</v>
      </c>
      <c r="L3827" s="78"/>
      <c r="M3827" s="78"/>
      <c r="N3827" s="78"/>
      <c r="P3827" s="85"/>
    </row>
    <row r="3828" spans="11:16">
      <c r="K3828" s="85">
        <v>34</v>
      </c>
      <c r="L3828" s="78"/>
      <c r="M3828" s="78"/>
      <c r="N3828" s="78"/>
      <c r="P3828" s="85"/>
    </row>
    <row r="3829" spans="11:16">
      <c r="K3829" s="85">
        <v>35</v>
      </c>
      <c r="L3829" s="78"/>
      <c r="M3829" s="78"/>
      <c r="N3829" s="78"/>
      <c r="P3829" s="85"/>
    </row>
    <row r="3830" spans="11:16">
      <c r="K3830" s="85">
        <v>36</v>
      </c>
      <c r="L3830" s="78"/>
      <c r="M3830" s="78"/>
      <c r="N3830" s="78"/>
      <c r="P3830" s="85"/>
    </row>
    <row r="3831" spans="11:16">
      <c r="K3831" s="85">
        <v>27</v>
      </c>
      <c r="L3831" s="78"/>
      <c r="M3831" s="78"/>
      <c r="N3831" s="78"/>
      <c r="P3831" s="85"/>
    </row>
    <row r="3832" spans="11:16">
      <c r="K3832" s="85">
        <v>31</v>
      </c>
      <c r="L3832" s="78"/>
      <c r="M3832" s="78"/>
      <c r="N3832" s="78"/>
      <c r="P3832" s="85"/>
    </row>
    <row r="3833" spans="11:16">
      <c r="K3833" s="85">
        <v>34</v>
      </c>
      <c r="L3833" s="78"/>
      <c r="M3833" s="78"/>
      <c r="N3833" s="78"/>
      <c r="P3833" s="85"/>
    </row>
    <row r="3834" spans="11:16">
      <c r="K3834" s="85">
        <v>25</v>
      </c>
      <c r="L3834" s="78"/>
      <c r="M3834" s="78"/>
      <c r="N3834" s="78"/>
      <c r="P3834" s="85"/>
    </row>
    <row r="3835" spans="11:16">
      <c r="K3835" s="85">
        <v>26</v>
      </c>
      <c r="L3835" s="78"/>
      <c r="M3835" s="78"/>
      <c r="N3835" s="78"/>
      <c r="P3835" s="85"/>
    </row>
    <row r="3836" spans="11:16">
      <c r="K3836" s="85">
        <v>31</v>
      </c>
      <c r="L3836" s="78"/>
      <c r="M3836" s="78"/>
      <c r="N3836" s="78"/>
      <c r="P3836" s="85"/>
    </row>
    <row r="3837" spans="11:16">
      <c r="K3837" s="85">
        <v>34</v>
      </c>
      <c r="L3837" s="78"/>
      <c r="M3837" s="78"/>
      <c r="N3837" s="78"/>
      <c r="P3837" s="85"/>
    </row>
    <row r="3838" spans="11:16">
      <c r="K3838" s="85">
        <v>35</v>
      </c>
      <c r="L3838" s="78"/>
      <c r="M3838" s="78"/>
      <c r="N3838" s="78"/>
      <c r="P3838" s="85"/>
    </row>
    <row r="3839" spans="11:16">
      <c r="K3839" s="85">
        <v>36</v>
      </c>
      <c r="L3839" s="78"/>
      <c r="M3839" s="78"/>
      <c r="N3839" s="78"/>
      <c r="P3839" s="85"/>
    </row>
    <row r="3840" spans="11:16">
      <c r="K3840" s="85">
        <v>25</v>
      </c>
      <c r="L3840" s="78"/>
      <c r="M3840" s="78"/>
      <c r="N3840" s="78"/>
      <c r="P3840" s="85"/>
    </row>
    <row r="3841" spans="11:16">
      <c r="K3841" s="85">
        <v>26</v>
      </c>
      <c r="L3841" s="78"/>
      <c r="M3841" s="78"/>
      <c r="N3841" s="78"/>
      <c r="P3841" s="85"/>
    </row>
    <row r="3842" spans="11:16">
      <c r="K3842" s="85">
        <v>30</v>
      </c>
      <c r="L3842" s="78"/>
      <c r="M3842" s="78"/>
      <c r="N3842" s="78"/>
      <c r="P3842" s="85"/>
    </row>
    <row r="3843" spans="11:16">
      <c r="K3843" s="85">
        <v>31</v>
      </c>
      <c r="L3843" s="78"/>
      <c r="M3843" s="78"/>
      <c r="N3843" s="78"/>
      <c r="P3843" s="85"/>
    </row>
    <row r="3844" spans="11:16">
      <c r="K3844" s="85">
        <v>32</v>
      </c>
      <c r="L3844" s="78"/>
      <c r="M3844" s="78"/>
      <c r="N3844" s="78"/>
      <c r="P3844" s="85"/>
    </row>
    <row r="3845" spans="11:16">
      <c r="K3845" s="85">
        <v>25</v>
      </c>
      <c r="L3845" s="78"/>
      <c r="M3845" s="78"/>
      <c r="N3845" s="78"/>
      <c r="P3845" s="85"/>
    </row>
    <row r="3846" spans="11:16">
      <c r="K3846" s="85">
        <v>26</v>
      </c>
      <c r="L3846" s="78"/>
      <c r="M3846" s="78"/>
      <c r="N3846" s="78"/>
      <c r="P3846" s="85"/>
    </row>
    <row r="3847" spans="11:16">
      <c r="K3847" s="85">
        <v>27</v>
      </c>
      <c r="L3847" s="78"/>
      <c r="M3847" s="78"/>
      <c r="N3847" s="78"/>
      <c r="P3847" s="85"/>
    </row>
    <row r="3848" spans="11:16">
      <c r="K3848" s="85">
        <v>28</v>
      </c>
      <c r="L3848" s="78"/>
      <c r="M3848" s="78"/>
      <c r="N3848" s="78"/>
      <c r="P3848" s="85"/>
    </row>
    <row r="3849" spans="11:16">
      <c r="K3849" s="85">
        <v>30</v>
      </c>
      <c r="L3849" s="78"/>
      <c r="M3849" s="78"/>
      <c r="N3849" s="78"/>
      <c r="P3849" s="85"/>
    </row>
    <row r="3850" spans="11:16">
      <c r="K3850" s="85">
        <v>31</v>
      </c>
      <c r="L3850" s="78"/>
      <c r="M3850" s="78"/>
      <c r="N3850" s="78"/>
      <c r="P3850" s="85"/>
    </row>
    <row r="3851" spans="11:16">
      <c r="K3851" s="85">
        <v>32</v>
      </c>
      <c r="L3851" s="78"/>
      <c r="M3851" s="78"/>
      <c r="N3851" s="78"/>
      <c r="P3851" s="85"/>
    </row>
    <row r="3852" spans="11:16">
      <c r="K3852" s="85">
        <v>33</v>
      </c>
      <c r="L3852" s="78"/>
      <c r="M3852" s="78"/>
      <c r="N3852" s="78"/>
      <c r="P3852" s="85"/>
    </row>
    <row r="3853" spans="11:16">
      <c r="K3853" s="85">
        <v>34</v>
      </c>
      <c r="L3853" s="78"/>
      <c r="M3853" s="78"/>
      <c r="N3853" s="78"/>
      <c r="P3853" s="85"/>
    </row>
    <row r="3854" spans="11:16">
      <c r="K3854" s="85">
        <v>35</v>
      </c>
      <c r="L3854" s="78"/>
      <c r="M3854" s="78"/>
      <c r="N3854" s="78"/>
      <c r="P3854" s="85"/>
    </row>
    <row r="3855" spans="11:16">
      <c r="K3855" s="85">
        <v>25</v>
      </c>
      <c r="L3855" s="78"/>
      <c r="M3855" s="78"/>
      <c r="N3855" s="78"/>
      <c r="P3855" s="85"/>
    </row>
    <row r="3856" spans="11:16">
      <c r="K3856" s="85">
        <v>26</v>
      </c>
      <c r="L3856" s="78"/>
      <c r="M3856" s="78"/>
      <c r="N3856" s="78"/>
      <c r="P3856" s="85"/>
    </row>
    <row r="3857" spans="11:16">
      <c r="K3857" s="85">
        <v>28</v>
      </c>
      <c r="L3857" s="78"/>
      <c r="M3857" s="78"/>
      <c r="N3857" s="78"/>
      <c r="P3857" s="85"/>
    </row>
    <row r="3858" spans="11:16">
      <c r="K3858" s="85">
        <v>29</v>
      </c>
      <c r="L3858" s="78"/>
      <c r="M3858" s="78"/>
      <c r="N3858" s="78"/>
      <c r="P3858" s="85"/>
    </row>
    <row r="3859" spans="11:16">
      <c r="K3859" s="85">
        <v>31</v>
      </c>
      <c r="L3859" s="78"/>
      <c r="M3859" s="78"/>
      <c r="N3859" s="78"/>
      <c r="P3859" s="85"/>
    </row>
    <row r="3860" spans="11:16">
      <c r="K3860" s="85">
        <v>32</v>
      </c>
      <c r="L3860" s="78"/>
      <c r="M3860" s="78"/>
      <c r="N3860" s="78"/>
      <c r="P3860" s="85"/>
    </row>
    <row r="3861" spans="11:16">
      <c r="K3861" s="85">
        <v>33</v>
      </c>
      <c r="L3861" s="78"/>
      <c r="M3861" s="78"/>
      <c r="N3861" s="78"/>
      <c r="P3861" s="85"/>
    </row>
    <row r="3862" spans="11:16">
      <c r="K3862" s="85">
        <v>34</v>
      </c>
      <c r="L3862" s="78"/>
      <c r="M3862" s="78"/>
      <c r="N3862" s="78"/>
      <c r="P3862" s="85"/>
    </row>
    <row r="3863" spans="11:16">
      <c r="K3863" s="85">
        <v>25</v>
      </c>
      <c r="L3863" s="78"/>
      <c r="M3863" s="78"/>
      <c r="N3863" s="78"/>
      <c r="P3863" s="85"/>
    </row>
    <row r="3864" spans="11:16">
      <c r="K3864" s="85">
        <v>26</v>
      </c>
      <c r="L3864" s="78"/>
      <c r="M3864" s="78"/>
      <c r="N3864" s="78"/>
      <c r="P3864" s="85"/>
    </row>
    <row r="3865" spans="11:16">
      <c r="K3865" s="85">
        <v>27</v>
      </c>
      <c r="L3865" s="78"/>
      <c r="M3865" s="78"/>
      <c r="N3865" s="78"/>
      <c r="P3865" s="85"/>
    </row>
    <row r="3866" spans="11:16">
      <c r="K3866" s="85">
        <v>28</v>
      </c>
      <c r="L3866" s="78"/>
      <c r="M3866" s="78"/>
      <c r="N3866" s="78"/>
      <c r="P3866" s="85"/>
    </row>
    <row r="3867" spans="11:16">
      <c r="K3867" s="85">
        <v>29</v>
      </c>
      <c r="L3867" s="78"/>
      <c r="M3867" s="78"/>
      <c r="N3867" s="78"/>
      <c r="P3867" s="85"/>
    </row>
    <row r="3868" spans="11:16">
      <c r="K3868" s="85">
        <v>30</v>
      </c>
      <c r="L3868" s="78"/>
      <c r="M3868" s="78"/>
      <c r="N3868" s="78"/>
      <c r="P3868" s="85"/>
    </row>
    <row r="3869" spans="11:16">
      <c r="K3869" s="85">
        <v>31</v>
      </c>
      <c r="L3869" s="78"/>
      <c r="M3869" s="78"/>
      <c r="N3869" s="78"/>
      <c r="P3869" s="85"/>
    </row>
    <row r="3870" spans="11:16">
      <c r="K3870" s="85">
        <v>32</v>
      </c>
      <c r="L3870" s="78"/>
      <c r="M3870" s="78"/>
      <c r="N3870" s="78"/>
      <c r="P3870" s="85"/>
    </row>
    <row r="3871" spans="11:16">
      <c r="K3871" s="85">
        <v>34</v>
      </c>
      <c r="L3871" s="78"/>
      <c r="M3871" s="78"/>
      <c r="N3871" s="78"/>
      <c r="P3871" s="85"/>
    </row>
    <row r="3872" spans="11:16">
      <c r="K3872" s="85">
        <v>35</v>
      </c>
      <c r="L3872" s="78"/>
      <c r="M3872" s="78"/>
      <c r="N3872" s="78"/>
      <c r="P3872" s="85"/>
    </row>
    <row r="3873" spans="11:16">
      <c r="K3873" s="85">
        <v>36</v>
      </c>
      <c r="L3873" s="78"/>
      <c r="M3873" s="78"/>
      <c r="N3873" s="78"/>
      <c r="P3873" s="85"/>
    </row>
    <row r="3874" spans="11:16">
      <c r="K3874" s="85">
        <v>26</v>
      </c>
      <c r="L3874" s="78"/>
      <c r="M3874" s="78"/>
      <c r="N3874" s="78"/>
      <c r="P3874" s="85"/>
    </row>
    <row r="3875" spans="11:16">
      <c r="K3875" s="85">
        <v>27</v>
      </c>
      <c r="L3875" s="78"/>
      <c r="M3875" s="78"/>
      <c r="N3875" s="78"/>
      <c r="P3875" s="85"/>
    </row>
    <row r="3876" spans="11:16">
      <c r="K3876" s="85">
        <v>28</v>
      </c>
      <c r="L3876" s="78"/>
      <c r="M3876" s="78"/>
      <c r="N3876" s="78"/>
      <c r="P3876" s="85"/>
    </row>
    <row r="3877" spans="11:16">
      <c r="K3877" s="85">
        <v>29</v>
      </c>
      <c r="L3877" s="78"/>
      <c r="M3877" s="78"/>
      <c r="N3877" s="78"/>
      <c r="P3877" s="85"/>
    </row>
    <row r="3878" spans="11:16">
      <c r="K3878" s="85">
        <v>30</v>
      </c>
      <c r="L3878" s="78"/>
      <c r="M3878" s="78"/>
      <c r="N3878" s="78"/>
      <c r="P3878" s="85"/>
    </row>
    <row r="3879" spans="11:16">
      <c r="K3879" s="85">
        <v>31</v>
      </c>
      <c r="L3879" s="78"/>
      <c r="M3879" s="78"/>
      <c r="N3879" s="78"/>
      <c r="P3879" s="85"/>
    </row>
    <row r="3880" spans="11:16">
      <c r="K3880" s="85">
        <v>32</v>
      </c>
      <c r="L3880" s="78"/>
      <c r="M3880" s="78"/>
      <c r="N3880" s="78"/>
      <c r="P3880" s="85"/>
    </row>
    <row r="3881" spans="11:16">
      <c r="K3881" s="85">
        <v>33</v>
      </c>
      <c r="L3881" s="78"/>
      <c r="M3881" s="78"/>
      <c r="N3881" s="78"/>
      <c r="P3881" s="85"/>
    </row>
    <row r="3882" spans="11:16">
      <c r="K3882" s="85">
        <v>34</v>
      </c>
      <c r="L3882" s="78"/>
      <c r="M3882" s="78"/>
      <c r="N3882" s="78"/>
      <c r="P3882" s="85"/>
    </row>
    <row r="3883" spans="11:16">
      <c r="K3883" s="85">
        <v>35</v>
      </c>
      <c r="L3883" s="78"/>
      <c r="M3883" s="78"/>
      <c r="N3883" s="78"/>
      <c r="P3883" s="85"/>
    </row>
    <row r="3884" spans="11:16">
      <c r="K3884" s="85">
        <v>36</v>
      </c>
      <c r="L3884" s="78"/>
      <c r="M3884" s="78"/>
      <c r="N3884" s="78"/>
      <c r="P3884" s="85"/>
    </row>
    <row r="3885" spans="11:16">
      <c r="K3885" s="85">
        <v>25</v>
      </c>
      <c r="L3885" s="78"/>
      <c r="M3885" s="78"/>
      <c r="N3885" s="78"/>
      <c r="P3885" s="85"/>
    </row>
    <row r="3886" spans="11:16">
      <c r="K3886" s="85">
        <v>26</v>
      </c>
      <c r="L3886" s="78"/>
      <c r="M3886" s="78"/>
      <c r="N3886" s="78"/>
      <c r="P3886" s="85"/>
    </row>
    <row r="3887" spans="11:16">
      <c r="K3887" s="85">
        <v>27</v>
      </c>
      <c r="L3887" s="78"/>
      <c r="M3887" s="78"/>
      <c r="N3887" s="78"/>
      <c r="P3887" s="85"/>
    </row>
    <row r="3888" spans="11:16">
      <c r="K3888" s="85">
        <v>28</v>
      </c>
      <c r="L3888" s="78"/>
      <c r="M3888" s="78"/>
      <c r="N3888" s="78"/>
      <c r="P3888" s="85"/>
    </row>
    <row r="3889" spans="11:16">
      <c r="K3889" s="85">
        <v>29</v>
      </c>
      <c r="L3889" s="78"/>
      <c r="M3889" s="78"/>
      <c r="N3889" s="78"/>
      <c r="P3889" s="85"/>
    </row>
    <row r="3890" spans="11:16">
      <c r="K3890" s="85">
        <v>30</v>
      </c>
      <c r="L3890" s="78"/>
      <c r="M3890" s="78"/>
      <c r="N3890" s="78"/>
      <c r="P3890" s="85"/>
    </row>
    <row r="3891" spans="11:16">
      <c r="K3891" s="85">
        <v>31</v>
      </c>
      <c r="L3891" s="78"/>
      <c r="M3891" s="78"/>
      <c r="N3891" s="78"/>
      <c r="P3891" s="85"/>
    </row>
    <row r="3892" spans="11:16">
      <c r="K3892" s="85">
        <v>32</v>
      </c>
      <c r="L3892" s="78"/>
      <c r="M3892" s="78"/>
      <c r="N3892" s="78"/>
      <c r="P3892" s="85"/>
    </row>
    <row r="3893" spans="11:16">
      <c r="K3893" s="85">
        <v>34</v>
      </c>
      <c r="L3893" s="78"/>
      <c r="M3893" s="78"/>
      <c r="N3893" s="78"/>
      <c r="P3893" s="85"/>
    </row>
    <row r="3894" spans="11:16">
      <c r="K3894" s="85">
        <v>35</v>
      </c>
      <c r="L3894" s="78"/>
      <c r="M3894" s="78"/>
      <c r="N3894" s="78"/>
      <c r="P3894" s="85"/>
    </row>
    <row r="3895" spans="11:16">
      <c r="K3895" s="85">
        <v>36</v>
      </c>
      <c r="L3895" s="78"/>
      <c r="M3895" s="78"/>
      <c r="N3895" s="78"/>
      <c r="P3895" s="85"/>
    </row>
    <row r="3896" spans="11:16">
      <c r="K3896" s="85">
        <v>25</v>
      </c>
      <c r="L3896" s="78"/>
      <c r="M3896" s="78"/>
      <c r="N3896" s="78"/>
      <c r="P3896" s="85"/>
    </row>
    <row r="3897" spans="11:16">
      <c r="K3897" s="85">
        <v>26</v>
      </c>
      <c r="L3897" s="78"/>
      <c r="M3897" s="78"/>
      <c r="N3897" s="78"/>
      <c r="P3897" s="85"/>
    </row>
    <row r="3898" spans="11:16">
      <c r="K3898" s="85">
        <v>27</v>
      </c>
      <c r="L3898" s="78"/>
      <c r="M3898" s="78"/>
      <c r="N3898" s="78"/>
      <c r="P3898" s="85"/>
    </row>
    <row r="3899" spans="11:16">
      <c r="K3899" s="85">
        <v>28</v>
      </c>
      <c r="L3899" s="78"/>
      <c r="M3899" s="78"/>
      <c r="N3899" s="78"/>
      <c r="P3899" s="85"/>
    </row>
    <row r="3900" spans="11:16">
      <c r="K3900" s="85">
        <v>29</v>
      </c>
      <c r="L3900" s="78"/>
      <c r="M3900" s="78"/>
      <c r="N3900" s="78"/>
      <c r="P3900" s="85"/>
    </row>
    <row r="3901" spans="11:16">
      <c r="K3901" s="85">
        <v>30</v>
      </c>
      <c r="L3901" s="78"/>
      <c r="M3901" s="78"/>
      <c r="N3901" s="78"/>
      <c r="P3901" s="85"/>
    </row>
    <row r="3902" spans="11:16">
      <c r="K3902" s="85">
        <v>31</v>
      </c>
      <c r="L3902" s="78"/>
      <c r="M3902" s="78"/>
      <c r="N3902" s="78"/>
      <c r="P3902" s="85"/>
    </row>
    <row r="3903" spans="11:16">
      <c r="K3903" s="85">
        <v>32</v>
      </c>
      <c r="L3903" s="78"/>
      <c r="M3903" s="78"/>
      <c r="N3903" s="78"/>
      <c r="P3903" s="85"/>
    </row>
    <row r="3904" spans="11:16">
      <c r="K3904" s="85">
        <v>33</v>
      </c>
      <c r="L3904" s="78"/>
      <c r="M3904" s="78"/>
      <c r="N3904" s="78"/>
      <c r="P3904" s="85"/>
    </row>
    <row r="3905" spans="11:16">
      <c r="K3905" s="85">
        <v>34</v>
      </c>
      <c r="L3905" s="78"/>
      <c r="M3905" s="78"/>
      <c r="N3905" s="78"/>
      <c r="P3905" s="85"/>
    </row>
    <row r="3906" spans="11:16">
      <c r="K3906" s="85">
        <v>35</v>
      </c>
      <c r="L3906" s="78"/>
      <c r="M3906" s="78"/>
      <c r="N3906" s="78"/>
      <c r="P3906" s="85"/>
    </row>
    <row r="3907" spans="11:16">
      <c r="K3907" s="85">
        <v>36</v>
      </c>
      <c r="L3907" s="78"/>
      <c r="M3907" s="78"/>
      <c r="N3907" s="78"/>
      <c r="P3907" s="85"/>
    </row>
    <row r="3908" spans="11:16">
      <c r="K3908" s="85">
        <v>25</v>
      </c>
      <c r="L3908" s="78"/>
      <c r="M3908" s="78"/>
      <c r="N3908" s="78"/>
      <c r="P3908" s="85"/>
    </row>
    <row r="3909" spans="11:16">
      <c r="K3909" s="85">
        <v>26</v>
      </c>
      <c r="L3909" s="78"/>
      <c r="M3909" s="78"/>
      <c r="N3909" s="78"/>
      <c r="P3909" s="85"/>
    </row>
    <row r="3910" spans="11:16">
      <c r="K3910" s="85">
        <v>27</v>
      </c>
      <c r="L3910" s="78"/>
      <c r="M3910" s="78"/>
      <c r="N3910" s="78"/>
      <c r="P3910" s="85"/>
    </row>
    <row r="3911" spans="11:16">
      <c r="K3911" s="85">
        <v>28</v>
      </c>
      <c r="L3911" s="78"/>
      <c r="M3911" s="78"/>
      <c r="N3911" s="78"/>
      <c r="P3911" s="85"/>
    </row>
    <row r="3912" spans="11:16">
      <c r="K3912" s="85">
        <v>31</v>
      </c>
      <c r="L3912" s="78"/>
      <c r="M3912" s="78"/>
      <c r="N3912" s="78"/>
      <c r="P3912" s="85"/>
    </row>
    <row r="3913" spans="11:16">
      <c r="K3913" s="85">
        <v>34</v>
      </c>
      <c r="L3913" s="78"/>
      <c r="M3913" s="78"/>
      <c r="N3913" s="78"/>
      <c r="P3913" s="85"/>
    </row>
    <row r="3914" spans="11:16">
      <c r="K3914" s="85">
        <v>27</v>
      </c>
      <c r="L3914" s="78"/>
      <c r="M3914" s="78"/>
      <c r="N3914" s="78"/>
      <c r="P3914" s="85"/>
    </row>
    <row r="3915" spans="11:16">
      <c r="K3915" s="85">
        <v>30</v>
      </c>
      <c r="L3915" s="78"/>
      <c r="M3915" s="78"/>
      <c r="N3915" s="78"/>
      <c r="P3915" s="85"/>
    </row>
    <row r="3916" spans="11:16">
      <c r="K3916" s="85">
        <v>31</v>
      </c>
      <c r="L3916" s="78"/>
      <c r="M3916" s="78"/>
      <c r="N3916" s="78"/>
      <c r="P3916" s="85"/>
    </row>
    <row r="3917" spans="11:16">
      <c r="K3917" s="85">
        <v>32</v>
      </c>
      <c r="L3917" s="78"/>
      <c r="M3917" s="78"/>
      <c r="N3917" s="78"/>
      <c r="P3917" s="85"/>
    </row>
    <row r="3918" spans="11:16">
      <c r="K3918" s="85">
        <v>25</v>
      </c>
      <c r="L3918" s="78"/>
      <c r="M3918" s="78"/>
      <c r="N3918" s="78"/>
      <c r="P3918" s="85"/>
    </row>
    <row r="3919" spans="11:16">
      <c r="K3919" s="85">
        <v>26</v>
      </c>
      <c r="L3919" s="78"/>
      <c r="M3919" s="78"/>
      <c r="N3919" s="78"/>
      <c r="P3919" s="85"/>
    </row>
    <row r="3920" spans="11:16">
      <c r="K3920" s="85">
        <v>27</v>
      </c>
      <c r="L3920" s="78"/>
      <c r="M3920" s="78"/>
      <c r="N3920" s="78"/>
      <c r="P3920" s="85"/>
    </row>
    <row r="3921" spans="11:16">
      <c r="K3921" s="85">
        <v>31</v>
      </c>
      <c r="L3921" s="78"/>
      <c r="M3921" s="78"/>
      <c r="N3921" s="78"/>
      <c r="P3921" s="85"/>
    </row>
    <row r="3922" spans="11:16">
      <c r="K3922" s="85">
        <v>35</v>
      </c>
      <c r="L3922" s="78"/>
      <c r="M3922" s="78"/>
      <c r="N3922" s="78"/>
      <c r="P3922" s="85"/>
    </row>
    <row r="3923" spans="11:16">
      <c r="K3923" s="85">
        <v>25</v>
      </c>
      <c r="L3923" s="78"/>
      <c r="M3923" s="78"/>
      <c r="N3923" s="78"/>
      <c r="P3923" s="85"/>
    </row>
    <row r="3924" spans="11:16">
      <c r="K3924" s="85">
        <v>26</v>
      </c>
      <c r="L3924" s="78"/>
      <c r="M3924" s="78"/>
      <c r="N3924" s="78"/>
      <c r="P3924" s="85"/>
    </row>
    <row r="3925" spans="11:16">
      <c r="K3925" s="85">
        <v>27</v>
      </c>
      <c r="L3925" s="78"/>
      <c r="M3925" s="78"/>
      <c r="N3925" s="78"/>
      <c r="P3925" s="85"/>
    </row>
    <row r="3926" spans="11:16">
      <c r="K3926" s="85">
        <v>30</v>
      </c>
      <c r="L3926" s="78"/>
      <c r="M3926" s="78"/>
      <c r="N3926" s="78"/>
      <c r="P3926" s="85"/>
    </row>
    <row r="3927" spans="11:16">
      <c r="K3927" s="85">
        <v>31</v>
      </c>
      <c r="L3927" s="78"/>
      <c r="M3927" s="78"/>
      <c r="N3927" s="78"/>
      <c r="P3927" s="85"/>
    </row>
    <row r="3928" spans="11:16">
      <c r="K3928" s="85">
        <v>33</v>
      </c>
      <c r="L3928" s="78"/>
      <c r="M3928" s="78"/>
      <c r="N3928" s="78"/>
      <c r="P3928" s="85"/>
    </row>
    <row r="3929" spans="11:16">
      <c r="K3929" s="85">
        <v>34</v>
      </c>
      <c r="L3929" s="78"/>
      <c r="M3929" s="78"/>
      <c r="N3929" s="78"/>
      <c r="P3929" s="85"/>
    </row>
    <row r="3930" spans="11:16">
      <c r="K3930" s="85">
        <v>35</v>
      </c>
      <c r="L3930" s="78"/>
      <c r="M3930" s="78"/>
      <c r="N3930" s="78"/>
      <c r="P3930" s="85"/>
    </row>
    <row r="3931" spans="11:16">
      <c r="K3931" s="85">
        <v>36</v>
      </c>
      <c r="L3931" s="78"/>
      <c r="M3931" s="78"/>
      <c r="N3931" s="78"/>
      <c r="P3931" s="85"/>
    </row>
    <row r="3932" spans="11:16">
      <c r="K3932" s="85">
        <v>25</v>
      </c>
      <c r="L3932" s="78"/>
      <c r="M3932" s="78"/>
      <c r="N3932" s="78"/>
      <c r="P3932" s="85"/>
    </row>
    <row r="3933" spans="11:16">
      <c r="K3933" s="85">
        <v>26</v>
      </c>
      <c r="L3933" s="78"/>
      <c r="M3933" s="78"/>
      <c r="N3933" s="78"/>
      <c r="P3933" s="85"/>
    </row>
    <row r="3934" spans="11:16">
      <c r="K3934" s="85">
        <v>27</v>
      </c>
      <c r="L3934" s="78"/>
      <c r="M3934" s="78"/>
      <c r="N3934" s="78"/>
      <c r="P3934" s="85"/>
    </row>
    <row r="3935" spans="11:16">
      <c r="K3935" s="85">
        <v>28</v>
      </c>
      <c r="L3935" s="78"/>
      <c r="M3935" s="78"/>
      <c r="N3935" s="78"/>
      <c r="P3935" s="85"/>
    </row>
    <row r="3936" spans="11:16">
      <c r="K3936" s="85">
        <v>29</v>
      </c>
      <c r="L3936" s="78"/>
      <c r="M3936" s="78"/>
      <c r="N3936" s="78"/>
      <c r="P3936" s="85"/>
    </row>
    <row r="3937" spans="11:16">
      <c r="K3937" s="85">
        <v>31</v>
      </c>
      <c r="L3937" s="78"/>
      <c r="M3937" s="78"/>
      <c r="N3937" s="78"/>
      <c r="P3937" s="85"/>
    </row>
    <row r="3938" spans="11:16">
      <c r="K3938" s="85">
        <v>32</v>
      </c>
      <c r="L3938" s="78"/>
      <c r="M3938" s="78"/>
      <c r="N3938" s="78"/>
      <c r="P3938" s="85"/>
    </row>
    <row r="3939" spans="11:16">
      <c r="K3939" s="85">
        <v>34</v>
      </c>
      <c r="L3939" s="78"/>
      <c r="M3939" s="78"/>
      <c r="N3939" s="78"/>
      <c r="P3939" s="85"/>
    </row>
    <row r="3940" spans="11:16">
      <c r="K3940" s="85">
        <v>35</v>
      </c>
      <c r="L3940" s="78"/>
      <c r="M3940" s="78"/>
      <c r="N3940" s="78"/>
      <c r="P3940" s="85"/>
    </row>
    <row r="3941" spans="11:16">
      <c r="K3941" s="85">
        <v>36</v>
      </c>
      <c r="L3941" s="78"/>
      <c r="M3941" s="78"/>
      <c r="N3941" s="78"/>
      <c r="P3941" s="85"/>
    </row>
    <row r="3942" spans="11:16">
      <c r="K3942" s="85">
        <v>25</v>
      </c>
      <c r="L3942" s="78"/>
      <c r="M3942" s="78"/>
      <c r="N3942" s="78"/>
      <c r="P3942" s="85"/>
    </row>
    <row r="3943" spans="11:16">
      <c r="K3943" s="85">
        <v>27</v>
      </c>
      <c r="L3943" s="78"/>
      <c r="M3943" s="78"/>
      <c r="N3943" s="78"/>
      <c r="P3943" s="85"/>
    </row>
    <row r="3944" spans="11:16">
      <c r="K3944" s="85">
        <v>29</v>
      </c>
      <c r="L3944" s="78"/>
      <c r="M3944" s="78"/>
      <c r="N3944" s="78"/>
      <c r="P3944" s="85"/>
    </row>
    <row r="3945" spans="11:16">
      <c r="K3945" s="85">
        <v>30</v>
      </c>
      <c r="L3945" s="78"/>
      <c r="M3945" s="78"/>
      <c r="N3945" s="78"/>
      <c r="P3945" s="85"/>
    </row>
    <row r="3946" spans="11:16">
      <c r="K3946" s="85">
        <v>31</v>
      </c>
      <c r="L3946" s="78"/>
      <c r="M3946" s="78"/>
      <c r="N3946" s="78"/>
      <c r="P3946" s="85"/>
    </row>
    <row r="3947" spans="11:16">
      <c r="K3947" s="85">
        <v>32</v>
      </c>
      <c r="L3947" s="78"/>
      <c r="M3947" s="78"/>
      <c r="N3947" s="78"/>
      <c r="P3947" s="85"/>
    </row>
    <row r="3948" spans="11:16">
      <c r="K3948" s="85">
        <v>33</v>
      </c>
      <c r="L3948" s="78"/>
      <c r="M3948" s="78"/>
      <c r="N3948" s="78"/>
      <c r="P3948" s="85"/>
    </row>
    <row r="3949" spans="11:16">
      <c r="K3949" s="85">
        <v>34</v>
      </c>
      <c r="L3949" s="78"/>
      <c r="M3949" s="78"/>
      <c r="N3949" s="78"/>
      <c r="P3949" s="85"/>
    </row>
    <row r="3950" spans="11:16">
      <c r="K3950" s="85">
        <v>35</v>
      </c>
      <c r="L3950" s="78"/>
      <c r="M3950" s="78"/>
      <c r="N3950" s="78"/>
      <c r="P3950" s="85"/>
    </row>
    <row r="3951" spans="11:16">
      <c r="K3951" s="85">
        <v>25</v>
      </c>
      <c r="L3951" s="78"/>
      <c r="M3951" s="78"/>
      <c r="N3951" s="78"/>
      <c r="P3951" s="85"/>
    </row>
    <row r="3952" spans="11:16">
      <c r="K3952" s="85">
        <v>26</v>
      </c>
      <c r="L3952" s="78"/>
      <c r="M3952" s="78"/>
      <c r="N3952" s="78"/>
      <c r="P3952" s="85"/>
    </row>
    <row r="3953" spans="11:16">
      <c r="K3953" s="85">
        <v>27</v>
      </c>
      <c r="L3953" s="78"/>
      <c r="M3953" s="78"/>
      <c r="N3953" s="78"/>
      <c r="P3953" s="85"/>
    </row>
    <row r="3954" spans="11:16">
      <c r="K3954" s="85">
        <v>29</v>
      </c>
      <c r="L3954" s="78"/>
      <c r="M3954" s="78"/>
      <c r="N3954" s="78"/>
      <c r="P3954" s="85"/>
    </row>
    <row r="3955" spans="11:16">
      <c r="K3955" s="85">
        <v>31</v>
      </c>
      <c r="L3955" s="78"/>
      <c r="M3955" s="78"/>
      <c r="N3955" s="78"/>
      <c r="P3955" s="85"/>
    </row>
    <row r="3956" spans="11:16">
      <c r="K3956" s="85">
        <v>32</v>
      </c>
      <c r="L3956" s="78"/>
      <c r="M3956" s="78"/>
      <c r="N3956" s="78"/>
      <c r="P3956" s="85"/>
    </row>
    <row r="3957" spans="11:16">
      <c r="K3957" s="85">
        <v>34</v>
      </c>
      <c r="L3957" s="78"/>
      <c r="M3957" s="78"/>
      <c r="N3957" s="78"/>
      <c r="P3957" s="85"/>
    </row>
    <row r="3958" spans="11:16">
      <c r="K3958" s="85">
        <v>35</v>
      </c>
      <c r="L3958" s="78"/>
      <c r="M3958" s="78"/>
      <c r="N3958" s="78"/>
      <c r="P3958" s="85"/>
    </row>
    <row r="3959" spans="11:16">
      <c r="K3959" s="85">
        <v>26</v>
      </c>
      <c r="L3959" s="78"/>
      <c r="M3959" s="78"/>
      <c r="N3959" s="78"/>
      <c r="P3959" s="85"/>
    </row>
    <row r="3960" spans="11:16">
      <c r="K3960" s="85">
        <v>27</v>
      </c>
      <c r="L3960" s="78"/>
      <c r="M3960" s="78"/>
      <c r="N3960" s="78"/>
      <c r="P3960" s="85"/>
    </row>
    <row r="3961" spans="11:16">
      <c r="K3961" s="85">
        <v>28</v>
      </c>
      <c r="L3961" s="78"/>
      <c r="M3961" s="78"/>
      <c r="N3961" s="78"/>
      <c r="P3961" s="85"/>
    </row>
    <row r="3962" spans="11:16">
      <c r="K3962" s="85">
        <v>29</v>
      </c>
      <c r="L3962" s="78"/>
      <c r="M3962" s="78"/>
      <c r="N3962" s="78"/>
      <c r="P3962" s="85"/>
    </row>
    <row r="3963" spans="11:16">
      <c r="K3963" s="85">
        <v>30</v>
      </c>
      <c r="L3963" s="78"/>
      <c r="M3963" s="78"/>
      <c r="N3963" s="78"/>
      <c r="P3963" s="85"/>
    </row>
    <row r="3964" spans="11:16">
      <c r="K3964" s="85">
        <v>31</v>
      </c>
      <c r="L3964" s="78"/>
      <c r="M3964" s="78"/>
      <c r="N3964" s="78"/>
      <c r="P3964" s="85"/>
    </row>
    <row r="3965" spans="11:16">
      <c r="K3965" s="85">
        <v>33</v>
      </c>
      <c r="L3965" s="78"/>
      <c r="M3965" s="78"/>
      <c r="N3965" s="78"/>
      <c r="P3965" s="85"/>
    </row>
    <row r="3966" spans="11:16">
      <c r="K3966" s="85">
        <v>34</v>
      </c>
      <c r="L3966" s="78"/>
      <c r="M3966" s="78"/>
      <c r="N3966" s="78"/>
      <c r="P3966" s="85"/>
    </row>
    <row r="3967" spans="11:16">
      <c r="K3967" s="85">
        <v>35</v>
      </c>
      <c r="L3967" s="78"/>
      <c r="M3967" s="78"/>
      <c r="N3967" s="78"/>
      <c r="P3967" s="85"/>
    </row>
    <row r="3968" spans="11:16">
      <c r="K3968" s="85">
        <v>25</v>
      </c>
      <c r="L3968" s="78"/>
      <c r="M3968" s="78"/>
      <c r="N3968" s="78"/>
      <c r="P3968" s="85"/>
    </row>
    <row r="3969" spans="11:16">
      <c r="K3969" s="85">
        <v>26</v>
      </c>
      <c r="L3969" s="78"/>
      <c r="M3969" s="78"/>
      <c r="N3969" s="78"/>
      <c r="P3969" s="85"/>
    </row>
    <row r="3970" spans="11:16">
      <c r="K3970" s="85">
        <v>27</v>
      </c>
      <c r="L3970" s="78"/>
      <c r="M3970" s="78"/>
      <c r="N3970" s="78"/>
      <c r="P3970" s="85"/>
    </row>
    <row r="3971" spans="11:16">
      <c r="K3971" s="85">
        <v>28</v>
      </c>
      <c r="L3971" s="78"/>
      <c r="M3971" s="78"/>
      <c r="N3971" s="78"/>
      <c r="P3971" s="85"/>
    </row>
    <row r="3972" spans="11:16">
      <c r="K3972" s="85">
        <v>29</v>
      </c>
      <c r="L3972" s="78"/>
      <c r="M3972" s="78"/>
      <c r="N3972" s="78"/>
      <c r="P3972" s="85"/>
    </row>
    <row r="3973" spans="11:16">
      <c r="K3973" s="85">
        <v>30</v>
      </c>
      <c r="L3973" s="78"/>
      <c r="M3973" s="78"/>
      <c r="N3973" s="78"/>
      <c r="P3973" s="85"/>
    </row>
    <row r="3974" spans="11:16">
      <c r="K3974" s="85">
        <v>31</v>
      </c>
      <c r="L3974" s="78"/>
      <c r="M3974" s="78"/>
      <c r="N3974" s="78"/>
      <c r="P3974" s="85"/>
    </row>
    <row r="3975" spans="11:16">
      <c r="K3975" s="85">
        <v>32</v>
      </c>
      <c r="L3975" s="78"/>
      <c r="M3975" s="78"/>
      <c r="N3975" s="78"/>
      <c r="P3975" s="85"/>
    </row>
    <row r="3976" spans="11:16">
      <c r="K3976" s="85">
        <v>33</v>
      </c>
      <c r="L3976" s="78"/>
      <c r="M3976" s="78"/>
      <c r="N3976" s="78"/>
      <c r="P3976" s="85"/>
    </row>
    <row r="3977" spans="11:16">
      <c r="K3977" s="85">
        <v>34</v>
      </c>
      <c r="L3977" s="78"/>
      <c r="M3977" s="78"/>
      <c r="N3977" s="78"/>
      <c r="P3977" s="85"/>
    </row>
    <row r="3978" spans="11:16">
      <c r="K3978" s="85">
        <v>35</v>
      </c>
      <c r="L3978" s="78"/>
      <c r="M3978" s="78"/>
      <c r="N3978" s="78"/>
      <c r="P3978" s="85"/>
    </row>
    <row r="3979" spans="11:16">
      <c r="K3979" s="85">
        <v>36</v>
      </c>
      <c r="L3979" s="78"/>
      <c r="M3979" s="78"/>
      <c r="N3979" s="78"/>
      <c r="P3979" s="85"/>
    </row>
    <row r="3980" spans="11:16">
      <c r="K3980" s="85">
        <v>25</v>
      </c>
      <c r="L3980" s="78"/>
      <c r="M3980" s="78"/>
      <c r="N3980" s="78"/>
      <c r="P3980" s="85"/>
    </row>
    <row r="3981" spans="11:16">
      <c r="K3981" s="85">
        <v>26</v>
      </c>
      <c r="L3981" s="78"/>
      <c r="M3981" s="78"/>
      <c r="N3981" s="78"/>
      <c r="P3981" s="85"/>
    </row>
    <row r="3982" spans="11:16">
      <c r="K3982" s="85">
        <v>27</v>
      </c>
      <c r="L3982" s="78"/>
      <c r="M3982" s="78"/>
      <c r="N3982" s="78"/>
      <c r="P3982" s="85"/>
    </row>
    <row r="3983" spans="11:16">
      <c r="K3983" s="85">
        <v>28</v>
      </c>
      <c r="L3983" s="78"/>
      <c r="M3983" s="78"/>
      <c r="N3983" s="78"/>
      <c r="P3983" s="85"/>
    </row>
    <row r="3984" spans="11:16">
      <c r="K3984" s="85">
        <v>29</v>
      </c>
      <c r="L3984" s="78"/>
      <c r="M3984" s="78"/>
      <c r="N3984" s="78"/>
      <c r="P3984" s="85"/>
    </row>
    <row r="3985" spans="11:16">
      <c r="K3985" s="85">
        <v>30</v>
      </c>
      <c r="L3985" s="78"/>
      <c r="M3985" s="78"/>
      <c r="N3985" s="78"/>
      <c r="P3985" s="85"/>
    </row>
    <row r="3986" spans="11:16">
      <c r="K3986" s="85">
        <v>31</v>
      </c>
      <c r="L3986" s="78"/>
      <c r="M3986" s="78"/>
      <c r="N3986" s="78"/>
      <c r="P3986" s="85"/>
    </row>
    <row r="3987" spans="11:16">
      <c r="K3987" s="85">
        <v>32</v>
      </c>
      <c r="L3987" s="78"/>
      <c r="M3987" s="78"/>
      <c r="N3987" s="78"/>
      <c r="P3987" s="85"/>
    </row>
    <row r="3988" spans="11:16">
      <c r="K3988" s="85">
        <v>33</v>
      </c>
      <c r="L3988" s="78"/>
      <c r="M3988" s="78"/>
      <c r="N3988" s="78"/>
      <c r="P3988" s="85"/>
    </row>
    <row r="3989" spans="11:16">
      <c r="K3989" s="85">
        <v>34</v>
      </c>
      <c r="L3989" s="78"/>
      <c r="M3989" s="78"/>
      <c r="N3989" s="78"/>
      <c r="P3989" s="85"/>
    </row>
    <row r="3990" spans="11:16">
      <c r="K3990" s="85">
        <v>35</v>
      </c>
      <c r="L3990" s="78"/>
      <c r="M3990" s="78"/>
      <c r="N3990" s="78"/>
      <c r="P3990" s="85"/>
    </row>
    <row r="3991" spans="11:16">
      <c r="K3991" s="85">
        <v>25</v>
      </c>
      <c r="L3991" s="78"/>
      <c r="M3991" s="78"/>
      <c r="N3991" s="78"/>
      <c r="P3991" s="85"/>
    </row>
    <row r="3992" spans="11:16">
      <c r="K3992" s="85">
        <v>26</v>
      </c>
      <c r="L3992" s="78"/>
      <c r="M3992" s="78"/>
      <c r="N3992" s="78"/>
      <c r="P3992" s="85"/>
    </row>
    <row r="3993" spans="11:16">
      <c r="K3993" s="85">
        <v>27</v>
      </c>
      <c r="L3993" s="78"/>
      <c r="M3993" s="78"/>
      <c r="N3993" s="78"/>
      <c r="P3993" s="85"/>
    </row>
    <row r="3994" spans="11:16">
      <c r="K3994" s="85">
        <v>31</v>
      </c>
      <c r="L3994" s="78"/>
      <c r="M3994" s="78"/>
      <c r="N3994" s="78"/>
      <c r="P3994" s="85"/>
    </row>
    <row r="3995" spans="11:16">
      <c r="K3995" s="85">
        <v>32</v>
      </c>
      <c r="L3995" s="78"/>
      <c r="M3995" s="78"/>
      <c r="N3995" s="78"/>
      <c r="P3995" s="85"/>
    </row>
    <row r="3996" spans="11:16">
      <c r="K3996" s="85">
        <v>25</v>
      </c>
      <c r="L3996" s="78"/>
      <c r="M3996" s="78"/>
      <c r="N3996" s="78"/>
      <c r="P3996" s="85"/>
    </row>
    <row r="3997" spans="11:16">
      <c r="K3997" s="85">
        <v>26</v>
      </c>
      <c r="L3997" s="78"/>
      <c r="M3997" s="78"/>
      <c r="N3997" s="78"/>
      <c r="P3997" s="85"/>
    </row>
    <row r="3998" spans="11:16">
      <c r="K3998" s="85">
        <v>27</v>
      </c>
      <c r="L3998" s="78"/>
      <c r="M3998" s="78"/>
      <c r="N3998" s="78"/>
      <c r="P3998" s="85"/>
    </row>
    <row r="3999" spans="11:16">
      <c r="K3999" s="85">
        <v>28</v>
      </c>
      <c r="L3999" s="78"/>
      <c r="M3999" s="78"/>
      <c r="N3999" s="78"/>
      <c r="P3999" s="85"/>
    </row>
    <row r="4000" spans="11:16">
      <c r="K4000" s="85">
        <v>29</v>
      </c>
      <c r="L4000" s="78"/>
      <c r="M4000" s="78"/>
      <c r="N4000" s="78"/>
      <c r="P4000" s="85"/>
    </row>
    <row r="4001" spans="11:16">
      <c r="K4001" s="85">
        <v>30</v>
      </c>
      <c r="L4001" s="78"/>
      <c r="M4001" s="78"/>
      <c r="N4001" s="78"/>
      <c r="P4001" s="85"/>
    </row>
    <row r="4002" spans="11:16">
      <c r="K4002" s="85">
        <v>25</v>
      </c>
      <c r="L4002" s="78"/>
      <c r="M4002" s="78"/>
      <c r="N4002" s="78"/>
      <c r="P4002" s="85"/>
    </row>
    <row r="4003" spans="11:16">
      <c r="K4003" s="85">
        <v>26</v>
      </c>
      <c r="L4003" s="78"/>
      <c r="M4003" s="78"/>
      <c r="N4003" s="78"/>
      <c r="P4003" s="85"/>
    </row>
    <row r="4004" spans="11:16">
      <c r="K4004" s="85">
        <v>27</v>
      </c>
      <c r="L4004" s="78"/>
      <c r="M4004" s="78"/>
      <c r="N4004" s="78"/>
      <c r="P4004" s="85"/>
    </row>
    <row r="4005" spans="11:16">
      <c r="K4005" s="85">
        <v>28</v>
      </c>
      <c r="L4005" s="78"/>
      <c r="M4005" s="78"/>
      <c r="N4005" s="78"/>
      <c r="P4005" s="85"/>
    </row>
    <row r="4006" spans="11:16">
      <c r="K4006" s="85">
        <v>29</v>
      </c>
      <c r="L4006" s="78"/>
      <c r="M4006" s="78"/>
      <c r="N4006" s="78"/>
      <c r="P4006" s="85"/>
    </row>
    <row r="4007" spans="11:16">
      <c r="K4007" s="85">
        <v>30</v>
      </c>
      <c r="L4007" s="78"/>
      <c r="M4007" s="78"/>
      <c r="N4007" s="78"/>
      <c r="P4007" s="85"/>
    </row>
    <row r="4008" spans="11:16">
      <c r="K4008" s="85">
        <v>31</v>
      </c>
      <c r="L4008" s="78"/>
      <c r="M4008" s="78"/>
      <c r="N4008" s="78"/>
      <c r="P4008" s="85"/>
    </row>
    <row r="4009" spans="11:16">
      <c r="K4009" s="85">
        <v>32</v>
      </c>
      <c r="L4009" s="78"/>
      <c r="M4009" s="78"/>
      <c r="N4009" s="78"/>
      <c r="P4009" s="85"/>
    </row>
    <row r="4010" spans="11:16">
      <c r="K4010" s="85">
        <v>33</v>
      </c>
      <c r="L4010" s="78"/>
      <c r="M4010" s="78"/>
      <c r="N4010" s="78"/>
      <c r="P4010" s="85"/>
    </row>
    <row r="4011" spans="11:16">
      <c r="K4011" s="85">
        <v>34</v>
      </c>
      <c r="L4011" s="78"/>
      <c r="M4011" s="78"/>
      <c r="N4011" s="78"/>
      <c r="P4011" s="85"/>
    </row>
    <row r="4012" spans="11:16">
      <c r="K4012" s="85">
        <v>35</v>
      </c>
      <c r="L4012" s="78"/>
      <c r="M4012" s="78"/>
      <c r="N4012" s="78"/>
      <c r="P4012" s="85"/>
    </row>
    <row r="4013" spans="11:16">
      <c r="K4013" s="85">
        <v>36</v>
      </c>
      <c r="L4013" s="78"/>
      <c r="M4013" s="78"/>
      <c r="N4013" s="78"/>
      <c r="P4013" s="85"/>
    </row>
    <row r="4014" spans="11:16">
      <c r="K4014" s="85">
        <v>26</v>
      </c>
      <c r="L4014" s="78"/>
      <c r="M4014" s="78"/>
      <c r="N4014" s="78"/>
      <c r="P4014" s="85"/>
    </row>
    <row r="4015" spans="11:16">
      <c r="K4015" s="85">
        <v>27</v>
      </c>
      <c r="L4015" s="78"/>
      <c r="M4015" s="78"/>
      <c r="N4015" s="78"/>
      <c r="P4015" s="85"/>
    </row>
    <row r="4016" spans="11:16">
      <c r="K4016" s="85">
        <v>31</v>
      </c>
      <c r="L4016" s="78"/>
      <c r="M4016" s="78"/>
      <c r="N4016" s="78"/>
      <c r="P4016" s="85"/>
    </row>
    <row r="4017" spans="11:16">
      <c r="K4017" s="85">
        <v>32</v>
      </c>
      <c r="L4017" s="78"/>
      <c r="M4017" s="78"/>
      <c r="N4017" s="78"/>
      <c r="P4017" s="85"/>
    </row>
    <row r="4018" spans="11:16">
      <c r="K4018" s="85">
        <v>30</v>
      </c>
      <c r="L4018" s="78"/>
      <c r="M4018" s="78"/>
      <c r="N4018" s="78"/>
      <c r="P4018" s="85"/>
    </row>
    <row r="4019" spans="11:16">
      <c r="K4019" s="85">
        <v>31</v>
      </c>
      <c r="L4019" s="78"/>
      <c r="M4019" s="78"/>
      <c r="N4019" s="78"/>
      <c r="P4019" s="85"/>
    </row>
    <row r="4020" spans="11:16">
      <c r="K4020" s="85">
        <v>35</v>
      </c>
      <c r="L4020" s="78"/>
      <c r="M4020" s="78"/>
      <c r="N4020" s="78"/>
      <c r="P4020" s="85"/>
    </row>
    <row r="4021" spans="11:16">
      <c r="K4021" s="85">
        <v>25</v>
      </c>
      <c r="L4021" s="78"/>
      <c r="M4021" s="78"/>
      <c r="N4021" s="78"/>
      <c r="P4021" s="85"/>
    </row>
    <row r="4022" spans="11:16">
      <c r="K4022" s="85">
        <v>26</v>
      </c>
      <c r="L4022" s="78"/>
      <c r="M4022" s="78"/>
      <c r="N4022" s="78"/>
      <c r="P4022" s="85"/>
    </row>
    <row r="4023" spans="11:16">
      <c r="K4023" s="85">
        <v>27</v>
      </c>
      <c r="L4023" s="78"/>
      <c r="M4023" s="78"/>
      <c r="N4023" s="78"/>
      <c r="P4023" s="85"/>
    </row>
    <row r="4024" spans="11:16">
      <c r="K4024" s="85">
        <v>28</v>
      </c>
      <c r="L4024" s="78"/>
      <c r="M4024" s="78"/>
      <c r="N4024" s="78"/>
      <c r="P4024" s="85"/>
    </row>
    <row r="4025" spans="11:16">
      <c r="K4025" s="85">
        <v>29</v>
      </c>
      <c r="L4025" s="78"/>
      <c r="M4025" s="78"/>
      <c r="N4025" s="78"/>
      <c r="P4025" s="85"/>
    </row>
    <row r="4026" spans="11:16">
      <c r="K4026" s="85">
        <v>31</v>
      </c>
      <c r="L4026" s="78"/>
      <c r="M4026" s="78"/>
      <c r="N4026" s="78"/>
      <c r="P4026" s="85"/>
    </row>
    <row r="4027" spans="11:16">
      <c r="K4027" s="85">
        <v>33</v>
      </c>
      <c r="L4027" s="78"/>
      <c r="M4027" s="78"/>
      <c r="N4027" s="78"/>
      <c r="P4027" s="85"/>
    </row>
    <row r="4028" spans="11:16">
      <c r="K4028" s="85">
        <v>34</v>
      </c>
      <c r="L4028" s="78"/>
      <c r="M4028" s="78"/>
      <c r="N4028" s="78"/>
      <c r="P4028" s="85"/>
    </row>
    <row r="4029" spans="11:16">
      <c r="K4029" s="85">
        <v>35</v>
      </c>
      <c r="L4029" s="78"/>
      <c r="M4029" s="78"/>
      <c r="N4029" s="78"/>
      <c r="P4029" s="85"/>
    </row>
    <row r="4030" spans="11:16">
      <c r="K4030" s="85">
        <v>36</v>
      </c>
      <c r="L4030" s="78"/>
      <c r="M4030" s="78"/>
      <c r="N4030" s="78"/>
      <c r="P4030" s="85"/>
    </row>
    <row r="4031" spans="11:16">
      <c r="K4031" s="85">
        <v>25</v>
      </c>
      <c r="L4031" s="78"/>
      <c r="M4031" s="78"/>
      <c r="N4031" s="78"/>
      <c r="P4031" s="85"/>
    </row>
    <row r="4032" spans="11:16">
      <c r="K4032" s="85">
        <v>27</v>
      </c>
      <c r="L4032" s="78"/>
      <c r="M4032" s="78"/>
      <c r="N4032" s="78"/>
      <c r="P4032" s="85"/>
    </row>
    <row r="4033" spans="11:16">
      <c r="K4033" s="85">
        <v>28</v>
      </c>
      <c r="L4033" s="78"/>
      <c r="M4033" s="78"/>
      <c r="N4033" s="78"/>
      <c r="P4033" s="85"/>
    </row>
    <row r="4034" spans="11:16">
      <c r="K4034" s="85">
        <v>31</v>
      </c>
      <c r="L4034" s="78"/>
      <c r="M4034" s="78"/>
      <c r="N4034" s="78"/>
      <c r="P4034" s="85"/>
    </row>
    <row r="4035" spans="11:16">
      <c r="K4035" s="85">
        <v>32</v>
      </c>
      <c r="L4035" s="78"/>
      <c r="M4035" s="78"/>
      <c r="N4035" s="78"/>
      <c r="P4035" s="85"/>
    </row>
    <row r="4036" spans="11:16">
      <c r="K4036" s="85">
        <v>34</v>
      </c>
      <c r="L4036" s="78"/>
      <c r="M4036" s="78"/>
      <c r="N4036" s="78"/>
      <c r="P4036" s="85"/>
    </row>
    <row r="4037" spans="11:16">
      <c r="K4037" s="85">
        <v>35</v>
      </c>
      <c r="L4037" s="78"/>
      <c r="M4037" s="78"/>
      <c r="N4037" s="78"/>
      <c r="P4037" s="85"/>
    </row>
    <row r="4038" spans="11:16">
      <c r="K4038" s="85">
        <v>25</v>
      </c>
      <c r="L4038" s="78"/>
      <c r="M4038" s="78"/>
      <c r="N4038" s="78"/>
      <c r="P4038" s="85"/>
    </row>
    <row r="4039" spans="11:16">
      <c r="K4039" s="85">
        <v>26</v>
      </c>
      <c r="L4039" s="78"/>
      <c r="M4039" s="78"/>
      <c r="N4039" s="78"/>
      <c r="P4039" s="85"/>
    </row>
    <row r="4040" spans="11:16">
      <c r="K4040" s="85">
        <v>27</v>
      </c>
      <c r="L4040" s="78"/>
      <c r="M4040" s="78"/>
      <c r="N4040" s="78"/>
      <c r="P4040" s="85"/>
    </row>
    <row r="4041" spans="11:16">
      <c r="K4041" s="85">
        <v>28</v>
      </c>
      <c r="L4041" s="78"/>
      <c r="M4041" s="78"/>
      <c r="N4041" s="78"/>
      <c r="P4041" s="85"/>
    </row>
    <row r="4042" spans="11:16">
      <c r="K4042" s="85">
        <v>29</v>
      </c>
      <c r="L4042" s="78"/>
      <c r="M4042" s="78"/>
      <c r="N4042" s="78"/>
      <c r="P4042" s="85"/>
    </row>
    <row r="4043" spans="11:16">
      <c r="K4043" s="85">
        <v>30</v>
      </c>
      <c r="L4043" s="78"/>
      <c r="M4043" s="78"/>
      <c r="N4043" s="78"/>
      <c r="P4043" s="85"/>
    </row>
    <row r="4044" spans="11:16">
      <c r="K4044" s="85">
        <v>31</v>
      </c>
      <c r="L4044" s="78"/>
      <c r="M4044" s="78"/>
      <c r="N4044" s="78"/>
      <c r="P4044" s="85"/>
    </row>
    <row r="4045" spans="11:16">
      <c r="K4045" s="85">
        <v>32</v>
      </c>
      <c r="L4045" s="78"/>
      <c r="M4045" s="78"/>
      <c r="N4045" s="78"/>
      <c r="P4045" s="85"/>
    </row>
    <row r="4046" spans="11:16">
      <c r="K4046" s="85">
        <v>33</v>
      </c>
      <c r="L4046" s="78"/>
      <c r="M4046" s="78"/>
      <c r="N4046" s="78"/>
      <c r="P4046" s="85"/>
    </row>
    <row r="4047" spans="11:16">
      <c r="K4047" s="85">
        <v>34</v>
      </c>
      <c r="L4047" s="78"/>
      <c r="M4047" s="78"/>
      <c r="N4047" s="78"/>
      <c r="P4047" s="85"/>
    </row>
    <row r="4048" spans="11:16">
      <c r="K4048" s="85">
        <v>35</v>
      </c>
      <c r="L4048" s="78"/>
      <c r="M4048" s="78"/>
      <c r="N4048" s="78"/>
      <c r="P4048" s="85"/>
    </row>
    <row r="4049" spans="11:16">
      <c r="K4049" s="85">
        <v>25</v>
      </c>
      <c r="L4049" s="78"/>
      <c r="M4049" s="78"/>
      <c r="N4049" s="78"/>
      <c r="P4049" s="85"/>
    </row>
    <row r="4050" spans="11:16">
      <c r="K4050" s="85">
        <v>26</v>
      </c>
      <c r="L4050" s="78"/>
      <c r="M4050" s="78"/>
      <c r="N4050" s="78"/>
      <c r="P4050" s="85"/>
    </row>
    <row r="4051" spans="11:16">
      <c r="K4051" s="85">
        <v>27</v>
      </c>
      <c r="L4051" s="78"/>
      <c r="M4051" s="78"/>
      <c r="N4051" s="78"/>
      <c r="P4051" s="85"/>
    </row>
    <row r="4052" spans="11:16">
      <c r="K4052" s="85">
        <v>30</v>
      </c>
      <c r="L4052" s="78"/>
      <c r="M4052" s="78"/>
      <c r="N4052" s="78"/>
      <c r="P4052" s="85"/>
    </row>
    <row r="4053" spans="11:16">
      <c r="K4053" s="85">
        <v>31</v>
      </c>
      <c r="L4053" s="78"/>
      <c r="M4053" s="78"/>
      <c r="N4053" s="78"/>
      <c r="P4053" s="85"/>
    </row>
    <row r="4054" spans="11:16">
      <c r="K4054" s="85">
        <v>34</v>
      </c>
      <c r="L4054" s="78"/>
      <c r="M4054" s="78"/>
      <c r="N4054" s="78"/>
      <c r="P4054" s="85"/>
    </row>
    <row r="4055" spans="11:16">
      <c r="K4055" s="85">
        <v>35</v>
      </c>
      <c r="L4055" s="78"/>
      <c r="M4055" s="78"/>
      <c r="N4055" s="78"/>
      <c r="P4055" s="85"/>
    </row>
    <row r="4056" spans="11:16">
      <c r="K4056" s="85">
        <v>25</v>
      </c>
      <c r="L4056" s="78"/>
      <c r="M4056" s="78"/>
      <c r="N4056" s="78"/>
      <c r="P4056" s="85"/>
    </row>
    <row r="4057" spans="11:16">
      <c r="K4057" s="85">
        <v>26</v>
      </c>
      <c r="L4057" s="78"/>
      <c r="M4057" s="78"/>
      <c r="N4057" s="78"/>
      <c r="P4057" s="85"/>
    </row>
    <row r="4058" spans="11:16">
      <c r="K4058" s="85">
        <v>27</v>
      </c>
      <c r="L4058" s="78"/>
      <c r="M4058" s="78"/>
      <c r="N4058" s="78"/>
      <c r="P4058" s="85"/>
    </row>
    <row r="4059" spans="11:16">
      <c r="K4059" s="85">
        <v>28</v>
      </c>
      <c r="L4059" s="78"/>
      <c r="M4059" s="78"/>
      <c r="N4059" s="78"/>
      <c r="P4059" s="85"/>
    </row>
    <row r="4060" spans="11:16">
      <c r="K4060" s="85">
        <v>30</v>
      </c>
      <c r="L4060" s="78"/>
      <c r="M4060" s="78"/>
      <c r="N4060" s="78"/>
      <c r="P4060" s="85"/>
    </row>
    <row r="4061" spans="11:16">
      <c r="K4061" s="85">
        <v>31</v>
      </c>
      <c r="L4061" s="78"/>
      <c r="M4061" s="78"/>
      <c r="N4061" s="78"/>
      <c r="P4061" s="85"/>
    </row>
    <row r="4062" spans="11:16">
      <c r="K4062" s="85">
        <v>33</v>
      </c>
      <c r="L4062" s="78"/>
      <c r="M4062" s="78"/>
      <c r="N4062" s="78"/>
      <c r="P4062" s="85"/>
    </row>
    <row r="4063" spans="11:16">
      <c r="K4063" s="85">
        <v>34</v>
      </c>
      <c r="L4063" s="78"/>
      <c r="M4063" s="78"/>
      <c r="N4063" s="78"/>
      <c r="P4063" s="85"/>
    </row>
    <row r="4064" spans="11:16">
      <c r="K4064" s="85">
        <v>35</v>
      </c>
      <c r="L4064" s="78"/>
      <c r="M4064" s="78"/>
      <c r="N4064" s="78"/>
      <c r="P4064" s="85"/>
    </row>
    <row r="4065" spans="11:16">
      <c r="K4065" s="85">
        <v>36</v>
      </c>
      <c r="L4065" s="78"/>
      <c r="M4065" s="78"/>
      <c r="N4065" s="78"/>
      <c r="P4065" s="85"/>
    </row>
    <row r="4066" spans="11:16">
      <c r="K4066" s="85">
        <v>25</v>
      </c>
      <c r="L4066" s="78"/>
      <c r="M4066" s="78"/>
      <c r="N4066" s="78"/>
      <c r="P4066" s="85"/>
    </row>
    <row r="4067" spans="11:16">
      <c r="K4067" s="85">
        <v>26</v>
      </c>
      <c r="L4067" s="78"/>
      <c r="M4067" s="78"/>
      <c r="N4067" s="78"/>
      <c r="P4067" s="85"/>
    </row>
    <row r="4068" spans="11:16">
      <c r="K4068" s="85">
        <v>27</v>
      </c>
      <c r="L4068" s="78"/>
      <c r="M4068" s="78"/>
      <c r="N4068" s="78"/>
      <c r="P4068" s="85"/>
    </row>
    <row r="4069" spans="11:16">
      <c r="K4069" s="85">
        <v>28</v>
      </c>
      <c r="L4069" s="78"/>
      <c r="M4069" s="78"/>
      <c r="N4069" s="78"/>
      <c r="P4069" s="85"/>
    </row>
    <row r="4070" spans="11:16">
      <c r="K4070" s="85">
        <v>29</v>
      </c>
      <c r="L4070" s="78"/>
      <c r="M4070" s="78"/>
      <c r="N4070" s="78"/>
      <c r="P4070" s="85"/>
    </row>
    <row r="4071" spans="11:16">
      <c r="K4071" s="85">
        <v>30</v>
      </c>
      <c r="L4071" s="78"/>
      <c r="M4071" s="78"/>
      <c r="N4071" s="78"/>
      <c r="P4071" s="85"/>
    </row>
    <row r="4072" spans="11:16">
      <c r="K4072" s="85">
        <v>31</v>
      </c>
      <c r="L4072" s="78"/>
      <c r="M4072" s="78"/>
      <c r="N4072" s="78"/>
      <c r="P4072" s="85"/>
    </row>
    <row r="4073" spans="11:16">
      <c r="K4073" s="85">
        <v>32</v>
      </c>
      <c r="L4073" s="78"/>
      <c r="M4073" s="78"/>
      <c r="N4073" s="78"/>
      <c r="P4073" s="85"/>
    </row>
    <row r="4074" spans="11:16">
      <c r="K4074" s="85">
        <v>34</v>
      </c>
      <c r="L4074" s="78"/>
      <c r="M4074" s="78"/>
      <c r="N4074" s="78"/>
      <c r="P4074" s="85"/>
    </row>
    <row r="4075" spans="11:16">
      <c r="K4075" s="85">
        <v>35</v>
      </c>
      <c r="L4075" s="78"/>
      <c r="M4075" s="78"/>
      <c r="N4075" s="78"/>
      <c r="P4075" s="85"/>
    </row>
    <row r="4076" spans="11:16">
      <c r="K4076" s="85">
        <v>27</v>
      </c>
      <c r="L4076" s="78"/>
      <c r="M4076" s="78"/>
      <c r="N4076" s="78"/>
      <c r="P4076" s="85"/>
    </row>
    <row r="4077" spans="11:16">
      <c r="K4077" s="85">
        <v>31</v>
      </c>
      <c r="L4077" s="78"/>
      <c r="M4077" s="78"/>
      <c r="N4077" s="78"/>
      <c r="P4077" s="85"/>
    </row>
    <row r="4078" spans="11:16">
      <c r="K4078" s="85">
        <v>34</v>
      </c>
      <c r="L4078" s="78"/>
      <c r="M4078" s="78"/>
      <c r="N4078" s="78"/>
      <c r="P4078" s="85"/>
    </row>
    <row r="4079" spans="11:16">
      <c r="K4079" s="85">
        <v>25</v>
      </c>
      <c r="L4079" s="78"/>
      <c r="M4079" s="78"/>
      <c r="N4079" s="78"/>
      <c r="P4079" s="85"/>
    </row>
    <row r="4080" spans="11:16">
      <c r="K4080" s="85">
        <v>27</v>
      </c>
      <c r="L4080" s="78"/>
      <c r="M4080" s="78"/>
      <c r="N4080" s="78"/>
      <c r="P4080" s="85"/>
    </row>
    <row r="4081" spans="11:16">
      <c r="K4081" s="85">
        <v>32</v>
      </c>
      <c r="L4081" s="78"/>
      <c r="M4081" s="78"/>
      <c r="N4081" s="78"/>
      <c r="P4081" s="85"/>
    </row>
    <row r="4082" spans="11:16">
      <c r="K4082" s="85">
        <v>33</v>
      </c>
      <c r="L4082" s="78"/>
      <c r="M4082" s="78"/>
      <c r="N4082" s="78"/>
      <c r="P4082" s="85"/>
    </row>
    <row r="4083" spans="11:16">
      <c r="K4083" s="85">
        <v>35</v>
      </c>
      <c r="L4083" s="78"/>
      <c r="M4083" s="78"/>
      <c r="N4083" s="78"/>
      <c r="P4083" s="85"/>
    </row>
    <row r="4084" spans="11:16">
      <c r="K4084" s="85">
        <v>25</v>
      </c>
      <c r="L4084" s="78"/>
      <c r="M4084" s="78"/>
      <c r="N4084" s="78"/>
      <c r="P4084" s="85"/>
    </row>
    <row r="4085" spans="11:16">
      <c r="K4085" s="85">
        <v>26</v>
      </c>
      <c r="L4085" s="78"/>
      <c r="M4085" s="78"/>
      <c r="N4085" s="78"/>
      <c r="P4085" s="85"/>
    </row>
    <row r="4086" spans="11:16">
      <c r="K4086" s="85">
        <v>27</v>
      </c>
      <c r="L4086" s="78"/>
      <c r="M4086" s="78"/>
      <c r="N4086" s="78"/>
      <c r="P4086" s="85"/>
    </row>
    <row r="4087" spans="11:16">
      <c r="K4087" s="85">
        <v>28</v>
      </c>
      <c r="L4087" s="78"/>
      <c r="M4087" s="78"/>
      <c r="N4087" s="78"/>
      <c r="P4087" s="85"/>
    </row>
    <row r="4088" spans="11:16">
      <c r="K4088" s="85">
        <v>29</v>
      </c>
      <c r="L4088" s="78"/>
      <c r="M4088" s="78"/>
      <c r="N4088" s="78"/>
      <c r="P4088" s="85"/>
    </row>
    <row r="4089" spans="11:16">
      <c r="K4089" s="85">
        <v>30</v>
      </c>
      <c r="L4089" s="78"/>
      <c r="M4089" s="78"/>
      <c r="N4089" s="78"/>
      <c r="P4089" s="85"/>
    </row>
    <row r="4090" spans="11:16">
      <c r="K4090" s="85">
        <v>31</v>
      </c>
      <c r="L4090" s="78"/>
      <c r="M4090" s="78"/>
      <c r="N4090" s="78"/>
      <c r="P4090" s="85"/>
    </row>
    <row r="4091" spans="11:16">
      <c r="K4091" s="85">
        <v>32</v>
      </c>
      <c r="L4091" s="78"/>
      <c r="M4091" s="78"/>
      <c r="N4091" s="78"/>
      <c r="P4091" s="85"/>
    </row>
    <row r="4092" spans="11:16">
      <c r="K4092" s="85">
        <v>34</v>
      </c>
      <c r="L4092" s="78"/>
      <c r="M4092" s="78"/>
      <c r="N4092" s="78"/>
      <c r="P4092" s="85"/>
    </row>
    <row r="4093" spans="11:16">
      <c r="K4093" s="85">
        <v>35</v>
      </c>
      <c r="L4093" s="78"/>
      <c r="M4093" s="78"/>
      <c r="N4093" s="78"/>
      <c r="P4093" s="85"/>
    </row>
    <row r="4094" spans="11:16">
      <c r="K4094" s="85">
        <v>25</v>
      </c>
      <c r="L4094" s="78"/>
      <c r="M4094" s="78"/>
      <c r="N4094" s="78"/>
      <c r="P4094" s="85"/>
    </row>
    <row r="4095" spans="11:16">
      <c r="K4095" s="85">
        <v>26</v>
      </c>
      <c r="L4095" s="78"/>
      <c r="M4095" s="78"/>
      <c r="N4095" s="78"/>
      <c r="P4095" s="85"/>
    </row>
    <row r="4096" spans="11:16">
      <c r="K4096" s="85">
        <v>27</v>
      </c>
      <c r="L4096" s="78"/>
      <c r="M4096" s="78"/>
      <c r="N4096" s="78"/>
      <c r="P4096" s="85"/>
    </row>
    <row r="4097" spans="11:16">
      <c r="K4097" s="85">
        <v>28</v>
      </c>
      <c r="L4097" s="78"/>
      <c r="M4097" s="78"/>
      <c r="N4097" s="78"/>
      <c r="P4097" s="85"/>
    </row>
    <row r="4098" spans="11:16">
      <c r="K4098" s="85">
        <v>30</v>
      </c>
      <c r="L4098" s="78"/>
      <c r="M4098" s="78"/>
      <c r="N4098" s="78"/>
      <c r="P4098" s="85"/>
    </row>
    <row r="4099" spans="11:16">
      <c r="K4099" s="85">
        <v>31</v>
      </c>
      <c r="L4099" s="78"/>
      <c r="M4099" s="78"/>
      <c r="N4099" s="78"/>
      <c r="P4099" s="85"/>
    </row>
    <row r="4100" spans="11:16">
      <c r="K4100" s="85">
        <v>32</v>
      </c>
      <c r="L4100" s="78"/>
      <c r="M4100" s="78"/>
      <c r="N4100" s="78"/>
      <c r="P4100" s="85"/>
    </row>
    <row r="4101" spans="11:16">
      <c r="K4101" s="85">
        <v>33</v>
      </c>
      <c r="L4101" s="78"/>
      <c r="M4101" s="78"/>
      <c r="N4101" s="78"/>
      <c r="P4101" s="85"/>
    </row>
    <row r="4102" spans="11:16">
      <c r="K4102" s="85">
        <v>34</v>
      </c>
      <c r="L4102" s="78"/>
      <c r="M4102" s="78"/>
      <c r="N4102" s="78"/>
      <c r="P4102" s="85"/>
    </row>
    <row r="4103" spans="11:16">
      <c r="K4103" s="85">
        <v>35</v>
      </c>
      <c r="L4103" s="78"/>
      <c r="M4103" s="78"/>
      <c r="N4103" s="78"/>
      <c r="P4103" s="85"/>
    </row>
    <row r="4104" spans="11:16">
      <c r="K4104" s="85">
        <v>36</v>
      </c>
      <c r="L4104" s="78"/>
      <c r="M4104" s="78"/>
      <c r="N4104" s="78"/>
      <c r="P4104" s="85"/>
    </row>
    <row r="4105" spans="11:16">
      <c r="K4105" s="85">
        <v>25</v>
      </c>
      <c r="L4105" s="78"/>
      <c r="M4105" s="78"/>
      <c r="N4105" s="78"/>
      <c r="P4105" s="85"/>
    </row>
    <row r="4106" spans="11:16">
      <c r="K4106" s="85">
        <v>26</v>
      </c>
      <c r="L4106" s="78"/>
      <c r="M4106" s="78"/>
      <c r="N4106" s="78"/>
      <c r="P4106" s="85"/>
    </row>
    <row r="4107" spans="11:16">
      <c r="K4107" s="85">
        <v>27</v>
      </c>
      <c r="L4107" s="78"/>
      <c r="M4107" s="78"/>
      <c r="N4107" s="78"/>
      <c r="P4107" s="85"/>
    </row>
    <row r="4108" spans="11:16">
      <c r="K4108" s="85">
        <v>28</v>
      </c>
      <c r="L4108" s="78"/>
      <c r="M4108" s="78"/>
      <c r="N4108" s="78"/>
      <c r="P4108" s="85"/>
    </row>
    <row r="4109" spans="11:16">
      <c r="K4109" s="85">
        <v>29</v>
      </c>
      <c r="L4109" s="78"/>
      <c r="M4109" s="78"/>
      <c r="N4109" s="78"/>
      <c r="P4109" s="85"/>
    </row>
    <row r="4110" spans="11:16">
      <c r="K4110" s="85">
        <v>30</v>
      </c>
      <c r="L4110" s="78"/>
      <c r="M4110" s="78"/>
      <c r="N4110" s="78"/>
      <c r="P4110" s="85"/>
    </row>
    <row r="4111" spans="11:16">
      <c r="K4111" s="85">
        <v>31</v>
      </c>
      <c r="L4111" s="78"/>
      <c r="M4111" s="78"/>
      <c r="N4111" s="78"/>
      <c r="P4111" s="85"/>
    </row>
    <row r="4112" spans="11:16">
      <c r="K4112" s="85">
        <v>32</v>
      </c>
      <c r="L4112" s="78"/>
      <c r="M4112" s="78"/>
      <c r="N4112" s="78"/>
      <c r="P4112" s="85"/>
    </row>
    <row r="4113" spans="11:16">
      <c r="K4113" s="85">
        <v>34</v>
      </c>
      <c r="L4113" s="78"/>
      <c r="M4113" s="78"/>
      <c r="N4113" s="78"/>
      <c r="P4113" s="85"/>
    </row>
    <row r="4114" spans="11:16">
      <c r="K4114" s="85">
        <v>35</v>
      </c>
      <c r="L4114" s="78"/>
      <c r="M4114" s="78"/>
      <c r="N4114" s="78"/>
      <c r="P4114" s="85"/>
    </row>
    <row r="4115" spans="11:16">
      <c r="K4115" s="85">
        <v>25</v>
      </c>
      <c r="L4115" s="78"/>
      <c r="M4115" s="78"/>
      <c r="N4115" s="78"/>
      <c r="P4115" s="85"/>
    </row>
    <row r="4116" spans="11:16">
      <c r="K4116" s="85">
        <v>26</v>
      </c>
      <c r="L4116" s="78"/>
      <c r="M4116" s="78"/>
      <c r="N4116" s="78"/>
      <c r="P4116" s="85"/>
    </row>
    <row r="4117" spans="11:16">
      <c r="K4117" s="85">
        <v>27</v>
      </c>
      <c r="L4117" s="78"/>
      <c r="M4117" s="78"/>
      <c r="N4117" s="78"/>
      <c r="P4117" s="85"/>
    </row>
    <row r="4118" spans="11:16">
      <c r="K4118" s="85">
        <v>28</v>
      </c>
      <c r="L4118" s="78"/>
      <c r="M4118" s="78"/>
      <c r="N4118" s="78"/>
      <c r="P4118" s="85"/>
    </row>
    <row r="4119" spans="11:16">
      <c r="K4119" s="85">
        <v>29</v>
      </c>
      <c r="L4119" s="78"/>
      <c r="M4119" s="78"/>
      <c r="N4119" s="78"/>
      <c r="P4119" s="85"/>
    </row>
    <row r="4120" spans="11:16">
      <c r="K4120" s="85">
        <v>30</v>
      </c>
      <c r="L4120" s="78"/>
      <c r="M4120" s="78"/>
      <c r="N4120" s="78"/>
      <c r="P4120" s="85"/>
    </row>
    <row r="4121" spans="11:16">
      <c r="K4121" s="85">
        <v>31</v>
      </c>
      <c r="L4121" s="78"/>
      <c r="M4121" s="78"/>
      <c r="N4121" s="78"/>
      <c r="P4121" s="85"/>
    </row>
    <row r="4122" spans="11:16">
      <c r="K4122" s="85">
        <v>32</v>
      </c>
      <c r="L4122" s="78"/>
      <c r="M4122" s="78"/>
      <c r="N4122" s="78"/>
      <c r="P4122" s="85"/>
    </row>
    <row r="4123" spans="11:16">
      <c r="K4123" s="85">
        <v>33</v>
      </c>
      <c r="L4123" s="78"/>
      <c r="M4123" s="78"/>
      <c r="N4123" s="78"/>
      <c r="P4123" s="85"/>
    </row>
    <row r="4124" spans="11:16">
      <c r="K4124" s="85">
        <v>34</v>
      </c>
      <c r="L4124" s="78"/>
      <c r="M4124" s="78"/>
      <c r="N4124" s="78"/>
      <c r="P4124" s="85"/>
    </row>
    <row r="4125" spans="11:16">
      <c r="K4125" s="85">
        <v>36</v>
      </c>
      <c r="L4125" s="78"/>
      <c r="M4125" s="78"/>
      <c r="N4125" s="78"/>
      <c r="P4125" s="85"/>
    </row>
    <row r="4126" spans="11:16">
      <c r="K4126" s="85">
        <v>27</v>
      </c>
      <c r="L4126" s="78"/>
      <c r="M4126" s="78"/>
      <c r="N4126" s="78"/>
      <c r="P4126" s="85"/>
    </row>
    <row r="4127" spans="11:16">
      <c r="K4127" s="85">
        <v>31</v>
      </c>
      <c r="L4127" s="78"/>
      <c r="M4127" s="78"/>
      <c r="N4127" s="78"/>
      <c r="P4127" s="85"/>
    </row>
    <row r="4128" spans="11:16">
      <c r="K4128" s="85">
        <v>34</v>
      </c>
      <c r="L4128" s="78"/>
      <c r="M4128" s="78"/>
      <c r="N4128" s="78"/>
      <c r="P4128" s="85"/>
    </row>
    <row r="4129" spans="11:16">
      <c r="K4129" s="85">
        <v>35</v>
      </c>
      <c r="L4129" s="78"/>
      <c r="M4129" s="78"/>
      <c r="N4129" s="78"/>
      <c r="P4129" s="85"/>
    </row>
    <row r="4130" spans="11:16">
      <c r="K4130" s="85">
        <v>26</v>
      </c>
      <c r="L4130" s="78"/>
      <c r="M4130" s="78"/>
      <c r="N4130" s="78"/>
      <c r="P4130" s="85"/>
    </row>
    <row r="4131" spans="11:16">
      <c r="K4131" s="85">
        <v>28</v>
      </c>
      <c r="L4131" s="78"/>
      <c r="M4131" s="78"/>
      <c r="N4131" s="78"/>
      <c r="P4131" s="85"/>
    </row>
    <row r="4132" spans="11:16">
      <c r="K4132" s="85">
        <v>34</v>
      </c>
      <c r="L4132" s="78"/>
      <c r="M4132" s="78"/>
      <c r="N4132" s="78"/>
      <c r="P4132" s="85"/>
    </row>
    <row r="4133" spans="11:16">
      <c r="K4133" s="85">
        <v>26</v>
      </c>
      <c r="L4133" s="78"/>
      <c r="M4133" s="78"/>
      <c r="N4133" s="78"/>
      <c r="P4133" s="85"/>
    </row>
    <row r="4134" spans="11:16">
      <c r="K4134" s="85">
        <v>27</v>
      </c>
      <c r="L4134" s="78"/>
      <c r="M4134" s="78"/>
      <c r="N4134" s="78"/>
      <c r="P4134" s="85"/>
    </row>
    <row r="4135" spans="11:16">
      <c r="K4135" s="85">
        <v>28</v>
      </c>
      <c r="L4135" s="78"/>
      <c r="M4135" s="78"/>
      <c r="N4135" s="78"/>
      <c r="P4135" s="85"/>
    </row>
    <row r="4136" spans="11:16">
      <c r="K4136" s="85">
        <v>31</v>
      </c>
      <c r="L4136" s="78"/>
      <c r="M4136" s="78"/>
      <c r="N4136" s="78"/>
      <c r="P4136" s="85"/>
    </row>
    <row r="4137" spans="11:16">
      <c r="K4137" s="85">
        <v>32</v>
      </c>
      <c r="L4137" s="78"/>
      <c r="M4137" s="78"/>
      <c r="N4137" s="78"/>
      <c r="P4137" s="85"/>
    </row>
    <row r="4138" spans="11:16">
      <c r="K4138" s="85">
        <v>34</v>
      </c>
      <c r="L4138" s="78"/>
      <c r="M4138" s="78"/>
      <c r="N4138" s="78"/>
      <c r="P4138" s="85"/>
    </row>
    <row r="4139" spans="11:16">
      <c r="K4139" s="85">
        <v>35</v>
      </c>
      <c r="L4139" s="78"/>
      <c r="M4139" s="78"/>
      <c r="N4139" s="78"/>
      <c r="P4139" s="85"/>
    </row>
    <row r="4140" spans="11:16">
      <c r="K4140" s="85">
        <v>36</v>
      </c>
      <c r="L4140" s="78"/>
      <c r="M4140" s="78"/>
      <c r="N4140" s="78"/>
      <c r="P4140" s="85"/>
    </row>
    <row r="4141" spans="11:16">
      <c r="K4141" s="85">
        <v>25</v>
      </c>
      <c r="L4141" s="78"/>
      <c r="M4141" s="78"/>
      <c r="N4141" s="78"/>
      <c r="P4141" s="85"/>
    </row>
    <row r="4142" spans="11:16">
      <c r="K4142" s="85">
        <v>26</v>
      </c>
      <c r="L4142" s="78"/>
      <c r="M4142" s="78"/>
      <c r="N4142" s="78"/>
      <c r="P4142" s="85"/>
    </row>
    <row r="4143" spans="11:16">
      <c r="K4143" s="85">
        <v>27</v>
      </c>
      <c r="L4143" s="78"/>
      <c r="M4143" s="78"/>
      <c r="N4143" s="78"/>
      <c r="P4143" s="85"/>
    </row>
    <row r="4144" spans="11:16">
      <c r="K4144" s="85">
        <v>28</v>
      </c>
      <c r="L4144" s="78"/>
      <c r="M4144" s="78"/>
      <c r="N4144" s="78"/>
      <c r="P4144" s="85"/>
    </row>
    <row r="4145" spans="11:16">
      <c r="K4145" s="85">
        <v>29</v>
      </c>
      <c r="L4145" s="78"/>
      <c r="M4145" s="78"/>
      <c r="N4145" s="78"/>
      <c r="P4145" s="85"/>
    </row>
    <row r="4146" spans="11:16">
      <c r="K4146" s="85">
        <v>30</v>
      </c>
      <c r="L4146" s="78"/>
      <c r="M4146" s="78"/>
      <c r="N4146" s="78"/>
      <c r="P4146" s="85"/>
    </row>
    <row r="4147" spans="11:16">
      <c r="K4147" s="85">
        <v>31</v>
      </c>
      <c r="L4147" s="78"/>
      <c r="M4147" s="78"/>
      <c r="N4147" s="78"/>
      <c r="P4147" s="85"/>
    </row>
    <row r="4148" spans="11:16">
      <c r="K4148" s="85">
        <v>32</v>
      </c>
      <c r="L4148" s="78"/>
      <c r="M4148" s="78"/>
      <c r="N4148" s="78"/>
      <c r="P4148" s="85"/>
    </row>
    <row r="4149" spans="11:16">
      <c r="K4149" s="85">
        <v>33</v>
      </c>
      <c r="L4149" s="78"/>
      <c r="M4149" s="78"/>
      <c r="N4149" s="78"/>
      <c r="P4149" s="85"/>
    </row>
    <row r="4150" spans="11:16">
      <c r="K4150" s="85">
        <v>34</v>
      </c>
      <c r="L4150" s="78"/>
      <c r="M4150" s="78"/>
      <c r="N4150" s="78"/>
      <c r="P4150" s="85"/>
    </row>
    <row r="4151" spans="11:16">
      <c r="K4151" s="85">
        <v>35</v>
      </c>
      <c r="L4151" s="78"/>
      <c r="M4151" s="78"/>
      <c r="N4151" s="78"/>
      <c r="P4151" s="85"/>
    </row>
    <row r="4152" spans="11:16">
      <c r="K4152" s="85">
        <v>36</v>
      </c>
      <c r="L4152" s="78"/>
      <c r="M4152" s="78"/>
      <c r="N4152" s="78"/>
      <c r="P4152" s="85"/>
    </row>
    <row r="4153" spans="11:16">
      <c r="K4153" s="85">
        <v>25</v>
      </c>
      <c r="L4153" s="78"/>
      <c r="M4153" s="78"/>
      <c r="N4153" s="78"/>
      <c r="P4153" s="85"/>
    </row>
    <row r="4154" spans="11:16">
      <c r="K4154" s="85">
        <v>26</v>
      </c>
      <c r="L4154" s="78"/>
      <c r="M4154" s="78"/>
      <c r="N4154" s="78"/>
      <c r="P4154" s="85"/>
    </row>
    <row r="4155" spans="11:16">
      <c r="K4155" s="85">
        <v>27</v>
      </c>
      <c r="L4155" s="78"/>
      <c r="M4155" s="78"/>
      <c r="N4155" s="78"/>
      <c r="P4155" s="85"/>
    </row>
    <row r="4156" spans="11:16">
      <c r="K4156" s="85">
        <v>28</v>
      </c>
      <c r="L4156" s="78"/>
      <c r="M4156" s="78"/>
      <c r="N4156" s="78"/>
      <c r="P4156" s="85"/>
    </row>
    <row r="4157" spans="11:16">
      <c r="K4157" s="85">
        <v>29</v>
      </c>
      <c r="L4157" s="78"/>
      <c r="M4157" s="78"/>
      <c r="N4157" s="78"/>
      <c r="P4157" s="85"/>
    </row>
    <row r="4158" spans="11:16">
      <c r="K4158" s="85">
        <v>30</v>
      </c>
      <c r="L4158" s="78"/>
      <c r="M4158" s="78"/>
      <c r="N4158" s="78"/>
      <c r="P4158" s="85"/>
    </row>
    <row r="4159" spans="11:16">
      <c r="K4159" s="85">
        <v>31</v>
      </c>
      <c r="L4159" s="78"/>
      <c r="M4159" s="78"/>
      <c r="N4159" s="78"/>
      <c r="P4159" s="85"/>
    </row>
    <row r="4160" spans="11:16">
      <c r="K4160" s="85">
        <v>32</v>
      </c>
      <c r="L4160" s="78"/>
      <c r="M4160" s="78"/>
      <c r="N4160" s="78"/>
      <c r="P4160" s="85"/>
    </row>
    <row r="4161" spans="11:16">
      <c r="K4161" s="85">
        <v>33</v>
      </c>
      <c r="L4161" s="78"/>
      <c r="M4161" s="78"/>
      <c r="N4161" s="78"/>
      <c r="P4161" s="85"/>
    </row>
    <row r="4162" spans="11:16">
      <c r="K4162" s="85">
        <v>34</v>
      </c>
      <c r="L4162" s="78"/>
      <c r="M4162" s="78"/>
      <c r="N4162" s="78"/>
      <c r="P4162" s="85"/>
    </row>
    <row r="4163" spans="11:16">
      <c r="K4163" s="85">
        <v>35</v>
      </c>
      <c r="L4163" s="78"/>
      <c r="M4163" s="78"/>
      <c r="N4163" s="78"/>
      <c r="P4163" s="85"/>
    </row>
    <row r="4164" spans="11:16">
      <c r="K4164" s="85">
        <v>36</v>
      </c>
      <c r="L4164" s="78"/>
      <c r="M4164" s="78"/>
      <c r="N4164" s="78"/>
      <c r="P4164" s="85"/>
    </row>
    <row r="4165" spans="11:16">
      <c r="K4165" s="85">
        <v>25</v>
      </c>
      <c r="L4165" s="78"/>
      <c r="M4165" s="78"/>
      <c r="N4165" s="78"/>
      <c r="P4165" s="85"/>
    </row>
    <row r="4166" spans="11:16">
      <c r="K4166" s="85">
        <v>27</v>
      </c>
      <c r="L4166" s="78"/>
      <c r="M4166" s="78"/>
      <c r="N4166" s="78"/>
      <c r="P4166" s="85"/>
    </row>
    <row r="4167" spans="11:16">
      <c r="K4167" s="85">
        <v>31</v>
      </c>
      <c r="L4167" s="78"/>
      <c r="M4167" s="78"/>
      <c r="N4167" s="78"/>
      <c r="P4167" s="85"/>
    </row>
    <row r="4168" spans="11:16">
      <c r="K4168" s="85">
        <v>32</v>
      </c>
      <c r="L4168" s="78"/>
      <c r="M4168" s="78"/>
      <c r="N4168" s="78"/>
      <c r="P4168" s="85"/>
    </row>
    <row r="4169" spans="11:16">
      <c r="K4169" s="85">
        <v>33</v>
      </c>
      <c r="L4169" s="78"/>
      <c r="M4169" s="78"/>
      <c r="N4169" s="78"/>
      <c r="P4169" s="85"/>
    </row>
    <row r="4170" spans="11:16">
      <c r="K4170" s="85">
        <v>34</v>
      </c>
      <c r="L4170" s="78"/>
      <c r="M4170" s="78"/>
      <c r="N4170" s="78"/>
      <c r="P4170" s="85"/>
    </row>
    <row r="4171" spans="11:16">
      <c r="K4171" s="85">
        <v>35</v>
      </c>
      <c r="L4171" s="78"/>
      <c r="M4171" s="78"/>
      <c r="N4171" s="78"/>
      <c r="P4171" s="85"/>
    </row>
    <row r="4172" spans="11:16">
      <c r="K4172" s="85">
        <v>27</v>
      </c>
      <c r="L4172" s="78"/>
      <c r="M4172" s="78"/>
      <c r="N4172" s="78"/>
      <c r="P4172" s="85"/>
    </row>
    <row r="4173" spans="11:16">
      <c r="K4173" s="85">
        <v>28</v>
      </c>
      <c r="L4173" s="78"/>
      <c r="M4173" s="78"/>
      <c r="N4173" s="78"/>
      <c r="P4173" s="85"/>
    </row>
    <row r="4174" spans="11:16">
      <c r="K4174" s="85">
        <v>32</v>
      </c>
      <c r="L4174" s="78"/>
      <c r="M4174" s="78"/>
      <c r="N4174" s="78"/>
      <c r="P4174" s="85"/>
    </row>
    <row r="4175" spans="11:16">
      <c r="K4175" s="85">
        <v>34</v>
      </c>
      <c r="L4175" s="78"/>
      <c r="M4175" s="78"/>
      <c r="N4175" s="78"/>
      <c r="P4175" s="85"/>
    </row>
    <row r="4176" spans="11:16">
      <c r="K4176" s="85">
        <v>35</v>
      </c>
      <c r="L4176" s="78"/>
      <c r="M4176" s="78"/>
      <c r="N4176" s="78"/>
      <c r="P4176" s="85"/>
    </row>
    <row r="4177" spans="11:16">
      <c r="K4177" s="85">
        <v>36</v>
      </c>
      <c r="L4177" s="78"/>
      <c r="M4177" s="78"/>
      <c r="N4177" s="78"/>
      <c r="P4177" s="85"/>
    </row>
    <row r="4178" spans="11:16">
      <c r="K4178" s="85">
        <v>25</v>
      </c>
      <c r="L4178" s="78"/>
      <c r="M4178" s="78"/>
      <c r="N4178" s="78"/>
      <c r="P4178" s="85"/>
    </row>
    <row r="4179" spans="11:16">
      <c r="K4179" s="85">
        <v>26</v>
      </c>
      <c r="L4179" s="78"/>
      <c r="M4179" s="78"/>
      <c r="N4179" s="78"/>
      <c r="P4179" s="85"/>
    </row>
    <row r="4180" spans="11:16">
      <c r="K4180" s="85">
        <v>27</v>
      </c>
      <c r="L4180" s="78"/>
      <c r="M4180" s="78"/>
      <c r="N4180" s="78"/>
      <c r="P4180" s="85"/>
    </row>
    <row r="4181" spans="11:16">
      <c r="K4181" s="85">
        <v>28</v>
      </c>
      <c r="L4181" s="78"/>
      <c r="M4181" s="78"/>
      <c r="N4181" s="78"/>
      <c r="P4181" s="85"/>
    </row>
    <row r="4182" spans="11:16">
      <c r="K4182" s="85">
        <v>29</v>
      </c>
      <c r="L4182" s="78"/>
      <c r="M4182" s="78"/>
      <c r="N4182" s="78"/>
      <c r="P4182" s="85"/>
    </row>
    <row r="4183" spans="11:16">
      <c r="K4183" s="85">
        <v>30</v>
      </c>
      <c r="L4183" s="78"/>
      <c r="M4183" s="78"/>
      <c r="N4183" s="78"/>
      <c r="P4183" s="85"/>
    </row>
    <row r="4184" spans="11:16">
      <c r="K4184" s="85">
        <v>31</v>
      </c>
      <c r="L4184" s="78"/>
      <c r="M4184" s="78"/>
      <c r="N4184" s="78"/>
      <c r="P4184" s="85"/>
    </row>
    <row r="4185" spans="11:16">
      <c r="K4185" s="85">
        <v>32</v>
      </c>
      <c r="L4185" s="78"/>
      <c r="M4185" s="78"/>
      <c r="N4185" s="78"/>
      <c r="P4185" s="85"/>
    </row>
    <row r="4186" spans="11:16">
      <c r="K4186" s="85">
        <v>35</v>
      </c>
      <c r="L4186" s="78"/>
      <c r="M4186" s="78"/>
      <c r="N4186" s="78"/>
      <c r="P4186" s="85"/>
    </row>
    <row r="4187" spans="11:16">
      <c r="K4187" s="85">
        <v>25</v>
      </c>
      <c r="L4187" s="78"/>
      <c r="M4187" s="78"/>
      <c r="N4187" s="78"/>
      <c r="P4187" s="85"/>
    </row>
    <row r="4188" spans="11:16">
      <c r="K4188" s="85">
        <v>26</v>
      </c>
      <c r="L4188" s="78"/>
      <c r="M4188" s="78"/>
      <c r="N4188" s="78"/>
      <c r="P4188" s="85"/>
    </row>
    <row r="4189" spans="11:16">
      <c r="K4189" s="85">
        <v>28</v>
      </c>
      <c r="L4189" s="78"/>
      <c r="M4189" s="78"/>
      <c r="N4189" s="78"/>
      <c r="P4189" s="85"/>
    </row>
    <row r="4190" spans="11:16">
      <c r="K4190" s="85">
        <v>30</v>
      </c>
      <c r="L4190" s="78"/>
      <c r="M4190" s="78"/>
      <c r="N4190" s="78"/>
      <c r="P4190" s="85"/>
    </row>
    <row r="4191" spans="11:16">
      <c r="K4191" s="85">
        <v>25</v>
      </c>
      <c r="L4191" s="78"/>
      <c r="M4191" s="78"/>
      <c r="N4191" s="78"/>
      <c r="P4191" s="85"/>
    </row>
    <row r="4192" spans="11:16">
      <c r="K4192" s="85">
        <v>26</v>
      </c>
      <c r="L4192" s="78"/>
      <c r="M4192" s="78"/>
      <c r="N4192" s="78"/>
      <c r="P4192" s="85"/>
    </row>
    <row r="4193" spans="11:16">
      <c r="K4193" s="85">
        <v>27</v>
      </c>
      <c r="L4193" s="78"/>
      <c r="M4193" s="78"/>
      <c r="N4193" s="78"/>
      <c r="P4193" s="85"/>
    </row>
    <row r="4194" spans="11:16">
      <c r="K4194" s="85">
        <v>28</v>
      </c>
      <c r="L4194" s="78"/>
      <c r="M4194" s="78"/>
      <c r="N4194" s="78"/>
      <c r="P4194" s="85"/>
    </row>
    <row r="4195" spans="11:16">
      <c r="K4195" s="85">
        <v>29</v>
      </c>
      <c r="L4195" s="78"/>
      <c r="M4195" s="78"/>
      <c r="N4195" s="78"/>
      <c r="P4195" s="85"/>
    </row>
    <row r="4196" spans="11:16">
      <c r="K4196" s="85">
        <v>30</v>
      </c>
      <c r="L4196" s="78"/>
      <c r="M4196" s="78"/>
      <c r="N4196" s="78"/>
      <c r="P4196" s="85"/>
    </row>
    <row r="4197" spans="11:16">
      <c r="K4197" s="85">
        <v>31</v>
      </c>
      <c r="L4197" s="78"/>
      <c r="M4197" s="78"/>
      <c r="N4197" s="78"/>
      <c r="P4197" s="85"/>
    </row>
    <row r="4198" spans="11:16">
      <c r="K4198" s="85">
        <v>32</v>
      </c>
      <c r="L4198" s="78"/>
      <c r="M4198" s="78"/>
      <c r="N4198" s="78"/>
      <c r="P4198" s="85"/>
    </row>
    <row r="4199" spans="11:16">
      <c r="K4199" s="85">
        <v>34</v>
      </c>
      <c r="L4199" s="78"/>
      <c r="M4199" s="78"/>
      <c r="N4199" s="78"/>
      <c r="P4199" s="85"/>
    </row>
    <row r="4200" spans="11:16">
      <c r="K4200" s="85">
        <v>35</v>
      </c>
      <c r="L4200" s="78"/>
      <c r="M4200" s="78"/>
      <c r="N4200" s="78"/>
      <c r="P4200" s="85"/>
    </row>
    <row r="4201" spans="11:16">
      <c r="K4201" s="85">
        <v>25</v>
      </c>
      <c r="L4201" s="78"/>
      <c r="M4201" s="78"/>
      <c r="N4201" s="78"/>
      <c r="P4201" s="85"/>
    </row>
    <row r="4202" spans="11:16">
      <c r="K4202" s="85">
        <v>26</v>
      </c>
      <c r="L4202" s="78"/>
      <c r="M4202" s="78"/>
      <c r="N4202" s="78"/>
      <c r="P4202" s="85"/>
    </row>
    <row r="4203" spans="11:16">
      <c r="K4203" s="85">
        <v>27</v>
      </c>
      <c r="L4203" s="78"/>
      <c r="M4203" s="78"/>
      <c r="N4203" s="78"/>
      <c r="P4203" s="85"/>
    </row>
    <row r="4204" spans="11:16">
      <c r="K4204" s="85">
        <v>28</v>
      </c>
      <c r="L4204" s="78"/>
      <c r="M4204" s="78"/>
      <c r="N4204" s="78"/>
      <c r="P4204" s="85"/>
    </row>
    <row r="4205" spans="11:16">
      <c r="K4205" s="85">
        <v>30</v>
      </c>
      <c r="L4205" s="78"/>
      <c r="M4205" s="78"/>
      <c r="N4205" s="78"/>
      <c r="P4205" s="85"/>
    </row>
    <row r="4206" spans="11:16">
      <c r="K4206" s="85">
        <v>31</v>
      </c>
      <c r="L4206" s="78"/>
      <c r="M4206" s="78"/>
      <c r="N4206" s="78"/>
      <c r="P4206" s="85"/>
    </row>
    <row r="4207" spans="11:16">
      <c r="K4207" s="85">
        <v>33</v>
      </c>
      <c r="L4207" s="78"/>
      <c r="M4207" s="78"/>
      <c r="N4207" s="78"/>
      <c r="P4207" s="85"/>
    </row>
    <row r="4208" spans="11:16">
      <c r="K4208" s="85">
        <v>35</v>
      </c>
      <c r="L4208" s="78"/>
      <c r="M4208" s="78"/>
      <c r="N4208" s="78"/>
      <c r="P4208" s="85"/>
    </row>
    <row r="4209" spans="11:16">
      <c r="K4209" s="85">
        <v>25</v>
      </c>
      <c r="L4209" s="78"/>
      <c r="M4209" s="78"/>
      <c r="N4209" s="78"/>
      <c r="P4209" s="85"/>
    </row>
    <row r="4210" spans="11:16">
      <c r="K4210" s="85">
        <v>26</v>
      </c>
      <c r="L4210" s="78"/>
      <c r="M4210" s="78"/>
      <c r="N4210" s="78"/>
      <c r="P4210" s="85"/>
    </row>
    <row r="4211" spans="11:16">
      <c r="K4211" s="85">
        <v>27</v>
      </c>
      <c r="L4211" s="78"/>
      <c r="M4211" s="78"/>
      <c r="N4211" s="78"/>
      <c r="P4211" s="85"/>
    </row>
    <row r="4212" spans="11:16">
      <c r="K4212" s="85">
        <v>28</v>
      </c>
      <c r="L4212" s="78"/>
      <c r="M4212" s="78"/>
      <c r="N4212" s="78"/>
      <c r="P4212" s="85"/>
    </row>
    <row r="4213" spans="11:16">
      <c r="K4213" s="85">
        <v>29</v>
      </c>
      <c r="L4213" s="78"/>
      <c r="M4213" s="78"/>
      <c r="N4213" s="78"/>
      <c r="P4213" s="85"/>
    </row>
    <row r="4214" spans="11:16">
      <c r="K4214" s="85">
        <v>30</v>
      </c>
      <c r="L4214" s="78"/>
      <c r="M4214" s="78"/>
      <c r="N4214" s="78"/>
      <c r="P4214" s="85"/>
    </row>
    <row r="4215" spans="11:16">
      <c r="K4215" s="85">
        <v>31</v>
      </c>
      <c r="L4215" s="78"/>
      <c r="M4215" s="78"/>
      <c r="N4215" s="78"/>
      <c r="P4215" s="85"/>
    </row>
    <row r="4216" spans="11:16">
      <c r="K4216" s="85">
        <v>32</v>
      </c>
      <c r="L4216" s="78"/>
      <c r="M4216" s="78"/>
      <c r="N4216" s="78"/>
      <c r="P4216" s="85"/>
    </row>
    <row r="4217" spans="11:16">
      <c r="K4217" s="85">
        <v>34</v>
      </c>
      <c r="L4217" s="78"/>
      <c r="M4217" s="78"/>
      <c r="N4217" s="78"/>
      <c r="P4217" s="85"/>
    </row>
    <row r="4218" spans="11:16">
      <c r="K4218" s="85">
        <v>35</v>
      </c>
      <c r="L4218" s="78"/>
      <c r="M4218" s="78"/>
      <c r="N4218" s="78"/>
      <c r="P4218" s="85"/>
    </row>
    <row r="4219" spans="11:16">
      <c r="K4219" s="85">
        <v>36</v>
      </c>
      <c r="L4219" s="78"/>
      <c r="M4219" s="78"/>
      <c r="N4219" s="78"/>
      <c r="P4219" s="85"/>
    </row>
    <row r="4220" spans="11:16">
      <c r="K4220" s="85">
        <v>26</v>
      </c>
      <c r="L4220" s="78"/>
      <c r="M4220" s="78"/>
      <c r="N4220" s="78"/>
      <c r="P4220" s="85"/>
    </row>
    <row r="4221" spans="11:16">
      <c r="K4221" s="85">
        <v>27</v>
      </c>
      <c r="L4221" s="78"/>
      <c r="M4221" s="78"/>
      <c r="N4221" s="78"/>
      <c r="P4221" s="85"/>
    </row>
    <row r="4222" spans="11:16">
      <c r="K4222" s="85">
        <v>30</v>
      </c>
      <c r="L4222" s="78"/>
      <c r="M4222" s="78"/>
      <c r="N4222" s="78"/>
      <c r="P4222" s="85"/>
    </row>
    <row r="4223" spans="11:16">
      <c r="K4223" s="85">
        <v>31</v>
      </c>
      <c r="L4223" s="78"/>
      <c r="M4223" s="78"/>
      <c r="N4223" s="78"/>
      <c r="P4223" s="85"/>
    </row>
    <row r="4224" spans="11:16">
      <c r="K4224" s="85">
        <v>32</v>
      </c>
      <c r="L4224" s="78"/>
      <c r="M4224" s="78"/>
      <c r="N4224" s="78"/>
      <c r="P4224" s="85"/>
    </row>
    <row r="4225" spans="11:16">
      <c r="K4225" s="85">
        <v>34</v>
      </c>
      <c r="L4225" s="78"/>
      <c r="M4225" s="78"/>
      <c r="N4225" s="78"/>
      <c r="P4225" s="85"/>
    </row>
    <row r="4226" spans="11:16">
      <c r="K4226" s="85">
        <v>35</v>
      </c>
      <c r="L4226" s="78"/>
      <c r="M4226" s="78"/>
      <c r="N4226" s="78"/>
      <c r="P4226" s="85"/>
    </row>
    <row r="4227" spans="11:16">
      <c r="K4227" s="85">
        <v>25</v>
      </c>
      <c r="L4227" s="78"/>
      <c r="M4227" s="78"/>
      <c r="N4227" s="78"/>
      <c r="P4227" s="85"/>
    </row>
    <row r="4228" spans="11:16">
      <c r="K4228" s="85">
        <v>27</v>
      </c>
      <c r="L4228" s="78"/>
      <c r="M4228" s="78"/>
      <c r="N4228" s="78"/>
      <c r="P4228" s="85"/>
    </row>
    <row r="4229" spans="11:16">
      <c r="K4229" s="85">
        <v>28</v>
      </c>
      <c r="L4229" s="78"/>
      <c r="M4229" s="78"/>
      <c r="N4229" s="78"/>
      <c r="P4229" s="85"/>
    </row>
    <row r="4230" spans="11:16">
      <c r="K4230" s="85">
        <v>31</v>
      </c>
      <c r="L4230" s="78"/>
      <c r="M4230" s="78"/>
      <c r="N4230" s="78"/>
      <c r="P4230" s="85"/>
    </row>
    <row r="4231" spans="11:16">
      <c r="K4231" s="85">
        <v>34</v>
      </c>
      <c r="L4231" s="78"/>
      <c r="M4231" s="78"/>
      <c r="N4231" s="78"/>
      <c r="P4231" s="85"/>
    </row>
    <row r="4232" spans="11:16">
      <c r="K4232" s="85">
        <v>35</v>
      </c>
      <c r="L4232" s="78"/>
      <c r="M4232" s="78"/>
      <c r="N4232" s="78"/>
      <c r="P4232" s="85"/>
    </row>
    <row r="4233" spans="11:16">
      <c r="K4233" s="85">
        <v>25</v>
      </c>
      <c r="L4233" s="78"/>
      <c r="M4233" s="78"/>
      <c r="N4233" s="78"/>
      <c r="P4233" s="85"/>
    </row>
    <row r="4234" spans="11:16">
      <c r="K4234" s="85">
        <v>26</v>
      </c>
      <c r="L4234" s="78"/>
      <c r="M4234" s="78"/>
      <c r="N4234" s="78"/>
      <c r="P4234" s="85"/>
    </row>
    <row r="4235" spans="11:16">
      <c r="K4235" s="85">
        <v>27</v>
      </c>
      <c r="L4235" s="78"/>
      <c r="M4235" s="78"/>
      <c r="N4235" s="78"/>
      <c r="P4235" s="85"/>
    </row>
    <row r="4236" spans="11:16">
      <c r="K4236" s="85">
        <v>28</v>
      </c>
      <c r="L4236" s="78"/>
      <c r="M4236" s="78"/>
      <c r="N4236" s="78"/>
      <c r="P4236" s="85"/>
    </row>
    <row r="4237" spans="11:16">
      <c r="K4237" s="85">
        <v>29</v>
      </c>
      <c r="L4237" s="78"/>
      <c r="M4237" s="78"/>
      <c r="N4237" s="78"/>
      <c r="P4237" s="85"/>
    </row>
    <row r="4238" spans="11:16">
      <c r="K4238" s="85">
        <v>30</v>
      </c>
      <c r="L4238" s="78"/>
      <c r="M4238" s="78"/>
      <c r="N4238" s="78"/>
      <c r="P4238" s="85"/>
    </row>
    <row r="4239" spans="11:16">
      <c r="K4239" s="85">
        <v>31</v>
      </c>
      <c r="L4239" s="78"/>
      <c r="M4239" s="78"/>
      <c r="N4239" s="78"/>
      <c r="P4239" s="85"/>
    </row>
    <row r="4240" spans="11:16">
      <c r="K4240" s="85">
        <v>32</v>
      </c>
      <c r="L4240" s="78"/>
      <c r="M4240" s="78"/>
      <c r="N4240" s="78"/>
      <c r="P4240" s="85"/>
    </row>
    <row r="4241" spans="11:16">
      <c r="K4241" s="85">
        <v>33</v>
      </c>
      <c r="L4241" s="78"/>
      <c r="M4241" s="78"/>
      <c r="N4241" s="78"/>
      <c r="P4241" s="85"/>
    </row>
    <row r="4242" spans="11:16">
      <c r="K4242" s="85">
        <v>34</v>
      </c>
      <c r="L4242" s="78"/>
      <c r="M4242" s="78"/>
      <c r="N4242" s="78"/>
      <c r="P4242" s="85"/>
    </row>
    <row r="4243" spans="11:16">
      <c r="K4243" s="85">
        <v>35</v>
      </c>
      <c r="L4243" s="78"/>
      <c r="M4243" s="78"/>
      <c r="N4243" s="78"/>
      <c r="P4243" s="85"/>
    </row>
    <row r="4244" spans="11:16">
      <c r="K4244" s="85">
        <v>36</v>
      </c>
      <c r="L4244" s="78"/>
      <c r="M4244" s="78"/>
      <c r="N4244" s="78"/>
      <c r="P4244" s="85"/>
    </row>
    <row r="4245" spans="11:16">
      <c r="K4245" s="85">
        <v>25</v>
      </c>
      <c r="L4245" s="78"/>
      <c r="M4245" s="78"/>
      <c r="N4245" s="78"/>
      <c r="P4245" s="85"/>
    </row>
    <row r="4246" spans="11:16">
      <c r="K4246" s="85">
        <v>26</v>
      </c>
      <c r="L4246" s="78"/>
      <c r="M4246" s="78"/>
      <c r="N4246" s="78"/>
      <c r="P4246" s="85"/>
    </row>
    <row r="4247" spans="11:16">
      <c r="K4247" s="85">
        <v>27</v>
      </c>
      <c r="L4247" s="78"/>
      <c r="M4247" s="78"/>
      <c r="N4247" s="78"/>
      <c r="P4247" s="85"/>
    </row>
    <row r="4248" spans="11:16">
      <c r="K4248" s="85">
        <v>28</v>
      </c>
      <c r="L4248" s="78"/>
      <c r="M4248" s="78"/>
      <c r="N4248" s="78"/>
      <c r="P4248" s="85"/>
    </row>
    <row r="4249" spans="11:16">
      <c r="K4249" s="85">
        <v>29</v>
      </c>
      <c r="L4249" s="78"/>
      <c r="M4249" s="78"/>
      <c r="N4249" s="78"/>
      <c r="P4249" s="85"/>
    </row>
    <row r="4250" spans="11:16">
      <c r="K4250" s="85">
        <v>30</v>
      </c>
      <c r="L4250" s="78"/>
      <c r="M4250" s="78"/>
      <c r="N4250" s="78"/>
      <c r="P4250" s="85"/>
    </row>
    <row r="4251" spans="11:16">
      <c r="K4251" s="85">
        <v>31</v>
      </c>
      <c r="L4251" s="78"/>
      <c r="M4251" s="78"/>
      <c r="N4251" s="78"/>
      <c r="P4251" s="85"/>
    </row>
    <row r="4252" spans="11:16">
      <c r="K4252" s="85">
        <v>32</v>
      </c>
      <c r="L4252" s="78"/>
      <c r="M4252" s="78"/>
      <c r="N4252" s="78"/>
      <c r="P4252" s="85"/>
    </row>
    <row r="4253" spans="11:16">
      <c r="K4253" s="85">
        <v>34</v>
      </c>
      <c r="L4253" s="78"/>
      <c r="M4253" s="78"/>
      <c r="N4253" s="78"/>
      <c r="P4253" s="85"/>
    </row>
    <row r="4254" spans="11:16">
      <c r="K4254" s="85">
        <v>35</v>
      </c>
      <c r="L4254" s="78"/>
      <c r="M4254" s="78"/>
      <c r="N4254" s="78"/>
      <c r="P4254" s="85"/>
    </row>
    <row r="4255" spans="11:16">
      <c r="K4255" s="85">
        <v>31</v>
      </c>
      <c r="L4255" s="78"/>
      <c r="M4255" s="78"/>
      <c r="N4255" s="78"/>
      <c r="P4255" s="85"/>
    </row>
    <row r="4256" spans="11:16">
      <c r="K4256" s="85">
        <v>34</v>
      </c>
      <c r="L4256" s="78"/>
      <c r="M4256" s="78"/>
      <c r="N4256" s="78"/>
      <c r="P4256" s="85"/>
    </row>
    <row r="4257" spans="11:16">
      <c r="K4257" s="85">
        <v>35</v>
      </c>
      <c r="L4257" s="78"/>
      <c r="M4257" s="78"/>
      <c r="N4257" s="78"/>
      <c r="P4257" s="85"/>
    </row>
    <row r="4258" spans="11:16">
      <c r="K4258" s="85">
        <v>25</v>
      </c>
      <c r="L4258" s="78"/>
      <c r="M4258" s="78"/>
      <c r="N4258" s="78"/>
      <c r="P4258" s="85"/>
    </row>
    <row r="4259" spans="11:16">
      <c r="K4259" s="85">
        <v>26</v>
      </c>
      <c r="L4259" s="78"/>
      <c r="M4259" s="78"/>
      <c r="N4259" s="78"/>
      <c r="P4259" s="85"/>
    </row>
    <row r="4260" spans="11:16">
      <c r="K4260" s="85">
        <v>27</v>
      </c>
      <c r="L4260" s="78"/>
      <c r="M4260" s="78"/>
      <c r="N4260" s="78"/>
      <c r="P4260" s="85"/>
    </row>
    <row r="4261" spans="11:16">
      <c r="K4261" s="85">
        <v>28</v>
      </c>
      <c r="L4261" s="78"/>
      <c r="M4261" s="78"/>
      <c r="N4261" s="78"/>
      <c r="P4261" s="85"/>
    </row>
    <row r="4262" spans="11:16">
      <c r="K4262" s="85">
        <v>29</v>
      </c>
      <c r="L4262" s="78"/>
      <c r="M4262" s="78"/>
      <c r="N4262" s="78"/>
      <c r="P4262" s="85"/>
    </row>
    <row r="4263" spans="11:16">
      <c r="K4263" s="85">
        <v>30</v>
      </c>
      <c r="L4263" s="78"/>
      <c r="M4263" s="78"/>
      <c r="N4263" s="78"/>
      <c r="P4263" s="85"/>
    </row>
    <row r="4264" spans="11:16">
      <c r="K4264" s="85">
        <v>31</v>
      </c>
      <c r="L4264" s="78"/>
      <c r="M4264" s="78"/>
      <c r="N4264" s="78"/>
      <c r="P4264" s="85"/>
    </row>
    <row r="4265" spans="11:16">
      <c r="K4265" s="85">
        <v>33</v>
      </c>
      <c r="L4265" s="78"/>
      <c r="M4265" s="78"/>
      <c r="N4265" s="78"/>
      <c r="P4265" s="85"/>
    </row>
    <row r="4266" spans="11:16">
      <c r="K4266" s="85">
        <v>34</v>
      </c>
      <c r="L4266" s="78"/>
      <c r="M4266" s="78"/>
      <c r="N4266" s="78"/>
      <c r="P4266" s="85"/>
    </row>
    <row r="4267" spans="11:16">
      <c r="K4267" s="85">
        <v>35</v>
      </c>
      <c r="L4267" s="78"/>
      <c r="M4267" s="78"/>
      <c r="N4267" s="78"/>
      <c r="P4267" s="85"/>
    </row>
    <row r="4268" spans="11:16">
      <c r="K4268" s="85">
        <v>36</v>
      </c>
      <c r="L4268" s="78"/>
      <c r="M4268" s="78"/>
      <c r="N4268" s="78"/>
      <c r="P4268" s="85"/>
    </row>
    <row r="4269" spans="11:16">
      <c r="K4269" s="85">
        <v>27</v>
      </c>
      <c r="L4269" s="78"/>
      <c r="M4269" s="78"/>
      <c r="N4269" s="78"/>
      <c r="P4269" s="85"/>
    </row>
    <row r="4270" spans="11:16">
      <c r="K4270" s="85">
        <v>31</v>
      </c>
      <c r="L4270" s="78"/>
      <c r="M4270" s="78"/>
      <c r="N4270" s="78"/>
      <c r="P4270" s="85"/>
    </row>
    <row r="4271" spans="11:16">
      <c r="K4271" s="85">
        <v>32</v>
      </c>
      <c r="L4271" s="78"/>
      <c r="M4271" s="78"/>
      <c r="N4271" s="78"/>
      <c r="P4271" s="85"/>
    </row>
    <row r="4272" spans="11:16">
      <c r="K4272" s="85">
        <v>35</v>
      </c>
      <c r="L4272" s="78"/>
      <c r="M4272" s="78"/>
      <c r="N4272" s="78"/>
      <c r="P4272" s="85"/>
    </row>
    <row r="4273" spans="11:16">
      <c r="K4273" s="85">
        <v>25</v>
      </c>
      <c r="L4273" s="78"/>
      <c r="M4273" s="78"/>
      <c r="N4273" s="78"/>
      <c r="P4273" s="85"/>
    </row>
    <row r="4274" spans="11:16">
      <c r="K4274" s="85">
        <v>26</v>
      </c>
      <c r="L4274" s="78"/>
      <c r="M4274" s="78"/>
      <c r="N4274" s="78"/>
      <c r="P4274" s="85"/>
    </row>
    <row r="4275" spans="11:16">
      <c r="K4275" s="85">
        <v>28</v>
      </c>
      <c r="L4275" s="78"/>
      <c r="M4275" s="78"/>
      <c r="N4275" s="78"/>
      <c r="P4275" s="85"/>
    </row>
    <row r="4276" spans="11:16">
      <c r="K4276" s="85">
        <v>30</v>
      </c>
      <c r="L4276" s="78"/>
      <c r="M4276" s="78"/>
      <c r="N4276" s="78"/>
      <c r="P4276" s="85"/>
    </row>
    <row r="4277" spans="11:16">
      <c r="K4277" s="85">
        <v>34</v>
      </c>
      <c r="L4277" s="78"/>
      <c r="M4277" s="78"/>
      <c r="N4277" s="78"/>
      <c r="P4277" s="85"/>
    </row>
    <row r="4278" spans="11:16">
      <c r="K4278" s="85">
        <v>35</v>
      </c>
      <c r="L4278" s="78"/>
      <c r="M4278" s="78"/>
      <c r="N4278" s="78"/>
      <c r="P4278" s="85"/>
    </row>
    <row r="4279" spans="11:16">
      <c r="K4279" s="85">
        <v>36</v>
      </c>
      <c r="L4279" s="78"/>
      <c r="M4279" s="78"/>
      <c r="N4279" s="78"/>
      <c r="P4279" s="85"/>
    </row>
    <row r="4280" spans="11:16">
      <c r="K4280" s="85">
        <v>25</v>
      </c>
      <c r="L4280" s="78"/>
      <c r="M4280" s="78"/>
      <c r="N4280" s="78"/>
      <c r="P4280" s="85"/>
    </row>
    <row r="4281" spans="11:16">
      <c r="K4281" s="85">
        <v>26</v>
      </c>
      <c r="L4281" s="78"/>
      <c r="M4281" s="78"/>
      <c r="N4281" s="78"/>
      <c r="P4281" s="85"/>
    </row>
    <row r="4282" spans="11:16">
      <c r="K4282" s="85">
        <v>27</v>
      </c>
      <c r="L4282" s="78"/>
      <c r="M4282" s="78"/>
      <c r="N4282" s="78"/>
      <c r="P4282" s="85"/>
    </row>
    <row r="4283" spans="11:16">
      <c r="K4283" s="85">
        <v>28</v>
      </c>
      <c r="L4283" s="78"/>
      <c r="M4283" s="78"/>
      <c r="N4283" s="78"/>
      <c r="P4283" s="85"/>
    </row>
    <row r="4284" spans="11:16">
      <c r="K4284" s="85">
        <v>29</v>
      </c>
      <c r="L4284" s="78"/>
      <c r="M4284" s="78"/>
      <c r="N4284" s="78"/>
      <c r="P4284" s="85"/>
    </row>
    <row r="4285" spans="11:16">
      <c r="K4285" s="85">
        <v>30</v>
      </c>
      <c r="L4285" s="78"/>
      <c r="M4285" s="78"/>
      <c r="N4285" s="78"/>
      <c r="P4285" s="85"/>
    </row>
    <row r="4286" spans="11:16">
      <c r="K4286" s="85">
        <v>31</v>
      </c>
      <c r="L4286" s="78"/>
      <c r="M4286" s="78"/>
      <c r="N4286" s="78"/>
      <c r="P4286" s="85"/>
    </row>
    <row r="4287" spans="11:16">
      <c r="K4287" s="85">
        <v>32</v>
      </c>
      <c r="L4287" s="78"/>
      <c r="M4287" s="78"/>
      <c r="N4287" s="78"/>
      <c r="P4287" s="85"/>
    </row>
    <row r="4288" spans="11:16">
      <c r="K4288" s="85">
        <v>33</v>
      </c>
      <c r="L4288" s="78"/>
      <c r="M4288" s="78"/>
      <c r="N4288" s="78"/>
      <c r="P4288" s="85"/>
    </row>
    <row r="4289" spans="11:16">
      <c r="K4289" s="85">
        <v>34</v>
      </c>
      <c r="L4289" s="78"/>
      <c r="M4289" s="78"/>
      <c r="N4289" s="78"/>
      <c r="P4289" s="85"/>
    </row>
    <row r="4290" spans="11:16">
      <c r="K4290" s="85">
        <v>35</v>
      </c>
      <c r="L4290" s="78"/>
      <c r="M4290" s="78"/>
      <c r="N4290" s="78"/>
      <c r="P4290" s="85"/>
    </row>
    <row r="4291" spans="11:16">
      <c r="K4291" s="85">
        <v>26</v>
      </c>
      <c r="L4291" s="78"/>
      <c r="M4291" s="78"/>
      <c r="N4291" s="78"/>
      <c r="P4291" s="85"/>
    </row>
    <row r="4292" spans="11:16">
      <c r="K4292" s="85">
        <v>27</v>
      </c>
      <c r="L4292" s="78"/>
      <c r="M4292" s="78"/>
      <c r="N4292" s="78"/>
      <c r="P4292" s="85"/>
    </row>
    <row r="4293" spans="11:16">
      <c r="K4293" s="85">
        <v>28</v>
      </c>
      <c r="L4293" s="78"/>
      <c r="M4293" s="78"/>
      <c r="N4293" s="78"/>
      <c r="P4293" s="85"/>
    </row>
    <row r="4294" spans="11:16">
      <c r="K4294" s="85">
        <v>29</v>
      </c>
      <c r="L4294" s="78"/>
      <c r="M4294" s="78"/>
      <c r="N4294" s="78"/>
      <c r="P4294" s="85"/>
    </row>
    <row r="4295" spans="11:16">
      <c r="K4295" s="85">
        <v>31</v>
      </c>
      <c r="L4295" s="78"/>
      <c r="M4295" s="78"/>
      <c r="N4295" s="78"/>
      <c r="P4295" s="85"/>
    </row>
    <row r="4296" spans="11:16">
      <c r="K4296" s="85">
        <v>32</v>
      </c>
      <c r="L4296" s="78"/>
      <c r="M4296" s="78"/>
      <c r="N4296" s="78"/>
      <c r="P4296" s="85"/>
    </row>
    <row r="4297" spans="11:16">
      <c r="K4297" s="85">
        <v>34</v>
      </c>
      <c r="L4297" s="78"/>
      <c r="M4297" s="78"/>
      <c r="N4297" s="78"/>
      <c r="P4297" s="85"/>
    </row>
    <row r="4298" spans="11:16">
      <c r="K4298" s="85">
        <v>35</v>
      </c>
      <c r="L4298" s="78"/>
      <c r="M4298" s="78"/>
      <c r="N4298" s="78"/>
      <c r="P4298" s="85"/>
    </row>
    <row r="4299" spans="11:16">
      <c r="K4299" s="85">
        <v>25</v>
      </c>
      <c r="L4299" s="78"/>
      <c r="M4299" s="78"/>
      <c r="N4299" s="78"/>
      <c r="P4299" s="85"/>
    </row>
    <row r="4300" spans="11:16">
      <c r="K4300" s="85">
        <v>27</v>
      </c>
      <c r="L4300" s="78"/>
      <c r="M4300" s="78"/>
      <c r="N4300" s="78"/>
      <c r="P4300" s="85"/>
    </row>
    <row r="4301" spans="11:16">
      <c r="K4301" s="85">
        <v>35</v>
      </c>
      <c r="L4301" s="78"/>
      <c r="M4301" s="78"/>
      <c r="N4301" s="78"/>
      <c r="P4301" s="85"/>
    </row>
    <row r="4302" spans="11:16">
      <c r="K4302" s="85">
        <v>36</v>
      </c>
      <c r="L4302" s="78"/>
      <c r="M4302" s="78"/>
      <c r="N4302" s="78"/>
      <c r="P4302" s="85"/>
    </row>
    <row r="4303" spans="11:16">
      <c r="K4303" s="85">
        <v>25</v>
      </c>
      <c r="L4303" s="78"/>
      <c r="M4303" s="78"/>
      <c r="N4303" s="78"/>
      <c r="P4303" s="85"/>
    </row>
    <row r="4304" spans="11:16">
      <c r="K4304" s="85">
        <v>26</v>
      </c>
      <c r="L4304" s="78"/>
      <c r="M4304" s="78"/>
      <c r="N4304" s="78"/>
      <c r="P4304" s="85"/>
    </row>
    <row r="4305" spans="11:16">
      <c r="K4305" s="85">
        <v>27</v>
      </c>
      <c r="L4305" s="78"/>
      <c r="M4305" s="78"/>
      <c r="N4305" s="78"/>
      <c r="P4305" s="85"/>
    </row>
    <row r="4306" spans="11:16">
      <c r="K4306" s="85">
        <v>28</v>
      </c>
      <c r="L4306" s="78"/>
      <c r="M4306" s="78"/>
      <c r="N4306" s="78"/>
      <c r="P4306" s="85"/>
    </row>
    <row r="4307" spans="11:16">
      <c r="K4307" s="85">
        <v>31</v>
      </c>
      <c r="L4307" s="78"/>
      <c r="M4307" s="78"/>
      <c r="N4307" s="78"/>
      <c r="P4307" s="85"/>
    </row>
    <row r="4308" spans="11:16">
      <c r="K4308" s="85">
        <v>32</v>
      </c>
      <c r="L4308" s="78"/>
      <c r="M4308" s="78"/>
      <c r="N4308" s="78"/>
      <c r="P4308" s="85"/>
    </row>
    <row r="4309" spans="11:16">
      <c r="K4309" s="85">
        <v>33</v>
      </c>
      <c r="L4309" s="78"/>
      <c r="M4309" s="78"/>
      <c r="N4309" s="78"/>
      <c r="P4309" s="85"/>
    </row>
    <row r="4310" spans="11:16">
      <c r="K4310" s="85">
        <v>34</v>
      </c>
      <c r="L4310" s="78"/>
      <c r="M4310" s="78"/>
      <c r="N4310" s="78"/>
      <c r="P4310" s="85"/>
    </row>
    <row r="4311" spans="11:16">
      <c r="K4311" s="85">
        <v>35</v>
      </c>
      <c r="L4311" s="78"/>
      <c r="M4311" s="78"/>
      <c r="N4311" s="78"/>
      <c r="P4311" s="85"/>
    </row>
    <row r="4312" spans="11:16">
      <c r="K4312" s="85">
        <v>25</v>
      </c>
      <c r="L4312" s="78"/>
      <c r="M4312" s="78"/>
      <c r="N4312" s="78"/>
      <c r="P4312" s="85"/>
    </row>
    <row r="4313" spans="11:16">
      <c r="K4313" s="85">
        <v>26</v>
      </c>
      <c r="L4313" s="78"/>
      <c r="M4313" s="78"/>
      <c r="N4313" s="78"/>
      <c r="P4313" s="85"/>
    </row>
    <row r="4314" spans="11:16">
      <c r="K4314" s="85">
        <v>27</v>
      </c>
      <c r="L4314" s="78"/>
      <c r="M4314" s="78"/>
      <c r="N4314" s="78"/>
      <c r="P4314" s="85"/>
    </row>
    <row r="4315" spans="11:16">
      <c r="K4315" s="85">
        <v>28</v>
      </c>
      <c r="L4315" s="78"/>
      <c r="M4315" s="78"/>
      <c r="N4315" s="78"/>
      <c r="P4315" s="85"/>
    </row>
    <row r="4316" spans="11:16">
      <c r="K4316" s="85">
        <v>30</v>
      </c>
      <c r="L4316" s="78"/>
      <c r="M4316" s="78"/>
      <c r="N4316" s="78"/>
      <c r="P4316" s="85"/>
    </row>
    <row r="4317" spans="11:16">
      <c r="K4317" s="85">
        <v>31</v>
      </c>
      <c r="L4317" s="78"/>
      <c r="M4317" s="78"/>
      <c r="N4317" s="78"/>
      <c r="P4317" s="85"/>
    </row>
    <row r="4318" spans="11:16">
      <c r="K4318" s="85">
        <v>32</v>
      </c>
      <c r="L4318" s="78"/>
      <c r="M4318" s="78"/>
      <c r="N4318" s="78"/>
      <c r="P4318" s="85"/>
    </row>
    <row r="4319" spans="11:16">
      <c r="K4319" s="85">
        <v>33</v>
      </c>
      <c r="L4319" s="78"/>
      <c r="M4319" s="78"/>
      <c r="N4319" s="78"/>
      <c r="P4319" s="85"/>
    </row>
    <row r="4320" spans="11:16">
      <c r="K4320" s="85">
        <v>34</v>
      </c>
      <c r="L4320" s="78"/>
      <c r="M4320" s="78"/>
      <c r="N4320" s="78"/>
      <c r="P4320" s="85"/>
    </row>
    <row r="4321" spans="11:16">
      <c r="K4321" s="85">
        <v>35</v>
      </c>
      <c r="L4321" s="78"/>
      <c r="M4321" s="78"/>
      <c r="N4321" s="78"/>
      <c r="P4321" s="85"/>
    </row>
    <row r="4322" spans="11:16">
      <c r="K4322" s="85">
        <v>25</v>
      </c>
      <c r="L4322" s="78"/>
      <c r="M4322" s="78"/>
      <c r="N4322" s="78"/>
      <c r="P4322" s="85"/>
    </row>
    <row r="4323" spans="11:16">
      <c r="K4323" s="85">
        <v>26</v>
      </c>
      <c r="L4323" s="78"/>
      <c r="M4323" s="78"/>
      <c r="N4323" s="78"/>
      <c r="P4323" s="85"/>
    </row>
    <row r="4324" spans="11:16">
      <c r="K4324" s="85">
        <v>27</v>
      </c>
      <c r="L4324" s="78"/>
      <c r="M4324" s="78"/>
      <c r="N4324" s="78"/>
      <c r="P4324" s="85"/>
    </row>
    <row r="4325" spans="11:16">
      <c r="K4325" s="85">
        <v>28</v>
      </c>
      <c r="L4325" s="78"/>
      <c r="M4325" s="78"/>
      <c r="N4325" s="78"/>
      <c r="P4325" s="85"/>
    </row>
    <row r="4326" spans="11:16">
      <c r="K4326" s="85">
        <v>29</v>
      </c>
      <c r="L4326" s="78"/>
      <c r="M4326" s="78"/>
      <c r="N4326" s="78"/>
      <c r="P4326" s="85"/>
    </row>
    <row r="4327" spans="11:16">
      <c r="K4327" s="85">
        <v>30</v>
      </c>
      <c r="L4327" s="78"/>
      <c r="M4327" s="78"/>
      <c r="N4327" s="78"/>
      <c r="P4327" s="85"/>
    </row>
    <row r="4328" spans="11:16">
      <c r="K4328" s="85">
        <v>31</v>
      </c>
      <c r="L4328" s="78"/>
      <c r="M4328" s="78"/>
      <c r="N4328" s="78"/>
      <c r="P4328" s="85"/>
    </row>
    <row r="4329" spans="11:16">
      <c r="K4329" s="85">
        <v>32</v>
      </c>
      <c r="L4329" s="78"/>
      <c r="M4329" s="78"/>
      <c r="N4329" s="78"/>
      <c r="P4329" s="85"/>
    </row>
    <row r="4330" spans="11:16">
      <c r="K4330" s="85">
        <v>33</v>
      </c>
      <c r="L4330" s="78"/>
      <c r="M4330" s="78"/>
      <c r="N4330" s="78"/>
      <c r="P4330" s="85"/>
    </row>
    <row r="4331" spans="11:16">
      <c r="K4331" s="85">
        <v>34</v>
      </c>
      <c r="L4331" s="78"/>
      <c r="M4331" s="78"/>
      <c r="N4331" s="78"/>
      <c r="P4331" s="85"/>
    </row>
    <row r="4332" spans="11:16">
      <c r="K4332" s="85">
        <v>35</v>
      </c>
      <c r="L4332" s="78"/>
      <c r="M4332" s="78"/>
      <c r="N4332" s="78"/>
      <c r="P4332" s="85"/>
    </row>
    <row r="4333" spans="11:16">
      <c r="K4333" s="85">
        <v>36</v>
      </c>
      <c r="L4333" s="78"/>
      <c r="M4333" s="78"/>
      <c r="N4333" s="78"/>
      <c r="P4333" s="85"/>
    </row>
    <row r="4334" spans="11:16">
      <c r="K4334" s="85">
        <v>25</v>
      </c>
      <c r="L4334" s="78"/>
      <c r="M4334" s="78"/>
      <c r="N4334" s="78"/>
      <c r="P4334" s="85"/>
    </row>
    <row r="4335" spans="11:16">
      <c r="K4335" s="85">
        <v>26</v>
      </c>
      <c r="L4335" s="78"/>
      <c r="M4335" s="78"/>
      <c r="N4335" s="78"/>
      <c r="P4335" s="85"/>
    </row>
    <row r="4336" spans="11:16">
      <c r="K4336" s="85">
        <v>27</v>
      </c>
      <c r="L4336" s="78"/>
      <c r="M4336" s="78"/>
      <c r="N4336" s="78"/>
      <c r="P4336" s="85"/>
    </row>
    <row r="4337" spans="11:16">
      <c r="K4337" s="85">
        <v>28</v>
      </c>
      <c r="L4337" s="78"/>
      <c r="M4337" s="78"/>
      <c r="N4337" s="78"/>
      <c r="P4337" s="85"/>
    </row>
    <row r="4338" spans="11:16">
      <c r="K4338" s="85">
        <v>31</v>
      </c>
      <c r="L4338" s="78"/>
      <c r="M4338" s="78"/>
      <c r="N4338" s="78"/>
      <c r="P4338" s="85"/>
    </row>
    <row r="4339" spans="11:16">
      <c r="K4339" s="85">
        <v>32</v>
      </c>
      <c r="L4339" s="78"/>
      <c r="M4339" s="78"/>
      <c r="N4339" s="78"/>
      <c r="P4339" s="85"/>
    </row>
    <row r="4340" spans="11:16">
      <c r="K4340" s="85">
        <v>33</v>
      </c>
      <c r="L4340" s="78"/>
      <c r="M4340" s="78"/>
      <c r="N4340" s="78"/>
      <c r="P4340" s="85"/>
    </row>
    <row r="4341" spans="11:16">
      <c r="K4341" s="85">
        <v>34</v>
      </c>
      <c r="L4341" s="78"/>
      <c r="M4341" s="78"/>
      <c r="N4341" s="78"/>
      <c r="P4341" s="85"/>
    </row>
    <row r="4342" spans="11:16">
      <c r="K4342" s="85">
        <v>35</v>
      </c>
      <c r="L4342" s="78"/>
      <c r="M4342" s="78"/>
      <c r="N4342" s="78"/>
      <c r="P4342" s="85"/>
    </row>
    <row r="4343" spans="11:16">
      <c r="K4343" s="85">
        <v>36</v>
      </c>
      <c r="L4343" s="78"/>
      <c r="M4343" s="78"/>
      <c r="N4343" s="78"/>
      <c r="P4343" s="85"/>
    </row>
    <row r="4344" spans="11:16">
      <c r="K4344" s="85">
        <v>25</v>
      </c>
      <c r="L4344" s="78"/>
      <c r="M4344" s="78"/>
      <c r="N4344" s="78"/>
      <c r="P4344" s="85"/>
    </row>
    <row r="4345" spans="11:16">
      <c r="K4345" s="85">
        <v>26</v>
      </c>
      <c r="L4345" s="78"/>
      <c r="M4345" s="78"/>
      <c r="N4345" s="78"/>
      <c r="P4345" s="85"/>
    </row>
    <row r="4346" spans="11:16">
      <c r="K4346" s="85">
        <v>27</v>
      </c>
      <c r="L4346" s="78"/>
      <c r="M4346" s="78"/>
      <c r="N4346" s="78"/>
      <c r="P4346" s="85"/>
    </row>
    <row r="4347" spans="11:16">
      <c r="K4347" s="85">
        <v>30</v>
      </c>
      <c r="L4347" s="78"/>
      <c r="M4347" s="78"/>
      <c r="N4347" s="78"/>
      <c r="P4347" s="85"/>
    </row>
    <row r="4348" spans="11:16">
      <c r="K4348" s="85">
        <v>31</v>
      </c>
      <c r="L4348" s="78"/>
      <c r="M4348" s="78"/>
      <c r="N4348" s="78"/>
      <c r="P4348" s="85"/>
    </row>
    <row r="4349" spans="11:16">
      <c r="K4349" s="85">
        <v>32</v>
      </c>
      <c r="L4349" s="78"/>
      <c r="M4349" s="78"/>
      <c r="N4349" s="78"/>
      <c r="P4349" s="85"/>
    </row>
    <row r="4350" spans="11:16">
      <c r="K4350" s="85">
        <v>33</v>
      </c>
      <c r="L4350" s="78"/>
      <c r="M4350" s="78"/>
      <c r="N4350" s="78"/>
      <c r="P4350" s="85"/>
    </row>
    <row r="4351" spans="11:16">
      <c r="K4351" s="85">
        <v>34</v>
      </c>
      <c r="L4351" s="78"/>
      <c r="M4351" s="78"/>
      <c r="N4351" s="78"/>
      <c r="P4351" s="85"/>
    </row>
    <row r="4352" spans="11:16">
      <c r="K4352" s="85">
        <v>35</v>
      </c>
      <c r="L4352" s="78"/>
      <c r="M4352" s="78"/>
      <c r="N4352" s="78"/>
      <c r="P4352" s="85"/>
    </row>
    <row r="4353" spans="11:16">
      <c r="K4353" s="85">
        <v>36</v>
      </c>
      <c r="L4353" s="78"/>
      <c r="M4353" s="78"/>
      <c r="N4353" s="78"/>
      <c r="P4353" s="85"/>
    </row>
    <row r="4354" spans="11:16">
      <c r="K4354" s="85">
        <v>25</v>
      </c>
      <c r="L4354" s="78"/>
      <c r="M4354" s="78"/>
      <c r="N4354" s="78"/>
      <c r="P4354" s="85"/>
    </row>
    <row r="4355" spans="11:16">
      <c r="K4355" s="85">
        <v>27</v>
      </c>
      <c r="L4355" s="78"/>
      <c r="M4355" s="78"/>
      <c r="N4355" s="78"/>
      <c r="P4355" s="85"/>
    </row>
    <row r="4356" spans="11:16">
      <c r="K4356" s="85">
        <v>28</v>
      </c>
      <c r="L4356" s="78"/>
      <c r="M4356" s="78"/>
      <c r="N4356" s="78"/>
      <c r="P4356" s="85"/>
    </row>
    <row r="4357" spans="11:16">
      <c r="K4357" s="85">
        <v>29</v>
      </c>
      <c r="L4357" s="78"/>
      <c r="M4357" s="78"/>
      <c r="N4357" s="78"/>
      <c r="P4357" s="85"/>
    </row>
    <row r="4358" spans="11:16">
      <c r="K4358" s="85">
        <v>31</v>
      </c>
      <c r="L4358" s="78"/>
      <c r="M4358" s="78"/>
      <c r="N4358" s="78"/>
      <c r="P4358" s="85"/>
    </row>
    <row r="4359" spans="11:16">
      <c r="K4359" s="85">
        <v>32</v>
      </c>
      <c r="L4359" s="78"/>
      <c r="M4359" s="78"/>
      <c r="N4359" s="78"/>
      <c r="P4359" s="85"/>
    </row>
    <row r="4360" spans="11:16">
      <c r="K4360" s="85">
        <v>33</v>
      </c>
      <c r="L4360" s="78"/>
      <c r="M4360" s="78"/>
      <c r="N4360" s="78"/>
      <c r="P4360" s="85"/>
    </row>
    <row r="4361" spans="11:16">
      <c r="K4361" s="85">
        <v>34</v>
      </c>
      <c r="L4361" s="78"/>
      <c r="M4361" s="78"/>
      <c r="N4361" s="78"/>
      <c r="P4361" s="85"/>
    </row>
    <row r="4362" spans="11:16">
      <c r="K4362" s="85">
        <v>35</v>
      </c>
      <c r="L4362" s="78"/>
      <c r="M4362" s="78"/>
      <c r="N4362" s="78"/>
      <c r="P4362" s="85"/>
    </row>
    <row r="4363" spans="11:16">
      <c r="K4363" s="85">
        <v>36</v>
      </c>
      <c r="L4363" s="78"/>
      <c r="M4363" s="78"/>
      <c r="N4363" s="78"/>
      <c r="P4363" s="85"/>
    </row>
    <row r="4364" spans="11:16">
      <c r="K4364" s="85">
        <v>26</v>
      </c>
      <c r="L4364" s="78"/>
      <c r="M4364" s="78"/>
      <c r="N4364" s="78"/>
      <c r="P4364" s="85"/>
    </row>
    <row r="4365" spans="11:16">
      <c r="K4365" s="85">
        <v>27</v>
      </c>
      <c r="L4365" s="78"/>
      <c r="M4365" s="78"/>
      <c r="N4365" s="78"/>
      <c r="P4365" s="85"/>
    </row>
    <row r="4366" spans="11:16">
      <c r="K4366" s="85">
        <v>30</v>
      </c>
      <c r="L4366" s="78"/>
      <c r="M4366" s="78"/>
      <c r="N4366" s="78"/>
      <c r="P4366" s="85"/>
    </row>
    <row r="4367" spans="11:16">
      <c r="K4367" s="85">
        <v>31</v>
      </c>
      <c r="L4367" s="78"/>
      <c r="M4367" s="78"/>
      <c r="N4367" s="78"/>
      <c r="P4367" s="85"/>
    </row>
    <row r="4368" spans="11:16">
      <c r="K4368" s="85">
        <v>34</v>
      </c>
      <c r="L4368" s="78"/>
      <c r="M4368" s="78"/>
      <c r="N4368" s="78"/>
      <c r="P4368" s="85"/>
    </row>
    <row r="4369" spans="11:16">
      <c r="K4369" s="85">
        <v>35</v>
      </c>
      <c r="L4369" s="78"/>
      <c r="M4369" s="78"/>
      <c r="N4369" s="78"/>
      <c r="P4369" s="85"/>
    </row>
    <row r="4370" spans="11:16">
      <c r="K4370" s="85">
        <v>26</v>
      </c>
      <c r="L4370" s="78"/>
      <c r="M4370" s="78"/>
      <c r="N4370" s="78"/>
      <c r="P4370" s="85"/>
    </row>
    <row r="4371" spans="11:16">
      <c r="K4371" s="85">
        <v>27</v>
      </c>
      <c r="L4371" s="78"/>
      <c r="M4371" s="78"/>
      <c r="N4371" s="78"/>
      <c r="P4371" s="85"/>
    </row>
    <row r="4372" spans="11:16">
      <c r="K4372" s="85">
        <v>29</v>
      </c>
      <c r="L4372" s="78"/>
      <c r="M4372" s="78"/>
      <c r="N4372" s="78"/>
      <c r="P4372" s="85"/>
    </row>
    <row r="4373" spans="11:16">
      <c r="K4373" s="85">
        <v>30</v>
      </c>
      <c r="L4373" s="78"/>
      <c r="M4373" s="78"/>
      <c r="N4373" s="78"/>
      <c r="P4373" s="85"/>
    </row>
    <row r="4374" spans="11:16">
      <c r="K4374" s="85">
        <v>31</v>
      </c>
      <c r="L4374" s="78"/>
      <c r="M4374" s="78"/>
      <c r="N4374" s="78"/>
      <c r="P4374" s="85"/>
    </row>
    <row r="4375" spans="11:16">
      <c r="K4375" s="85">
        <v>32</v>
      </c>
      <c r="L4375" s="78"/>
      <c r="M4375" s="78"/>
      <c r="N4375" s="78"/>
      <c r="P4375" s="85"/>
    </row>
    <row r="4376" spans="11:16">
      <c r="K4376" s="85">
        <v>34</v>
      </c>
      <c r="L4376" s="78"/>
      <c r="M4376" s="78"/>
      <c r="N4376" s="78"/>
      <c r="P4376" s="85"/>
    </row>
    <row r="4377" spans="11:16">
      <c r="K4377" s="85">
        <v>35</v>
      </c>
      <c r="L4377" s="78"/>
      <c r="M4377" s="78"/>
      <c r="N4377" s="78"/>
      <c r="P4377" s="85"/>
    </row>
    <row r="4378" spans="11:16">
      <c r="K4378" s="85">
        <v>25</v>
      </c>
      <c r="L4378" s="78"/>
      <c r="M4378" s="78"/>
      <c r="N4378" s="78"/>
      <c r="P4378" s="85"/>
    </row>
    <row r="4379" spans="11:16">
      <c r="K4379" s="85">
        <v>27</v>
      </c>
      <c r="L4379" s="78"/>
      <c r="M4379" s="78"/>
      <c r="N4379" s="78"/>
      <c r="P4379" s="85"/>
    </row>
    <row r="4380" spans="11:16">
      <c r="K4380" s="85">
        <v>29</v>
      </c>
      <c r="L4380" s="78"/>
      <c r="M4380" s="78"/>
      <c r="N4380" s="78"/>
      <c r="P4380" s="85"/>
    </row>
    <row r="4381" spans="11:16">
      <c r="K4381" s="85">
        <v>31</v>
      </c>
      <c r="L4381" s="78"/>
      <c r="M4381" s="78"/>
      <c r="N4381" s="78"/>
      <c r="P4381" s="85"/>
    </row>
    <row r="4382" spans="11:16">
      <c r="K4382" s="85">
        <v>27</v>
      </c>
      <c r="L4382" s="78"/>
      <c r="M4382" s="78"/>
      <c r="N4382" s="78"/>
      <c r="P4382" s="85"/>
    </row>
    <row r="4383" spans="11:16">
      <c r="K4383" s="85">
        <v>31</v>
      </c>
      <c r="L4383" s="78"/>
      <c r="M4383" s="78"/>
      <c r="N4383" s="78"/>
      <c r="P4383" s="85"/>
    </row>
    <row r="4384" spans="11:16">
      <c r="K4384" s="85">
        <v>26</v>
      </c>
      <c r="L4384" s="78"/>
      <c r="M4384" s="78"/>
      <c r="N4384" s="78"/>
      <c r="P4384" s="85"/>
    </row>
    <row r="4385" spans="11:16">
      <c r="K4385" s="85">
        <v>28</v>
      </c>
      <c r="L4385" s="78"/>
      <c r="M4385" s="78"/>
      <c r="N4385" s="78"/>
      <c r="P4385" s="85"/>
    </row>
    <row r="4386" spans="11:16">
      <c r="K4386" s="85">
        <v>30</v>
      </c>
      <c r="L4386" s="78"/>
      <c r="M4386" s="78"/>
      <c r="N4386" s="78"/>
      <c r="P4386" s="85"/>
    </row>
    <row r="4387" spans="11:16">
      <c r="K4387" s="85">
        <v>31</v>
      </c>
      <c r="L4387" s="78"/>
      <c r="M4387" s="78"/>
      <c r="N4387" s="78"/>
      <c r="P4387" s="85"/>
    </row>
    <row r="4388" spans="11:16">
      <c r="K4388" s="85">
        <v>32</v>
      </c>
      <c r="L4388" s="78"/>
      <c r="M4388" s="78"/>
      <c r="N4388" s="78"/>
      <c r="P4388" s="85"/>
    </row>
    <row r="4389" spans="11:16">
      <c r="K4389" s="85">
        <v>35</v>
      </c>
      <c r="L4389" s="78"/>
      <c r="M4389" s="78"/>
      <c r="N4389" s="78"/>
      <c r="P4389" s="85"/>
    </row>
    <row r="4390" spans="11:16">
      <c r="K4390" s="85">
        <v>25</v>
      </c>
      <c r="L4390" s="78"/>
      <c r="M4390" s="78"/>
      <c r="N4390" s="78"/>
      <c r="P4390" s="85"/>
    </row>
    <row r="4391" spans="11:16">
      <c r="K4391" s="85">
        <v>26</v>
      </c>
      <c r="L4391" s="78"/>
      <c r="M4391" s="78"/>
      <c r="N4391" s="78"/>
      <c r="P4391" s="85"/>
    </row>
    <row r="4392" spans="11:16">
      <c r="K4392" s="85">
        <v>27</v>
      </c>
      <c r="L4392" s="78"/>
      <c r="M4392" s="78"/>
      <c r="N4392" s="78"/>
      <c r="P4392" s="85"/>
    </row>
    <row r="4393" spans="11:16">
      <c r="K4393" s="85">
        <v>28</v>
      </c>
      <c r="L4393" s="78"/>
      <c r="M4393" s="78"/>
      <c r="N4393" s="78"/>
      <c r="P4393" s="85"/>
    </row>
    <row r="4394" spans="11:16">
      <c r="K4394" s="85">
        <v>29</v>
      </c>
      <c r="L4394" s="78"/>
      <c r="M4394" s="78"/>
      <c r="N4394" s="78"/>
      <c r="P4394" s="85"/>
    </row>
    <row r="4395" spans="11:16">
      <c r="K4395" s="85">
        <v>30</v>
      </c>
      <c r="L4395" s="78"/>
      <c r="M4395" s="78"/>
      <c r="N4395" s="78"/>
      <c r="P4395" s="85"/>
    </row>
    <row r="4396" spans="11:16">
      <c r="K4396" s="85">
        <v>31</v>
      </c>
      <c r="L4396" s="78"/>
      <c r="M4396" s="78"/>
      <c r="N4396" s="78"/>
      <c r="P4396" s="85"/>
    </row>
    <row r="4397" spans="11:16">
      <c r="K4397" s="85">
        <v>32</v>
      </c>
      <c r="L4397" s="78"/>
      <c r="M4397" s="78"/>
      <c r="N4397" s="78"/>
      <c r="P4397" s="85"/>
    </row>
    <row r="4398" spans="11:16">
      <c r="K4398" s="85">
        <v>34</v>
      </c>
      <c r="L4398" s="78"/>
      <c r="M4398" s="78"/>
      <c r="N4398" s="78"/>
      <c r="P4398" s="85"/>
    </row>
    <row r="4399" spans="11:16">
      <c r="K4399" s="85">
        <v>35</v>
      </c>
      <c r="L4399" s="78"/>
      <c r="M4399" s="78"/>
      <c r="N4399" s="78"/>
      <c r="P4399" s="85"/>
    </row>
    <row r="4400" spans="11:16">
      <c r="K4400" s="85">
        <v>25</v>
      </c>
      <c r="L4400" s="78"/>
      <c r="M4400" s="78"/>
      <c r="N4400" s="78"/>
      <c r="P4400" s="85"/>
    </row>
    <row r="4401" spans="11:16">
      <c r="K4401" s="85">
        <v>28</v>
      </c>
      <c r="L4401" s="78"/>
      <c r="M4401" s="78"/>
      <c r="N4401" s="78"/>
      <c r="P4401" s="85"/>
    </row>
    <row r="4402" spans="11:16">
      <c r="K4402" s="85">
        <v>29</v>
      </c>
      <c r="L4402" s="78"/>
      <c r="M4402" s="78"/>
      <c r="N4402" s="78"/>
      <c r="P4402" s="85"/>
    </row>
    <row r="4403" spans="11:16">
      <c r="K4403" s="85">
        <v>31</v>
      </c>
      <c r="L4403" s="78"/>
      <c r="M4403" s="78"/>
      <c r="N4403" s="78"/>
      <c r="P4403" s="85"/>
    </row>
    <row r="4404" spans="11:16">
      <c r="K4404" s="85">
        <v>34</v>
      </c>
      <c r="L4404" s="78"/>
      <c r="M4404" s="78"/>
      <c r="N4404" s="78"/>
      <c r="P4404" s="85"/>
    </row>
    <row r="4405" spans="11:16">
      <c r="K4405" s="85">
        <v>35</v>
      </c>
      <c r="L4405" s="78"/>
      <c r="M4405" s="78"/>
      <c r="N4405" s="78"/>
      <c r="P4405" s="85"/>
    </row>
    <row r="4406" spans="11:16">
      <c r="K4406" s="85">
        <v>36</v>
      </c>
      <c r="L4406" s="78"/>
      <c r="M4406" s="78"/>
      <c r="N4406" s="78"/>
      <c r="P4406" s="85"/>
    </row>
    <row r="4407" spans="11:16">
      <c r="K4407" s="85">
        <v>26</v>
      </c>
      <c r="L4407" s="78"/>
      <c r="M4407" s="78"/>
      <c r="N4407" s="78"/>
      <c r="P4407" s="85"/>
    </row>
    <row r="4408" spans="11:16">
      <c r="K4408" s="85">
        <v>27</v>
      </c>
      <c r="L4408" s="78"/>
      <c r="M4408" s="78"/>
      <c r="N4408" s="78"/>
      <c r="P4408" s="85"/>
    </row>
    <row r="4409" spans="11:16">
      <c r="K4409" s="85">
        <v>28</v>
      </c>
      <c r="L4409" s="78"/>
      <c r="M4409" s="78"/>
      <c r="N4409" s="78"/>
      <c r="P4409" s="85"/>
    </row>
    <row r="4410" spans="11:16">
      <c r="K4410" s="85">
        <v>31</v>
      </c>
      <c r="L4410" s="78"/>
      <c r="M4410" s="78"/>
      <c r="N4410" s="78"/>
      <c r="P4410" s="85"/>
    </row>
    <row r="4411" spans="11:16">
      <c r="K4411" s="85">
        <v>32</v>
      </c>
      <c r="L4411" s="78"/>
      <c r="M4411" s="78"/>
      <c r="N4411" s="78"/>
      <c r="P4411" s="85"/>
    </row>
    <row r="4412" spans="11:16">
      <c r="K4412" s="85">
        <v>33</v>
      </c>
      <c r="L4412" s="78"/>
      <c r="M4412" s="78"/>
      <c r="N4412" s="78"/>
      <c r="P4412" s="85"/>
    </row>
    <row r="4413" spans="11:16">
      <c r="K4413" s="85">
        <v>34</v>
      </c>
      <c r="L4413" s="78"/>
      <c r="M4413" s="78"/>
      <c r="N4413" s="78"/>
      <c r="P4413" s="85"/>
    </row>
    <row r="4414" spans="11:16">
      <c r="K4414" s="85">
        <v>35</v>
      </c>
      <c r="L4414" s="78"/>
      <c r="M4414" s="78"/>
      <c r="N4414" s="78"/>
      <c r="P4414" s="85"/>
    </row>
    <row r="4415" spans="11:16">
      <c r="K4415" s="85">
        <v>25</v>
      </c>
      <c r="L4415" s="78"/>
      <c r="M4415" s="78"/>
      <c r="N4415" s="78"/>
      <c r="P4415" s="85"/>
    </row>
    <row r="4416" spans="11:16">
      <c r="K4416" s="85">
        <v>27</v>
      </c>
      <c r="L4416" s="78"/>
      <c r="M4416" s="78"/>
      <c r="N4416" s="78"/>
      <c r="P4416" s="85"/>
    </row>
    <row r="4417" spans="11:16">
      <c r="K4417" s="85">
        <v>28</v>
      </c>
      <c r="L4417" s="78"/>
      <c r="M4417" s="78"/>
      <c r="N4417" s="78"/>
      <c r="P4417" s="85"/>
    </row>
    <row r="4418" spans="11:16">
      <c r="K4418" s="85">
        <v>29</v>
      </c>
      <c r="L4418" s="78"/>
      <c r="M4418" s="78"/>
      <c r="N4418" s="78"/>
      <c r="P4418" s="85"/>
    </row>
    <row r="4419" spans="11:16">
      <c r="K4419" s="85">
        <v>30</v>
      </c>
      <c r="L4419" s="78"/>
      <c r="M4419" s="78"/>
      <c r="N4419" s="78"/>
      <c r="P4419" s="85"/>
    </row>
    <row r="4420" spans="11:16">
      <c r="K4420" s="85">
        <v>31</v>
      </c>
      <c r="L4420" s="78"/>
      <c r="M4420" s="78"/>
      <c r="N4420" s="78"/>
      <c r="P4420" s="85"/>
    </row>
    <row r="4421" spans="11:16">
      <c r="K4421" s="85">
        <v>32</v>
      </c>
      <c r="L4421" s="78"/>
      <c r="M4421" s="78"/>
      <c r="N4421" s="78"/>
      <c r="P4421" s="85"/>
    </row>
    <row r="4422" spans="11:16">
      <c r="K4422" s="85">
        <v>34</v>
      </c>
      <c r="L4422" s="78"/>
      <c r="M4422" s="78"/>
      <c r="N4422" s="78"/>
      <c r="P4422" s="85"/>
    </row>
    <row r="4423" spans="11:16">
      <c r="K4423" s="85">
        <v>35</v>
      </c>
      <c r="L4423" s="78"/>
      <c r="M4423" s="78"/>
      <c r="N4423" s="78"/>
      <c r="P4423" s="85"/>
    </row>
    <row r="4424" spans="11:16">
      <c r="K4424" s="85">
        <v>36</v>
      </c>
      <c r="L4424" s="78"/>
      <c r="M4424" s="78"/>
      <c r="N4424" s="78"/>
      <c r="P4424" s="85"/>
    </row>
    <row r="4425" spans="11:16">
      <c r="K4425" s="85">
        <v>25</v>
      </c>
      <c r="L4425" s="78"/>
      <c r="M4425" s="78"/>
      <c r="N4425" s="78"/>
      <c r="P4425" s="85"/>
    </row>
    <row r="4426" spans="11:16">
      <c r="K4426" s="85">
        <v>26</v>
      </c>
      <c r="L4426" s="78"/>
      <c r="M4426" s="78"/>
      <c r="N4426" s="78"/>
      <c r="P4426" s="85"/>
    </row>
    <row r="4427" spans="11:16">
      <c r="K4427" s="85">
        <v>27</v>
      </c>
      <c r="L4427" s="78"/>
      <c r="M4427" s="78"/>
      <c r="N4427" s="78"/>
      <c r="P4427" s="85"/>
    </row>
    <row r="4428" spans="11:16">
      <c r="K4428" s="85">
        <v>28</v>
      </c>
      <c r="L4428" s="78"/>
      <c r="M4428" s="78"/>
      <c r="N4428" s="78"/>
      <c r="P4428" s="85"/>
    </row>
    <row r="4429" spans="11:16">
      <c r="K4429" s="85">
        <v>29</v>
      </c>
      <c r="L4429" s="78"/>
      <c r="M4429" s="78"/>
      <c r="N4429" s="78"/>
      <c r="P4429" s="85"/>
    </row>
    <row r="4430" spans="11:16">
      <c r="K4430" s="85">
        <v>30</v>
      </c>
      <c r="L4430" s="78"/>
      <c r="M4430" s="78"/>
      <c r="N4430" s="78"/>
      <c r="P4430" s="85"/>
    </row>
    <row r="4431" spans="11:16">
      <c r="K4431" s="85">
        <v>31</v>
      </c>
      <c r="L4431" s="78"/>
      <c r="M4431" s="78"/>
      <c r="N4431" s="78"/>
      <c r="P4431" s="85"/>
    </row>
    <row r="4432" spans="11:16">
      <c r="K4432" s="85">
        <v>32</v>
      </c>
      <c r="L4432" s="78"/>
      <c r="M4432" s="78"/>
      <c r="N4432" s="78"/>
      <c r="P4432" s="85"/>
    </row>
    <row r="4433" spans="11:16">
      <c r="K4433" s="85">
        <v>34</v>
      </c>
      <c r="L4433" s="78"/>
      <c r="M4433" s="78"/>
      <c r="N4433" s="78"/>
      <c r="P4433" s="85"/>
    </row>
    <row r="4434" spans="11:16">
      <c r="K4434" s="85">
        <v>35</v>
      </c>
      <c r="L4434" s="78"/>
      <c r="M4434" s="78"/>
      <c r="N4434" s="78"/>
      <c r="P4434" s="85"/>
    </row>
    <row r="4435" spans="11:16">
      <c r="K4435" s="85">
        <v>36</v>
      </c>
      <c r="L4435" s="78"/>
      <c r="M4435" s="78"/>
      <c r="N4435" s="78"/>
      <c r="P4435" s="85"/>
    </row>
    <row r="4436" spans="11:16">
      <c r="K4436" s="85">
        <v>27</v>
      </c>
      <c r="L4436" s="78"/>
      <c r="M4436" s="78"/>
      <c r="N4436" s="78"/>
      <c r="P4436" s="85"/>
    </row>
    <row r="4437" spans="11:16">
      <c r="K4437" s="85">
        <v>31</v>
      </c>
      <c r="L4437" s="78"/>
      <c r="M4437" s="78"/>
      <c r="N4437" s="78"/>
      <c r="P4437" s="85"/>
    </row>
    <row r="4438" spans="11:16">
      <c r="K4438" s="85">
        <v>32</v>
      </c>
      <c r="L4438" s="78"/>
      <c r="M4438" s="78"/>
      <c r="N4438" s="78"/>
      <c r="P4438" s="85"/>
    </row>
    <row r="4439" spans="11:16">
      <c r="K4439" s="85">
        <v>34</v>
      </c>
      <c r="L4439" s="78"/>
      <c r="M4439" s="78"/>
      <c r="N4439" s="78"/>
      <c r="P4439" s="85"/>
    </row>
    <row r="4440" spans="11:16">
      <c r="K4440" s="85">
        <v>35</v>
      </c>
      <c r="L4440" s="78"/>
      <c r="M4440" s="78"/>
      <c r="N4440" s="78"/>
      <c r="P4440" s="85"/>
    </row>
    <row r="4441" spans="11:16">
      <c r="K4441" s="85">
        <v>36</v>
      </c>
      <c r="L4441" s="78"/>
      <c r="M4441" s="78"/>
      <c r="N4441" s="78"/>
      <c r="P4441" s="85"/>
    </row>
    <row r="4442" spans="11:16">
      <c r="K4442" s="85">
        <v>25</v>
      </c>
      <c r="L4442" s="78"/>
      <c r="M4442" s="78"/>
      <c r="N4442" s="78"/>
      <c r="P4442" s="85"/>
    </row>
    <row r="4443" spans="11:16">
      <c r="K4443" s="85">
        <v>26</v>
      </c>
      <c r="L4443" s="78"/>
      <c r="M4443" s="78"/>
      <c r="N4443" s="78"/>
      <c r="P4443" s="85"/>
    </row>
    <row r="4444" spans="11:16">
      <c r="K4444" s="85">
        <v>27</v>
      </c>
      <c r="L4444" s="78"/>
      <c r="M4444" s="78"/>
      <c r="N4444" s="78"/>
      <c r="P4444" s="85"/>
    </row>
    <row r="4445" spans="11:16">
      <c r="K4445" s="85">
        <v>28</v>
      </c>
      <c r="L4445" s="78"/>
      <c r="M4445" s="78"/>
      <c r="N4445" s="78"/>
      <c r="P4445" s="85"/>
    </row>
    <row r="4446" spans="11:16">
      <c r="K4446" s="85">
        <v>29</v>
      </c>
      <c r="L4446" s="78"/>
      <c r="M4446" s="78"/>
      <c r="N4446" s="78"/>
      <c r="P4446" s="85"/>
    </row>
    <row r="4447" spans="11:16">
      <c r="K4447" s="85">
        <v>30</v>
      </c>
      <c r="L4447" s="78"/>
      <c r="M4447" s="78"/>
      <c r="N4447" s="78"/>
      <c r="P4447" s="85"/>
    </row>
    <row r="4448" spans="11:16">
      <c r="K4448" s="85">
        <v>35</v>
      </c>
      <c r="L4448" s="78"/>
      <c r="M4448" s="78"/>
      <c r="N4448" s="78"/>
      <c r="P4448" s="85"/>
    </row>
    <row r="4449" spans="11:16">
      <c r="K4449" s="85">
        <v>36</v>
      </c>
      <c r="L4449" s="78"/>
      <c r="M4449" s="78"/>
      <c r="N4449" s="78"/>
      <c r="P4449" s="85"/>
    </row>
    <row r="4450" spans="11:16">
      <c r="K4450" s="85">
        <v>26</v>
      </c>
      <c r="L4450" s="78"/>
      <c r="M4450" s="78"/>
      <c r="N4450" s="78"/>
      <c r="P4450" s="85"/>
    </row>
    <row r="4451" spans="11:16">
      <c r="K4451" s="85">
        <v>27</v>
      </c>
      <c r="L4451" s="78"/>
      <c r="M4451" s="78"/>
      <c r="N4451" s="78"/>
      <c r="P4451" s="85"/>
    </row>
    <row r="4452" spans="11:16">
      <c r="K4452" s="85">
        <v>28</v>
      </c>
      <c r="L4452" s="78"/>
      <c r="M4452" s="78"/>
      <c r="N4452" s="78"/>
      <c r="P4452" s="85"/>
    </row>
    <row r="4453" spans="11:16">
      <c r="K4453" s="85">
        <v>31</v>
      </c>
      <c r="L4453" s="78"/>
      <c r="M4453" s="78"/>
      <c r="N4453" s="78"/>
      <c r="P4453" s="85"/>
    </row>
    <row r="4454" spans="11:16">
      <c r="K4454" s="85">
        <v>32</v>
      </c>
      <c r="L4454" s="78"/>
      <c r="M4454" s="78"/>
      <c r="N4454" s="78"/>
      <c r="P4454" s="85"/>
    </row>
    <row r="4455" spans="11:16">
      <c r="K4455" s="85">
        <v>33</v>
      </c>
      <c r="L4455" s="78"/>
      <c r="M4455" s="78"/>
      <c r="N4455" s="78"/>
      <c r="P4455" s="85"/>
    </row>
    <row r="4456" spans="11:16">
      <c r="K4456" s="85">
        <v>34</v>
      </c>
      <c r="L4456" s="78"/>
      <c r="M4456" s="78"/>
      <c r="N4456" s="78"/>
      <c r="P4456" s="85"/>
    </row>
    <row r="4457" spans="11:16">
      <c r="K4457" s="85">
        <v>35</v>
      </c>
      <c r="L4457" s="78"/>
      <c r="M4457" s="78"/>
      <c r="N4457" s="78"/>
      <c r="P4457" s="85"/>
    </row>
    <row r="4458" spans="11:16">
      <c r="K4458" s="85">
        <v>27</v>
      </c>
      <c r="L4458" s="78"/>
      <c r="M4458" s="78"/>
      <c r="N4458" s="78"/>
      <c r="P4458" s="85"/>
    </row>
    <row r="4459" spans="11:16">
      <c r="K4459" s="85">
        <v>31</v>
      </c>
      <c r="L4459" s="78"/>
      <c r="M4459" s="78"/>
      <c r="N4459" s="78"/>
      <c r="P4459" s="85"/>
    </row>
    <row r="4460" spans="11:16">
      <c r="K4460" s="85">
        <v>35</v>
      </c>
      <c r="L4460" s="78"/>
      <c r="M4460" s="78"/>
      <c r="N4460" s="78"/>
      <c r="P4460" s="85"/>
    </row>
    <row r="4461" spans="11:16">
      <c r="K4461" s="85">
        <v>25</v>
      </c>
      <c r="L4461" s="78"/>
      <c r="M4461" s="78"/>
      <c r="N4461" s="78"/>
      <c r="P4461" s="85"/>
    </row>
    <row r="4462" spans="11:16">
      <c r="K4462" s="85">
        <v>26</v>
      </c>
      <c r="L4462" s="78"/>
      <c r="M4462" s="78"/>
      <c r="N4462" s="78"/>
      <c r="P4462" s="85"/>
    </row>
    <row r="4463" spans="11:16">
      <c r="K4463" s="85">
        <v>27</v>
      </c>
      <c r="L4463" s="78"/>
      <c r="M4463" s="78"/>
      <c r="N4463" s="78"/>
      <c r="P4463" s="85"/>
    </row>
    <row r="4464" spans="11:16">
      <c r="K4464" s="85">
        <v>28</v>
      </c>
      <c r="L4464" s="78"/>
      <c r="M4464" s="78"/>
      <c r="N4464" s="78"/>
      <c r="P4464" s="85"/>
    </row>
    <row r="4465" spans="11:16">
      <c r="K4465" s="85">
        <v>34</v>
      </c>
      <c r="L4465" s="78"/>
      <c r="M4465" s="78"/>
      <c r="N4465" s="78"/>
      <c r="P4465" s="85"/>
    </row>
    <row r="4466" spans="11:16">
      <c r="K4466" s="85">
        <v>35</v>
      </c>
      <c r="L4466" s="78"/>
      <c r="M4466" s="78"/>
      <c r="N4466" s="78"/>
      <c r="P4466" s="85"/>
    </row>
    <row r="4467" spans="11:16">
      <c r="K4467" s="85">
        <v>25</v>
      </c>
      <c r="L4467" s="78"/>
      <c r="M4467" s="78"/>
      <c r="N4467" s="78"/>
      <c r="P4467" s="85"/>
    </row>
    <row r="4468" spans="11:16">
      <c r="K4468" s="85">
        <v>26</v>
      </c>
      <c r="L4468" s="78"/>
      <c r="M4468" s="78"/>
      <c r="N4468" s="78"/>
      <c r="P4468" s="85"/>
    </row>
    <row r="4469" spans="11:16">
      <c r="K4469" s="85">
        <v>27</v>
      </c>
      <c r="L4469" s="78"/>
      <c r="M4469" s="78"/>
      <c r="N4469" s="78"/>
      <c r="P4469" s="85"/>
    </row>
    <row r="4470" spans="11:16">
      <c r="K4470" s="85">
        <v>28</v>
      </c>
      <c r="L4470" s="78"/>
      <c r="M4470" s="78"/>
      <c r="N4470" s="78"/>
      <c r="P4470" s="85"/>
    </row>
    <row r="4471" spans="11:16">
      <c r="K4471" s="85">
        <v>29</v>
      </c>
      <c r="L4471" s="78"/>
      <c r="M4471" s="78"/>
      <c r="N4471" s="78"/>
      <c r="P4471" s="85"/>
    </row>
    <row r="4472" spans="11:16">
      <c r="K4472" s="85">
        <v>30</v>
      </c>
      <c r="L4472" s="78"/>
      <c r="M4472" s="78"/>
      <c r="N4472" s="78"/>
      <c r="P4472" s="85"/>
    </row>
    <row r="4473" spans="11:16">
      <c r="K4473" s="85">
        <v>31</v>
      </c>
      <c r="L4473" s="78"/>
      <c r="M4473" s="78"/>
      <c r="N4473" s="78"/>
      <c r="P4473" s="85"/>
    </row>
    <row r="4474" spans="11:16">
      <c r="K4474" s="85">
        <v>32</v>
      </c>
      <c r="L4474" s="78"/>
      <c r="M4474" s="78"/>
      <c r="N4474" s="78"/>
      <c r="P4474" s="85"/>
    </row>
    <row r="4475" spans="11:16">
      <c r="K4475" s="85">
        <v>33</v>
      </c>
      <c r="L4475" s="78"/>
      <c r="M4475" s="78"/>
      <c r="N4475" s="78"/>
      <c r="P4475" s="85"/>
    </row>
    <row r="4476" spans="11:16">
      <c r="K4476" s="85">
        <v>25</v>
      </c>
      <c r="L4476" s="78"/>
      <c r="M4476" s="78"/>
      <c r="N4476" s="78"/>
      <c r="P4476" s="85"/>
    </row>
    <row r="4477" spans="11:16">
      <c r="K4477" s="85">
        <v>26</v>
      </c>
      <c r="L4477" s="78"/>
      <c r="M4477" s="78"/>
      <c r="N4477" s="78"/>
      <c r="P4477" s="85"/>
    </row>
    <row r="4478" spans="11:16">
      <c r="K4478" s="85">
        <v>27</v>
      </c>
      <c r="L4478" s="78"/>
      <c r="M4478" s="78"/>
      <c r="N4478" s="78"/>
      <c r="P4478" s="85"/>
    </row>
    <row r="4479" spans="11:16">
      <c r="K4479" s="85">
        <v>29</v>
      </c>
      <c r="L4479" s="78"/>
      <c r="M4479" s="78"/>
      <c r="N4479" s="78"/>
      <c r="P4479" s="85"/>
    </row>
    <row r="4480" spans="11:16">
      <c r="K4480" s="85">
        <v>30</v>
      </c>
      <c r="L4480" s="78"/>
      <c r="M4480" s="78"/>
      <c r="N4480" s="78"/>
      <c r="P4480" s="85"/>
    </row>
    <row r="4481" spans="11:16">
      <c r="K4481" s="85">
        <v>31</v>
      </c>
      <c r="L4481" s="78"/>
      <c r="M4481" s="78"/>
      <c r="N4481" s="78"/>
      <c r="P4481" s="85"/>
    </row>
    <row r="4482" spans="11:16">
      <c r="K4482" s="85">
        <v>34</v>
      </c>
      <c r="L4482" s="78"/>
      <c r="M4482" s="78"/>
      <c r="N4482" s="78"/>
      <c r="P4482" s="85"/>
    </row>
    <row r="4483" spans="11:16">
      <c r="K4483" s="85">
        <v>35</v>
      </c>
      <c r="L4483" s="78"/>
      <c r="M4483" s="78"/>
      <c r="N4483" s="78"/>
      <c r="P4483" s="85"/>
    </row>
    <row r="4484" spans="11:16">
      <c r="K4484" s="85">
        <v>36</v>
      </c>
      <c r="L4484" s="78"/>
      <c r="M4484" s="78"/>
      <c r="N4484" s="78"/>
      <c r="P4484" s="85"/>
    </row>
    <row r="4485" spans="11:16">
      <c r="K4485" s="85">
        <v>25</v>
      </c>
      <c r="L4485" s="78"/>
      <c r="M4485" s="78"/>
      <c r="N4485" s="78"/>
      <c r="P4485" s="85"/>
    </row>
    <row r="4486" spans="11:16">
      <c r="K4486" s="85">
        <v>26</v>
      </c>
      <c r="L4486" s="78"/>
      <c r="M4486" s="78"/>
      <c r="N4486" s="78"/>
      <c r="P4486" s="85"/>
    </row>
    <row r="4487" spans="11:16">
      <c r="K4487" s="85">
        <v>27</v>
      </c>
      <c r="L4487" s="78"/>
      <c r="M4487" s="78"/>
      <c r="N4487" s="78"/>
      <c r="P4487" s="85"/>
    </row>
    <row r="4488" spans="11:16">
      <c r="K4488" s="85">
        <v>28</v>
      </c>
      <c r="L4488" s="78"/>
      <c r="M4488" s="78"/>
      <c r="N4488" s="78"/>
      <c r="P4488" s="85"/>
    </row>
    <row r="4489" spans="11:16">
      <c r="K4489" s="85">
        <v>29</v>
      </c>
      <c r="L4489" s="78"/>
      <c r="M4489" s="78"/>
      <c r="N4489" s="78"/>
      <c r="P4489" s="85"/>
    </row>
    <row r="4490" spans="11:16">
      <c r="K4490" s="85">
        <v>30</v>
      </c>
      <c r="L4490" s="78"/>
      <c r="M4490" s="78"/>
      <c r="N4490" s="78"/>
      <c r="P4490" s="85"/>
    </row>
    <row r="4491" spans="11:16">
      <c r="K4491" s="85">
        <v>31</v>
      </c>
      <c r="L4491" s="78"/>
      <c r="M4491" s="78"/>
      <c r="N4491" s="78"/>
      <c r="P4491" s="85"/>
    </row>
    <row r="4492" spans="11:16">
      <c r="K4492" s="85">
        <v>32</v>
      </c>
      <c r="L4492" s="78"/>
      <c r="M4492" s="78"/>
      <c r="N4492" s="78"/>
      <c r="P4492" s="85"/>
    </row>
    <row r="4493" spans="11:16">
      <c r="K4493" s="85">
        <v>33</v>
      </c>
      <c r="L4493" s="78"/>
      <c r="M4493" s="78"/>
      <c r="N4493" s="78"/>
      <c r="P4493" s="85"/>
    </row>
    <row r="4494" spans="11:16">
      <c r="K4494" s="85">
        <v>34</v>
      </c>
      <c r="L4494" s="78"/>
      <c r="M4494" s="78"/>
      <c r="N4494" s="78"/>
      <c r="P4494" s="85"/>
    </row>
    <row r="4495" spans="11:16">
      <c r="K4495" s="85">
        <v>35</v>
      </c>
      <c r="L4495" s="78"/>
      <c r="M4495" s="78"/>
      <c r="N4495" s="78"/>
      <c r="P4495" s="85"/>
    </row>
    <row r="4496" spans="11:16">
      <c r="K4496" s="85">
        <v>36</v>
      </c>
      <c r="L4496" s="78"/>
      <c r="M4496" s="78"/>
      <c r="N4496" s="78"/>
      <c r="P4496" s="85"/>
    </row>
    <row r="4497" spans="11:16">
      <c r="K4497" s="85">
        <v>27</v>
      </c>
      <c r="L4497" s="78"/>
      <c r="M4497" s="78"/>
      <c r="N4497" s="78"/>
      <c r="P4497" s="85"/>
    </row>
    <row r="4498" spans="11:16">
      <c r="K4498" s="85">
        <v>34</v>
      </c>
      <c r="L4498" s="78"/>
      <c r="M4498" s="78"/>
      <c r="N4498" s="78"/>
      <c r="P4498" s="85"/>
    </row>
    <row r="4499" spans="11:16">
      <c r="K4499" s="85">
        <v>25</v>
      </c>
      <c r="L4499" s="78"/>
      <c r="M4499" s="78"/>
      <c r="N4499" s="78"/>
      <c r="P4499" s="85"/>
    </row>
    <row r="4500" spans="11:16">
      <c r="K4500" s="85">
        <v>26</v>
      </c>
      <c r="L4500" s="78"/>
      <c r="M4500" s="78"/>
      <c r="N4500" s="78"/>
      <c r="P4500" s="85"/>
    </row>
    <row r="4501" spans="11:16">
      <c r="K4501" s="85">
        <v>27</v>
      </c>
      <c r="L4501" s="78"/>
      <c r="M4501" s="78"/>
      <c r="N4501" s="78"/>
      <c r="P4501" s="85"/>
    </row>
    <row r="4502" spans="11:16">
      <c r="K4502" s="85">
        <v>31</v>
      </c>
      <c r="L4502" s="78"/>
      <c r="M4502" s="78"/>
      <c r="N4502" s="78"/>
      <c r="P4502" s="85"/>
    </row>
    <row r="4503" spans="11:16">
      <c r="K4503" s="85">
        <v>32</v>
      </c>
      <c r="L4503" s="78"/>
      <c r="M4503" s="78"/>
      <c r="N4503" s="78"/>
      <c r="P4503" s="85"/>
    </row>
    <row r="4504" spans="11:16">
      <c r="K4504" s="85">
        <v>34</v>
      </c>
      <c r="L4504" s="78"/>
      <c r="M4504" s="78"/>
      <c r="N4504" s="78"/>
      <c r="P4504" s="85"/>
    </row>
    <row r="4505" spans="11:16">
      <c r="K4505" s="85">
        <v>35</v>
      </c>
      <c r="L4505" s="78"/>
      <c r="M4505" s="78"/>
      <c r="N4505" s="78"/>
      <c r="P4505" s="85"/>
    </row>
    <row r="4506" spans="11:16">
      <c r="K4506" s="85">
        <v>26</v>
      </c>
      <c r="L4506" s="78"/>
      <c r="M4506" s="78"/>
      <c r="N4506" s="78"/>
      <c r="P4506" s="85"/>
    </row>
    <row r="4507" spans="11:16">
      <c r="K4507" s="85">
        <v>27</v>
      </c>
      <c r="L4507" s="78"/>
      <c r="M4507" s="78"/>
      <c r="N4507" s="78"/>
      <c r="P4507" s="85"/>
    </row>
    <row r="4508" spans="11:16">
      <c r="K4508" s="85">
        <v>31</v>
      </c>
      <c r="L4508" s="78"/>
      <c r="M4508" s="78"/>
      <c r="N4508" s="78"/>
      <c r="P4508" s="85"/>
    </row>
    <row r="4509" spans="11:16">
      <c r="K4509" s="85">
        <v>32</v>
      </c>
      <c r="L4509" s="78"/>
      <c r="M4509" s="78"/>
      <c r="N4509" s="78"/>
      <c r="P4509" s="85"/>
    </row>
    <row r="4510" spans="11:16">
      <c r="K4510" s="85">
        <v>33</v>
      </c>
      <c r="L4510" s="78"/>
      <c r="M4510" s="78"/>
      <c r="N4510" s="78"/>
      <c r="P4510" s="85"/>
    </row>
    <row r="4511" spans="11:16">
      <c r="K4511" s="85">
        <v>34</v>
      </c>
      <c r="L4511" s="78"/>
      <c r="M4511" s="78"/>
      <c r="N4511" s="78"/>
      <c r="P4511" s="85"/>
    </row>
    <row r="4512" spans="11:16">
      <c r="K4512" s="85">
        <v>35</v>
      </c>
      <c r="L4512" s="78"/>
      <c r="M4512" s="78"/>
      <c r="N4512" s="78"/>
      <c r="P4512" s="85"/>
    </row>
    <row r="4513" spans="11:16">
      <c r="K4513" s="85">
        <v>36</v>
      </c>
      <c r="L4513" s="78"/>
      <c r="M4513" s="78"/>
      <c r="N4513" s="78"/>
      <c r="P4513" s="85"/>
    </row>
    <row r="4514" spans="11:16">
      <c r="K4514" s="85">
        <v>25</v>
      </c>
      <c r="L4514" s="78"/>
      <c r="M4514" s="78"/>
      <c r="N4514" s="78"/>
      <c r="P4514" s="85"/>
    </row>
    <row r="4515" spans="11:16">
      <c r="K4515" s="85">
        <v>26</v>
      </c>
      <c r="L4515" s="78"/>
      <c r="M4515" s="78"/>
      <c r="N4515" s="78"/>
      <c r="P4515" s="85"/>
    </row>
    <row r="4516" spans="11:16">
      <c r="K4516" s="85">
        <v>27</v>
      </c>
      <c r="L4516" s="78"/>
      <c r="M4516" s="78"/>
      <c r="N4516" s="78"/>
      <c r="P4516" s="85"/>
    </row>
    <row r="4517" spans="11:16">
      <c r="K4517" s="85">
        <v>28</v>
      </c>
      <c r="L4517" s="78"/>
      <c r="M4517" s="78"/>
      <c r="N4517" s="78"/>
      <c r="P4517" s="85"/>
    </row>
    <row r="4518" spans="11:16">
      <c r="K4518" s="85">
        <v>30</v>
      </c>
      <c r="L4518" s="78"/>
      <c r="M4518" s="78"/>
      <c r="N4518" s="78"/>
      <c r="P4518" s="85"/>
    </row>
    <row r="4519" spans="11:16">
      <c r="K4519" s="85">
        <v>31</v>
      </c>
      <c r="L4519" s="78"/>
      <c r="M4519" s="78"/>
      <c r="N4519" s="78"/>
      <c r="P4519" s="85"/>
    </row>
    <row r="4520" spans="11:16">
      <c r="K4520" s="85">
        <v>32</v>
      </c>
      <c r="L4520" s="78"/>
      <c r="M4520" s="78"/>
      <c r="N4520" s="78"/>
      <c r="P4520" s="85"/>
    </row>
    <row r="4521" spans="11:16">
      <c r="K4521" s="85">
        <v>33</v>
      </c>
      <c r="L4521" s="78"/>
      <c r="M4521" s="78"/>
      <c r="N4521" s="78"/>
      <c r="P4521" s="85"/>
    </row>
    <row r="4522" spans="11:16">
      <c r="K4522" s="85">
        <v>34</v>
      </c>
      <c r="L4522" s="78"/>
      <c r="M4522" s="78"/>
      <c r="N4522" s="78"/>
      <c r="P4522" s="85"/>
    </row>
    <row r="4523" spans="11:16">
      <c r="K4523" s="85">
        <v>35</v>
      </c>
      <c r="L4523" s="78"/>
      <c r="M4523" s="78"/>
      <c r="N4523" s="78"/>
      <c r="P4523" s="85"/>
    </row>
    <row r="4524" spans="11:16">
      <c r="K4524" s="85">
        <v>36</v>
      </c>
      <c r="L4524" s="78"/>
      <c r="M4524" s="78"/>
      <c r="N4524" s="78"/>
      <c r="P4524" s="85"/>
    </row>
    <row r="4525" spans="11:16">
      <c r="K4525" s="85">
        <v>29</v>
      </c>
      <c r="L4525" s="78"/>
      <c r="M4525" s="78"/>
      <c r="N4525" s="78"/>
      <c r="P4525" s="85"/>
    </row>
    <row r="4526" spans="11:16">
      <c r="K4526" s="85">
        <v>34</v>
      </c>
      <c r="L4526" s="78"/>
      <c r="M4526" s="78"/>
      <c r="N4526" s="78"/>
      <c r="P4526" s="85"/>
    </row>
    <row r="4527" spans="11:16">
      <c r="K4527" s="85">
        <v>35</v>
      </c>
      <c r="L4527" s="78"/>
      <c r="M4527" s="78"/>
      <c r="N4527" s="78"/>
      <c r="P4527" s="85"/>
    </row>
    <row r="4528" spans="11:16">
      <c r="K4528" s="85">
        <v>27</v>
      </c>
      <c r="L4528" s="78"/>
      <c r="M4528" s="78"/>
      <c r="N4528" s="78"/>
      <c r="P4528" s="85"/>
    </row>
    <row r="4529" spans="11:16">
      <c r="K4529" s="85">
        <v>31</v>
      </c>
      <c r="L4529" s="78"/>
      <c r="M4529" s="78"/>
      <c r="N4529" s="78"/>
      <c r="P4529" s="85"/>
    </row>
    <row r="4530" spans="11:16">
      <c r="K4530" s="85">
        <v>32</v>
      </c>
      <c r="L4530" s="78"/>
      <c r="M4530" s="78"/>
      <c r="N4530" s="78"/>
      <c r="P4530" s="85"/>
    </row>
    <row r="4531" spans="11:16">
      <c r="K4531" s="85">
        <v>26</v>
      </c>
      <c r="L4531" s="78"/>
      <c r="M4531" s="78"/>
      <c r="N4531" s="78"/>
      <c r="P4531" s="85"/>
    </row>
    <row r="4532" spans="11:16">
      <c r="K4532" s="85">
        <v>27</v>
      </c>
      <c r="L4532" s="78"/>
      <c r="M4532" s="78"/>
      <c r="N4532" s="78"/>
      <c r="P4532" s="85"/>
    </row>
    <row r="4533" spans="11:16">
      <c r="K4533" s="85">
        <v>28</v>
      </c>
      <c r="L4533" s="78"/>
      <c r="M4533" s="78"/>
      <c r="N4533" s="78"/>
      <c r="P4533" s="85"/>
    </row>
    <row r="4534" spans="11:16">
      <c r="K4534" s="85">
        <v>30</v>
      </c>
      <c r="L4534" s="78"/>
      <c r="M4534" s="78"/>
      <c r="N4534" s="78"/>
      <c r="P4534" s="85"/>
    </row>
    <row r="4535" spans="11:16">
      <c r="K4535" s="85">
        <v>34</v>
      </c>
      <c r="L4535" s="78"/>
      <c r="M4535" s="78"/>
      <c r="N4535" s="78"/>
      <c r="P4535" s="85"/>
    </row>
    <row r="4536" spans="11:16">
      <c r="K4536" s="85">
        <v>35</v>
      </c>
      <c r="L4536" s="78"/>
      <c r="M4536" s="78"/>
      <c r="N4536" s="78"/>
      <c r="P4536" s="85"/>
    </row>
    <row r="4537" spans="11:16">
      <c r="K4537" s="85">
        <v>25</v>
      </c>
      <c r="L4537" s="78"/>
      <c r="M4537" s="78"/>
      <c r="N4537" s="78"/>
      <c r="P4537" s="85"/>
    </row>
    <row r="4538" spans="11:16">
      <c r="K4538" s="85">
        <v>26</v>
      </c>
      <c r="L4538" s="78"/>
      <c r="M4538" s="78"/>
      <c r="N4538" s="78"/>
      <c r="P4538" s="85"/>
    </row>
    <row r="4539" spans="11:16">
      <c r="K4539" s="85">
        <v>27</v>
      </c>
      <c r="L4539" s="78"/>
      <c r="M4539" s="78"/>
      <c r="N4539" s="78"/>
      <c r="P4539" s="85"/>
    </row>
    <row r="4540" spans="11:16">
      <c r="K4540" s="85">
        <v>29</v>
      </c>
      <c r="L4540" s="78"/>
      <c r="M4540" s="78"/>
      <c r="N4540" s="78"/>
      <c r="P4540" s="85"/>
    </row>
    <row r="4541" spans="11:16">
      <c r="K4541" s="85">
        <v>30</v>
      </c>
      <c r="L4541" s="78"/>
      <c r="M4541" s="78"/>
      <c r="N4541" s="78"/>
      <c r="P4541" s="85"/>
    </row>
    <row r="4542" spans="11:16">
      <c r="K4542" s="85">
        <v>31</v>
      </c>
      <c r="L4542" s="78"/>
      <c r="M4542" s="78"/>
      <c r="N4542" s="78"/>
      <c r="P4542" s="85"/>
    </row>
    <row r="4543" spans="11:16">
      <c r="K4543" s="85">
        <v>32</v>
      </c>
      <c r="L4543" s="78"/>
      <c r="M4543" s="78"/>
      <c r="N4543" s="78"/>
      <c r="P4543" s="85"/>
    </row>
    <row r="4544" spans="11:16">
      <c r="K4544" s="85">
        <v>33</v>
      </c>
      <c r="L4544" s="78"/>
      <c r="M4544" s="78"/>
      <c r="N4544" s="78"/>
      <c r="P4544" s="85"/>
    </row>
    <row r="4545" spans="11:16">
      <c r="K4545" s="85">
        <v>34</v>
      </c>
      <c r="L4545" s="78"/>
      <c r="M4545" s="78"/>
      <c r="N4545" s="78"/>
      <c r="P4545" s="85"/>
    </row>
    <row r="4546" spans="11:16">
      <c r="K4546" s="85">
        <v>35</v>
      </c>
      <c r="L4546" s="78"/>
      <c r="M4546" s="78"/>
      <c r="N4546" s="78"/>
      <c r="P4546" s="85"/>
    </row>
    <row r="4547" spans="11:16">
      <c r="K4547" s="85">
        <v>36</v>
      </c>
      <c r="L4547" s="78"/>
      <c r="M4547" s="78"/>
      <c r="N4547" s="78"/>
      <c r="P4547" s="85"/>
    </row>
    <row r="4548" spans="11:16">
      <c r="K4548" s="85">
        <v>26</v>
      </c>
      <c r="L4548" s="78"/>
      <c r="M4548" s="78"/>
      <c r="N4548" s="78"/>
      <c r="P4548" s="85"/>
    </row>
    <row r="4549" spans="11:16">
      <c r="K4549" s="85">
        <v>27</v>
      </c>
      <c r="L4549" s="78"/>
      <c r="M4549" s="78"/>
      <c r="N4549" s="78"/>
      <c r="P4549" s="85"/>
    </row>
    <row r="4550" spans="11:16">
      <c r="K4550" s="85">
        <v>28</v>
      </c>
      <c r="L4550" s="78"/>
      <c r="M4550" s="78"/>
      <c r="N4550" s="78"/>
      <c r="P4550" s="85"/>
    </row>
    <row r="4551" spans="11:16">
      <c r="K4551" s="85">
        <v>31</v>
      </c>
      <c r="L4551" s="78"/>
      <c r="M4551" s="78"/>
      <c r="N4551" s="78"/>
      <c r="P4551" s="85"/>
    </row>
    <row r="4552" spans="11:16">
      <c r="K4552" s="85">
        <v>32</v>
      </c>
      <c r="L4552" s="78"/>
      <c r="M4552" s="78"/>
      <c r="N4552" s="78"/>
      <c r="P4552" s="85"/>
    </row>
    <row r="4553" spans="11:16">
      <c r="K4553" s="85">
        <v>34</v>
      </c>
      <c r="L4553" s="78"/>
      <c r="M4553" s="78"/>
      <c r="N4553" s="78"/>
      <c r="P4553" s="85"/>
    </row>
    <row r="4554" spans="11:16">
      <c r="K4554" s="85">
        <v>35</v>
      </c>
      <c r="L4554" s="78"/>
      <c r="M4554" s="78"/>
      <c r="N4554" s="78"/>
      <c r="P4554" s="85"/>
    </row>
    <row r="4555" spans="11:16">
      <c r="K4555" s="85">
        <v>27</v>
      </c>
      <c r="L4555" s="78"/>
      <c r="M4555" s="78"/>
      <c r="N4555" s="78"/>
      <c r="P4555" s="85"/>
    </row>
    <row r="4556" spans="11:16">
      <c r="K4556" s="85">
        <v>25</v>
      </c>
      <c r="L4556" s="78"/>
      <c r="M4556" s="78"/>
      <c r="N4556" s="78"/>
      <c r="P4556" s="85"/>
    </row>
    <row r="4557" spans="11:16">
      <c r="K4557" s="85">
        <v>26</v>
      </c>
      <c r="L4557" s="78"/>
      <c r="M4557" s="78"/>
      <c r="N4557" s="78"/>
      <c r="P4557" s="85"/>
    </row>
    <row r="4558" spans="11:16">
      <c r="K4558" s="85">
        <v>27</v>
      </c>
      <c r="L4558" s="78"/>
      <c r="M4558" s="78"/>
      <c r="N4558" s="78"/>
      <c r="P4558" s="85"/>
    </row>
    <row r="4559" spans="11:16">
      <c r="K4559" s="85">
        <v>28</v>
      </c>
      <c r="L4559" s="78"/>
      <c r="M4559" s="78"/>
      <c r="N4559" s="78"/>
      <c r="P4559" s="85"/>
    </row>
    <row r="4560" spans="11:16">
      <c r="K4560" s="85">
        <v>29</v>
      </c>
      <c r="L4560" s="78"/>
      <c r="M4560" s="78"/>
      <c r="N4560" s="78"/>
      <c r="P4560" s="85"/>
    </row>
    <row r="4561" spans="11:16">
      <c r="K4561" s="85">
        <v>31</v>
      </c>
      <c r="L4561" s="78"/>
      <c r="M4561" s="78"/>
      <c r="N4561" s="78"/>
      <c r="P4561" s="85"/>
    </row>
    <row r="4562" spans="11:16">
      <c r="K4562" s="85">
        <v>32</v>
      </c>
      <c r="L4562" s="78"/>
      <c r="M4562" s="78"/>
      <c r="N4562" s="78"/>
      <c r="P4562" s="85"/>
    </row>
    <row r="4563" spans="11:16">
      <c r="K4563" s="85">
        <v>35</v>
      </c>
      <c r="L4563" s="78"/>
      <c r="M4563" s="78"/>
      <c r="N4563" s="78"/>
      <c r="P4563" s="85"/>
    </row>
    <row r="4564" spans="11:16">
      <c r="K4564" s="85">
        <v>25</v>
      </c>
      <c r="L4564" s="78"/>
      <c r="M4564" s="78"/>
      <c r="N4564" s="78"/>
      <c r="P4564" s="85"/>
    </row>
    <row r="4565" spans="11:16">
      <c r="K4565" s="85">
        <v>26</v>
      </c>
      <c r="L4565" s="78"/>
      <c r="M4565" s="78"/>
      <c r="N4565" s="78"/>
      <c r="P4565" s="85"/>
    </row>
    <row r="4566" spans="11:16">
      <c r="K4566" s="85">
        <v>27</v>
      </c>
      <c r="L4566" s="78"/>
      <c r="M4566" s="78"/>
      <c r="N4566" s="78"/>
      <c r="P4566" s="85"/>
    </row>
    <row r="4567" spans="11:16">
      <c r="K4567" s="85">
        <v>28</v>
      </c>
      <c r="L4567" s="78"/>
      <c r="M4567" s="78"/>
      <c r="N4567" s="78"/>
      <c r="P4567" s="85"/>
    </row>
    <row r="4568" spans="11:16">
      <c r="K4568" s="85">
        <v>29</v>
      </c>
      <c r="L4568" s="78"/>
      <c r="M4568" s="78"/>
      <c r="N4568" s="78"/>
      <c r="P4568" s="85"/>
    </row>
    <row r="4569" spans="11:16">
      <c r="K4569" s="85">
        <v>30</v>
      </c>
      <c r="L4569" s="78"/>
      <c r="M4569" s="78"/>
      <c r="N4569" s="78"/>
      <c r="P4569" s="85"/>
    </row>
    <row r="4570" spans="11:16">
      <c r="K4570" s="85">
        <v>31</v>
      </c>
      <c r="L4570" s="78"/>
      <c r="M4570" s="78"/>
      <c r="N4570" s="78"/>
      <c r="P4570" s="85"/>
    </row>
    <row r="4571" spans="11:16">
      <c r="K4571" s="85">
        <v>32</v>
      </c>
      <c r="L4571" s="78"/>
      <c r="M4571" s="78"/>
      <c r="N4571" s="78"/>
      <c r="P4571" s="85"/>
    </row>
    <row r="4572" spans="11:16">
      <c r="K4572" s="85">
        <v>33</v>
      </c>
      <c r="L4572" s="78"/>
      <c r="M4572" s="78"/>
      <c r="N4572" s="78"/>
      <c r="P4572" s="85"/>
    </row>
    <row r="4573" spans="11:16">
      <c r="K4573" s="85">
        <v>34</v>
      </c>
      <c r="L4573" s="78"/>
      <c r="M4573" s="78"/>
      <c r="N4573" s="78"/>
      <c r="P4573" s="85"/>
    </row>
    <row r="4574" spans="11:16">
      <c r="K4574" s="85">
        <v>35</v>
      </c>
      <c r="L4574" s="78"/>
      <c r="M4574" s="78"/>
      <c r="N4574" s="78"/>
      <c r="P4574" s="85"/>
    </row>
    <row r="4575" spans="11:16">
      <c r="K4575" s="85">
        <v>36</v>
      </c>
      <c r="L4575" s="78"/>
      <c r="M4575" s="78"/>
      <c r="N4575" s="78"/>
      <c r="P4575" s="85"/>
    </row>
    <row r="4576" spans="11:16">
      <c r="K4576" s="85">
        <v>25</v>
      </c>
      <c r="L4576" s="78"/>
      <c r="M4576" s="78"/>
      <c r="N4576" s="78"/>
      <c r="P4576" s="85"/>
    </row>
    <row r="4577" spans="11:16">
      <c r="K4577" s="85">
        <v>26</v>
      </c>
      <c r="L4577" s="78"/>
      <c r="M4577" s="78"/>
      <c r="N4577" s="78"/>
      <c r="P4577" s="85"/>
    </row>
    <row r="4578" spans="11:16">
      <c r="K4578" s="85">
        <v>27</v>
      </c>
      <c r="L4578" s="78"/>
      <c r="M4578" s="78"/>
      <c r="N4578" s="78"/>
      <c r="P4578" s="85"/>
    </row>
    <row r="4579" spans="11:16">
      <c r="K4579" s="85">
        <v>28</v>
      </c>
      <c r="L4579" s="78"/>
      <c r="M4579" s="78"/>
      <c r="N4579" s="78"/>
      <c r="P4579" s="85"/>
    </row>
    <row r="4580" spans="11:16">
      <c r="K4580" s="85">
        <v>29</v>
      </c>
      <c r="L4580" s="78"/>
      <c r="M4580" s="78"/>
      <c r="N4580" s="78"/>
      <c r="P4580" s="85"/>
    </row>
    <row r="4581" spans="11:16">
      <c r="K4581" s="85">
        <v>30</v>
      </c>
      <c r="L4581" s="78"/>
      <c r="M4581" s="78"/>
      <c r="N4581" s="78"/>
      <c r="P4581" s="85"/>
    </row>
    <row r="4582" spans="11:16">
      <c r="K4582" s="85">
        <v>31</v>
      </c>
      <c r="L4582" s="78"/>
      <c r="M4582" s="78"/>
      <c r="N4582" s="78"/>
      <c r="P4582" s="85"/>
    </row>
    <row r="4583" spans="11:16">
      <c r="K4583" s="85">
        <v>32</v>
      </c>
      <c r="L4583" s="78"/>
      <c r="M4583" s="78"/>
      <c r="N4583" s="78"/>
      <c r="P4583" s="85"/>
    </row>
    <row r="4584" spans="11:16">
      <c r="K4584" s="85">
        <v>33</v>
      </c>
      <c r="L4584" s="78"/>
      <c r="M4584" s="78"/>
      <c r="N4584" s="78"/>
      <c r="P4584" s="85"/>
    </row>
    <row r="4585" spans="11:16">
      <c r="K4585" s="85">
        <v>34</v>
      </c>
      <c r="L4585" s="78"/>
      <c r="M4585" s="78"/>
      <c r="N4585" s="78"/>
      <c r="P4585" s="85"/>
    </row>
    <row r="4586" spans="11:16">
      <c r="K4586" s="85">
        <v>35</v>
      </c>
      <c r="L4586" s="78"/>
      <c r="M4586" s="78"/>
      <c r="N4586" s="78"/>
      <c r="P4586" s="85"/>
    </row>
    <row r="4587" spans="11:16">
      <c r="K4587" s="85">
        <v>36</v>
      </c>
      <c r="L4587" s="78"/>
      <c r="M4587" s="78"/>
      <c r="N4587" s="78"/>
      <c r="P4587" s="85"/>
    </row>
    <row r="4588" spans="11:16">
      <c r="K4588" s="85">
        <v>25</v>
      </c>
      <c r="L4588" s="78"/>
      <c r="M4588" s="78"/>
      <c r="N4588" s="78"/>
      <c r="P4588" s="85"/>
    </row>
    <row r="4589" spans="11:16">
      <c r="K4589" s="85">
        <v>26</v>
      </c>
      <c r="L4589" s="78"/>
      <c r="M4589" s="78"/>
      <c r="N4589" s="78"/>
      <c r="P4589" s="85"/>
    </row>
    <row r="4590" spans="11:16">
      <c r="K4590" s="85">
        <v>27</v>
      </c>
      <c r="L4590" s="78"/>
      <c r="M4590" s="78"/>
      <c r="N4590" s="78"/>
      <c r="P4590" s="85"/>
    </row>
    <row r="4591" spans="11:16">
      <c r="K4591" s="85">
        <v>28</v>
      </c>
      <c r="L4591" s="78"/>
      <c r="M4591" s="78"/>
      <c r="N4591" s="78"/>
      <c r="P4591" s="85"/>
    </row>
    <row r="4592" spans="11:16">
      <c r="K4592" s="85">
        <v>29</v>
      </c>
      <c r="L4592" s="78"/>
      <c r="M4592" s="78"/>
      <c r="N4592" s="78"/>
      <c r="P4592" s="85"/>
    </row>
    <row r="4593" spans="11:16">
      <c r="K4593" s="85">
        <v>30</v>
      </c>
      <c r="L4593" s="78"/>
      <c r="M4593" s="78"/>
      <c r="N4593" s="78"/>
      <c r="P4593" s="85"/>
    </row>
    <row r="4594" spans="11:16">
      <c r="K4594" s="85">
        <v>31</v>
      </c>
      <c r="L4594" s="78"/>
      <c r="M4594" s="78"/>
      <c r="N4594" s="78"/>
      <c r="P4594" s="85"/>
    </row>
    <row r="4595" spans="11:16">
      <c r="K4595" s="85">
        <v>32</v>
      </c>
      <c r="L4595" s="78"/>
      <c r="M4595" s="78"/>
      <c r="N4595" s="78"/>
      <c r="P4595" s="85"/>
    </row>
    <row r="4596" spans="11:16">
      <c r="K4596" s="85">
        <v>35</v>
      </c>
      <c r="L4596" s="78"/>
      <c r="M4596" s="78"/>
      <c r="N4596" s="78"/>
      <c r="P4596" s="85"/>
    </row>
    <row r="4597" spans="11:16">
      <c r="K4597" s="85">
        <v>31</v>
      </c>
      <c r="L4597" s="78"/>
      <c r="M4597" s="78"/>
      <c r="N4597" s="78"/>
      <c r="P4597" s="85"/>
    </row>
    <row r="4598" spans="11:16">
      <c r="K4598" s="85">
        <v>32</v>
      </c>
      <c r="L4598" s="78"/>
      <c r="M4598" s="78"/>
      <c r="N4598" s="78"/>
      <c r="P4598" s="85"/>
    </row>
    <row r="4599" spans="11:16">
      <c r="K4599" s="85">
        <v>25</v>
      </c>
      <c r="L4599" s="78"/>
      <c r="M4599" s="78"/>
      <c r="N4599" s="78"/>
      <c r="P4599" s="85"/>
    </row>
    <row r="4600" spans="11:16">
      <c r="K4600" s="85">
        <v>26</v>
      </c>
      <c r="L4600" s="78"/>
      <c r="M4600" s="78"/>
      <c r="N4600" s="78"/>
      <c r="P4600" s="85"/>
    </row>
    <row r="4601" spans="11:16">
      <c r="K4601" s="85">
        <v>27</v>
      </c>
      <c r="L4601" s="78"/>
      <c r="M4601" s="78"/>
      <c r="N4601" s="78"/>
      <c r="P4601" s="85"/>
    </row>
    <row r="4602" spans="11:16">
      <c r="K4602" s="85">
        <v>29</v>
      </c>
      <c r="L4602" s="78"/>
      <c r="M4602" s="78"/>
      <c r="N4602" s="78"/>
      <c r="P4602" s="85"/>
    </row>
    <row r="4603" spans="11:16">
      <c r="K4603" s="85">
        <v>30</v>
      </c>
      <c r="L4603" s="78"/>
      <c r="M4603" s="78"/>
      <c r="N4603" s="78"/>
      <c r="P4603" s="85"/>
    </row>
    <row r="4604" spans="11:16">
      <c r="K4604" s="85">
        <v>31</v>
      </c>
      <c r="L4604" s="78"/>
      <c r="M4604" s="78"/>
      <c r="N4604" s="78"/>
      <c r="P4604" s="85"/>
    </row>
    <row r="4605" spans="11:16">
      <c r="K4605" s="85">
        <v>34</v>
      </c>
      <c r="L4605" s="78"/>
      <c r="M4605" s="78"/>
      <c r="N4605" s="78"/>
      <c r="P4605" s="85"/>
    </row>
    <row r="4606" spans="11:16">
      <c r="K4606" s="85">
        <v>35</v>
      </c>
      <c r="L4606" s="78"/>
      <c r="M4606" s="78"/>
      <c r="N4606" s="78"/>
      <c r="P4606" s="85"/>
    </row>
    <row r="4607" spans="11:16">
      <c r="K4607" s="85">
        <v>36</v>
      </c>
      <c r="L4607" s="78"/>
      <c r="M4607" s="78"/>
      <c r="N4607" s="78"/>
      <c r="P4607" s="85"/>
    </row>
    <row r="4608" spans="11:16">
      <c r="K4608" s="85">
        <v>25</v>
      </c>
      <c r="L4608" s="78"/>
      <c r="M4608" s="78"/>
      <c r="N4608" s="78"/>
      <c r="P4608" s="85"/>
    </row>
    <row r="4609" spans="11:16">
      <c r="K4609" s="85">
        <v>26</v>
      </c>
      <c r="L4609" s="78"/>
      <c r="M4609" s="78"/>
      <c r="N4609" s="78"/>
      <c r="P4609" s="85"/>
    </row>
    <row r="4610" spans="11:16">
      <c r="K4610" s="85">
        <v>27</v>
      </c>
      <c r="L4610" s="78"/>
      <c r="M4610" s="78"/>
      <c r="N4610" s="78"/>
      <c r="P4610" s="85"/>
    </row>
    <row r="4611" spans="11:16">
      <c r="K4611" s="85">
        <v>28</v>
      </c>
      <c r="L4611" s="78"/>
      <c r="M4611" s="78"/>
      <c r="N4611" s="78"/>
      <c r="P4611" s="85"/>
    </row>
    <row r="4612" spans="11:16">
      <c r="K4612" s="85">
        <v>29</v>
      </c>
      <c r="L4612" s="78"/>
      <c r="M4612" s="78"/>
      <c r="N4612" s="78"/>
      <c r="P4612" s="85"/>
    </row>
    <row r="4613" spans="11:16">
      <c r="K4613" s="85">
        <v>30</v>
      </c>
      <c r="L4613" s="78"/>
      <c r="M4613" s="78"/>
      <c r="N4613" s="78"/>
      <c r="P4613" s="85"/>
    </row>
    <row r="4614" spans="11:16">
      <c r="K4614" s="85">
        <v>31</v>
      </c>
      <c r="L4614" s="78"/>
      <c r="M4614" s="78"/>
      <c r="N4614" s="78"/>
      <c r="P4614" s="85"/>
    </row>
    <row r="4615" spans="11:16">
      <c r="K4615" s="85">
        <v>32</v>
      </c>
      <c r="L4615" s="78"/>
      <c r="M4615" s="78"/>
      <c r="N4615" s="78"/>
      <c r="P4615" s="85"/>
    </row>
    <row r="4616" spans="11:16">
      <c r="K4616" s="85">
        <v>33</v>
      </c>
      <c r="L4616" s="78"/>
      <c r="M4616" s="78"/>
      <c r="N4616" s="78"/>
      <c r="P4616" s="85"/>
    </row>
    <row r="4617" spans="11:16">
      <c r="K4617" s="85">
        <v>34</v>
      </c>
      <c r="L4617" s="78"/>
      <c r="M4617" s="78"/>
      <c r="N4617" s="78"/>
      <c r="P4617" s="85"/>
    </row>
    <row r="4618" spans="11:16">
      <c r="K4618" s="85">
        <v>35</v>
      </c>
      <c r="L4618" s="78"/>
      <c r="M4618" s="78"/>
      <c r="N4618" s="78"/>
      <c r="P4618" s="85"/>
    </row>
    <row r="4619" spans="11:16">
      <c r="K4619" s="85">
        <v>36</v>
      </c>
      <c r="L4619" s="78"/>
      <c r="M4619" s="78"/>
      <c r="N4619" s="78"/>
      <c r="P4619" s="85"/>
    </row>
    <row r="4620" spans="11:16">
      <c r="K4620" s="85">
        <v>25</v>
      </c>
      <c r="L4620" s="78"/>
      <c r="M4620" s="78"/>
      <c r="N4620" s="78"/>
      <c r="P4620" s="85"/>
    </row>
    <row r="4621" spans="11:16">
      <c r="K4621" s="85">
        <v>27</v>
      </c>
      <c r="L4621" s="78"/>
      <c r="M4621" s="78"/>
      <c r="N4621" s="78"/>
      <c r="P4621" s="85"/>
    </row>
    <row r="4622" spans="11:16">
      <c r="K4622" s="85">
        <v>31</v>
      </c>
      <c r="L4622" s="78"/>
      <c r="M4622" s="78"/>
      <c r="N4622" s="78"/>
      <c r="P4622" s="85"/>
    </row>
    <row r="4623" spans="11:16">
      <c r="K4623" s="85">
        <v>32</v>
      </c>
      <c r="L4623" s="78"/>
      <c r="M4623" s="78"/>
      <c r="N4623" s="78"/>
      <c r="P4623" s="85"/>
    </row>
    <row r="4624" spans="11:16">
      <c r="K4624" s="85">
        <v>34</v>
      </c>
      <c r="L4624" s="78"/>
      <c r="M4624" s="78"/>
      <c r="N4624" s="78"/>
      <c r="P4624" s="85"/>
    </row>
    <row r="4625" spans="11:16">
      <c r="K4625" s="85">
        <v>35</v>
      </c>
      <c r="L4625" s="78"/>
      <c r="M4625" s="78"/>
      <c r="N4625" s="78"/>
      <c r="P4625" s="85"/>
    </row>
    <row r="4626" spans="11:16">
      <c r="K4626" s="85">
        <v>25</v>
      </c>
      <c r="L4626" s="78"/>
      <c r="M4626" s="78"/>
      <c r="N4626" s="78"/>
      <c r="P4626" s="85"/>
    </row>
    <row r="4627" spans="11:16">
      <c r="K4627" s="85">
        <v>26</v>
      </c>
      <c r="L4627" s="78"/>
      <c r="M4627" s="78"/>
      <c r="N4627" s="78"/>
      <c r="P4627" s="85"/>
    </row>
    <row r="4628" spans="11:16">
      <c r="K4628" s="85">
        <v>27</v>
      </c>
      <c r="L4628" s="78"/>
      <c r="M4628" s="78"/>
      <c r="N4628" s="78"/>
      <c r="P4628" s="85"/>
    </row>
    <row r="4629" spans="11:16">
      <c r="K4629" s="85">
        <v>28</v>
      </c>
      <c r="L4629" s="78"/>
      <c r="M4629" s="78"/>
      <c r="N4629" s="78"/>
      <c r="P4629" s="85"/>
    </row>
    <row r="4630" spans="11:16">
      <c r="K4630" s="85">
        <v>29</v>
      </c>
      <c r="L4630" s="78"/>
      <c r="M4630" s="78"/>
      <c r="N4630" s="78"/>
      <c r="P4630" s="85"/>
    </row>
    <row r="4631" spans="11:16">
      <c r="K4631" s="85">
        <v>30</v>
      </c>
      <c r="L4631" s="78"/>
      <c r="M4631" s="78"/>
      <c r="N4631" s="78"/>
      <c r="P4631" s="85"/>
    </row>
    <row r="4632" spans="11:16">
      <c r="K4632" s="85">
        <v>31</v>
      </c>
      <c r="L4632" s="78"/>
      <c r="M4632" s="78"/>
      <c r="N4632" s="78"/>
      <c r="P4632" s="85"/>
    </row>
    <row r="4633" spans="11:16">
      <c r="K4633" s="85">
        <v>32</v>
      </c>
      <c r="L4633" s="78"/>
      <c r="M4633" s="78"/>
      <c r="N4633" s="78"/>
      <c r="P4633" s="85"/>
    </row>
    <row r="4634" spans="11:16">
      <c r="K4634" s="85">
        <v>33</v>
      </c>
      <c r="L4634" s="78"/>
      <c r="M4634" s="78"/>
      <c r="N4634" s="78"/>
      <c r="P4634" s="85"/>
    </row>
    <row r="4635" spans="11:16">
      <c r="K4635" s="85">
        <v>34</v>
      </c>
      <c r="L4635" s="78"/>
      <c r="M4635" s="78"/>
      <c r="N4635" s="78"/>
      <c r="P4635" s="85"/>
    </row>
    <row r="4636" spans="11:16">
      <c r="K4636" s="85">
        <v>35</v>
      </c>
      <c r="L4636" s="78"/>
      <c r="M4636" s="78"/>
      <c r="N4636" s="78"/>
      <c r="P4636" s="85"/>
    </row>
    <row r="4637" spans="11:16">
      <c r="K4637" s="85">
        <v>36</v>
      </c>
      <c r="L4637" s="78"/>
      <c r="M4637" s="78"/>
      <c r="N4637" s="78"/>
      <c r="P4637" s="85"/>
    </row>
    <row r="4638" spans="11:16">
      <c r="K4638" s="85">
        <v>25</v>
      </c>
      <c r="L4638" s="78"/>
      <c r="M4638" s="78"/>
      <c r="N4638" s="78"/>
      <c r="P4638" s="85"/>
    </row>
    <row r="4639" spans="11:16">
      <c r="K4639" s="85">
        <v>26</v>
      </c>
      <c r="L4639" s="78"/>
      <c r="M4639" s="78"/>
      <c r="N4639" s="78"/>
      <c r="P4639" s="85"/>
    </row>
    <row r="4640" spans="11:16">
      <c r="K4640" s="85">
        <v>27</v>
      </c>
      <c r="L4640" s="78"/>
      <c r="M4640" s="78"/>
      <c r="N4640" s="78"/>
      <c r="P4640" s="85"/>
    </row>
    <row r="4641" spans="11:16">
      <c r="K4641" s="85">
        <v>28</v>
      </c>
      <c r="L4641" s="78"/>
      <c r="M4641" s="78"/>
      <c r="N4641" s="78"/>
      <c r="P4641" s="85"/>
    </row>
    <row r="4642" spans="11:16">
      <c r="K4642" s="85">
        <v>29</v>
      </c>
      <c r="L4642" s="78"/>
      <c r="M4642" s="78"/>
      <c r="N4642" s="78"/>
      <c r="P4642" s="85"/>
    </row>
    <row r="4643" spans="11:16">
      <c r="K4643" s="85">
        <v>30</v>
      </c>
      <c r="L4643" s="78"/>
      <c r="M4643" s="78"/>
      <c r="N4643" s="78"/>
      <c r="P4643" s="85"/>
    </row>
    <row r="4644" spans="11:16">
      <c r="K4644" s="85">
        <v>31</v>
      </c>
      <c r="L4644" s="78"/>
      <c r="M4644" s="78"/>
      <c r="N4644" s="78"/>
      <c r="P4644" s="85"/>
    </row>
    <row r="4645" spans="11:16">
      <c r="K4645" s="85">
        <v>32</v>
      </c>
      <c r="L4645" s="78"/>
      <c r="M4645" s="78"/>
      <c r="N4645" s="78"/>
      <c r="P4645" s="85"/>
    </row>
    <row r="4646" spans="11:16">
      <c r="K4646" s="85">
        <v>33</v>
      </c>
      <c r="L4646" s="78"/>
      <c r="M4646" s="78"/>
      <c r="N4646" s="78"/>
      <c r="P4646" s="85"/>
    </row>
    <row r="4647" spans="11:16">
      <c r="K4647" s="85">
        <v>34</v>
      </c>
      <c r="L4647" s="78"/>
      <c r="M4647" s="78"/>
      <c r="N4647" s="78"/>
      <c r="P4647" s="85"/>
    </row>
    <row r="4648" spans="11:16">
      <c r="K4648" s="85">
        <v>35</v>
      </c>
      <c r="L4648" s="78"/>
      <c r="M4648" s="78"/>
      <c r="N4648" s="78"/>
      <c r="P4648" s="85"/>
    </row>
    <row r="4649" spans="11:16">
      <c r="K4649" s="85">
        <v>27</v>
      </c>
      <c r="L4649" s="78"/>
      <c r="M4649" s="78"/>
      <c r="N4649" s="78"/>
      <c r="P4649" s="85"/>
    </row>
    <row r="4650" spans="11:16">
      <c r="K4650" s="85">
        <v>28</v>
      </c>
      <c r="L4650" s="78"/>
      <c r="M4650" s="78"/>
      <c r="N4650" s="78"/>
      <c r="P4650" s="85"/>
    </row>
    <row r="4651" spans="11:16">
      <c r="K4651" s="85">
        <v>31</v>
      </c>
      <c r="L4651" s="78"/>
      <c r="M4651" s="78"/>
      <c r="N4651" s="78"/>
      <c r="P4651" s="85"/>
    </row>
    <row r="4652" spans="11:16">
      <c r="K4652" s="85">
        <v>35</v>
      </c>
      <c r="L4652" s="78"/>
      <c r="M4652" s="78"/>
      <c r="N4652" s="78"/>
      <c r="P4652" s="85"/>
    </row>
    <row r="4653" spans="11:16">
      <c r="K4653" s="85">
        <v>25</v>
      </c>
      <c r="L4653" s="78"/>
      <c r="M4653" s="78"/>
      <c r="N4653" s="78"/>
      <c r="P4653" s="85"/>
    </row>
    <row r="4654" spans="11:16">
      <c r="K4654" s="85">
        <v>26</v>
      </c>
      <c r="L4654" s="78"/>
      <c r="M4654" s="78"/>
      <c r="N4654" s="78"/>
      <c r="P4654" s="85"/>
    </row>
    <row r="4655" spans="11:16">
      <c r="K4655" s="85">
        <v>27</v>
      </c>
      <c r="L4655" s="78"/>
      <c r="M4655" s="78"/>
      <c r="N4655" s="78"/>
      <c r="P4655" s="85"/>
    </row>
    <row r="4656" spans="11:16">
      <c r="K4656" s="85">
        <v>28</v>
      </c>
      <c r="L4656" s="78"/>
      <c r="M4656" s="78"/>
      <c r="N4656" s="78"/>
      <c r="P4656" s="85"/>
    </row>
    <row r="4657" spans="11:16">
      <c r="K4657" s="85">
        <v>29</v>
      </c>
      <c r="L4657" s="78"/>
      <c r="M4657" s="78"/>
      <c r="N4657" s="78"/>
      <c r="P4657" s="85"/>
    </row>
    <row r="4658" spans="11:16">
      <c r="K4658" s="85">
        <v>30</v>
      </c>
      <c r="L4658" s="78"/>
      <c r="M4658" s="78"/>
      <c r="N4658" s="78"/>
      <c r="P4658" s="85"/>
    </row>
    <row r="4659" spans="11:16">
      <c r="K4659" s="85">
        <v>31</v>
      </c>
      <c r="L4659" s="78"/>
      <c r="M4659" s="78"/>
      <c r="N4659" s="78"/>
      <c r="P4659" s="85"/>
    </row>
    <row r="4660" spans="11:16">
      <c r="K4660" s="85">
        <v>32</v>
      </c>
      <c r="L4660" s="78"/>
      <c r="M4660" s="78"/>
      <c r="N4660" s="78"/>
      <c r="P4660" s="85"/>
    </row>
    <row r="4661" spans="11:16">
      <c r="K4661" s="85">
        <v>35</v>
      </c>
      <c r="L4661" s="78"/>
      <c r="M4661" s="78"/>
      <c r="N4661" s="78"/>
      <c r="P4661" s="85"/>
    </row>
    <row r="4662" spans="11:16">
      <c r="K4662" s="85">
        <v>25</v>
      </c>
      <c r="L4662" s="78"/>
      <c r="M4662" s="78"/>
      <c r="N4662" s="78"/>
      <c r="P4662" s="85"/>
    </row>
    <row r="4663" spans="11:16">
      <c r="K4663" s="85">
        <v>26</v>
      </c>
      <c r="L4663" s="78"/>
      <c r="M4663" s="78"/>
      <c r="N4663" s="78"/>
      <c r="P4663" s="85"/>
    </row>
    <row r="4664" spans="11:16">
      <c r="K4664" s="85">
        <v>27</v>
      </c>
      <c r="L4664" s="78"/>
      <c r="M4664" s="78"/>
      <c r="N4664" s="78"/>
      <c r="P4664" s="85"/>
    </row>
    <row r="4665" spans="11:16">
      <c r="K4665" s="85">
        <v>28</v>
      </c>
      <c r="L4665" s="78"/>
      <c r="M4665" s="78"/>
      <c r="N4665" s="78"/>
      <c r="P4665" s="85"/>
    </row>
    <row r="4666" spans="11:16">
      <c r="K4666" s="85">
        <v>29</v>
      </c>
      <c r="L4666" s="78"/>
      <c r="M4666" s="78"/>
      <c r="N4666" s="78"/>
      <c r="P4666" s="85"/>
    </row>
    <row r="4667" spans="11:16">
      <c r="K4667" s="85">
        <v>34</v>
      </c>
      <c r="L4667" s="78"/>
      <c r="M4667" s="78"/>
      <c r="N4667" s="78"/>
      <c r="P4667" s="85"/>
    </row>
    <row r="4668" spans="11:16">
      <c r="K4668" s="85">
        <v>35</v>
      </c>
      <c r="L4668" s="78"/>
      <c r="M4668" s="78"/>
      <c r="N4668" s="78"/>
      <c r="P4668" s="85"/>
    </row>
    <row r="4669" spans="11:16">
      <c r="K4669" s="85">
        <v>36</v>
      </c>
      <c r="L4669" s="78"/>
      <c r="M4669" s="78"/>
      <c r="N4669" s="78"/>
      <c r="P4669" s="85"/>
    </row>
    <row r="4670" spans="11:16">
      <c r="K4670" s="85">
        <v>25</v>
      </c>
      <c r="L4670" s="78"/>
      <c r="M4670" s="78"/>
      <c r="N4670" s="78"/>
      <c r="P4670" s="85"/>
    </row>
    <row r="4671" spans="11:16">
      <c r="K4671" s="85">
        <v>27</v>
      </c>
      <c r="L4671" s="78"/>
      <c r="M4671" s="78"/>
      <c r="N4671" s="78"/>
      <c r="P4671" s="85"/>
    </row>
    <row r="4672" spans="11:16">
      <c r="K4672" s="85">
        <v>31</v>
      </c>
      <c r="L4672" s="78"/>
      <c r="M4672" s="78"/>
      <c r="N4672" s="78"/>
      <c r="P4672" s="85"/>
    </row>
    <row r="4673" spans="11:16">
      <c r="K4673" s="85">
        <v>32</v>
      </c>
      <c r="L4673" s="78"/>
      <c r="M4673" s="78"/>
      <c r="N4673" s="78"/>
      <c r="P4673" s="85"/>
    </row>
    <row r="4674" spans="11:16">
      <c r="K4674" s="85">
        <v>34</v>
      </c>
      <c r="L4674" s="78"/>
      <c r="M4674" s="78"/>
      <c r="N4674" s="78"/>
      <c r="P4674" s="85"/>
    </row>
    <row r="4675" spans="11:16">
      <c r="K4675" s="85">
        <v>35</v>
      </c>
      <c r="L4675" s="78"/>
      <c r="M4675" s="78"/>
      <c r="N4675" s="78"/>
      <c r="P4675" s="85"/>
    </row>
    <row r="4676" spans="11:16">
      <c r="K4676" s="85">
        <v>25</v>
      </c>
      <c r="L4676" s="78"/>
      <c r="M4676" s="78"/>
      <c r="N4676" s="78"/>
      <c r="P4676" s="85"/>
    </row>
    <row r="4677" spans="11:16">
      <c r="K4677" s="85">
        <v>26</v>
      </c>
      <c r="L4677" s="78"/>
      <c r="M4677" s="78"/>
      <c r="N4677" s="78"/>
      <c r="P4677" s="85"/>
    </row>
    <row r="4678" spans="11:16">
      <c r="K4678" s="85">
        <v>27</v>
      </c>
      <c r="L4678" s="78"/>
      <c r="M4678" s="78"/>
      <c r="N4678" s="78"/>
      <c r="P4678" s="85"/>
    </row>
    <row r="4679" spans="11:16">
      <c r="K4679" s="85">
        <v>28</v>
      </c>
      <c r="L4679" s="78"/>
      <c r="M4679" s="78"/>
      <c r="N4679" s="78"/>
      <c r="P4679" s="85"/>
    </row>
    <row r="4680" spans="11:16">
      <c r="K4680" s="85">
        <v>31</v>
      </c>
      <c r="L4680" s="78"/>
      <c r="M4680" s="78"/>
      <c r="N4680" s="78"/>
      <c r="P4680" s="85"/>
    </row>
    <row r="4681" spans="11:16">
      <c r="K4681" s="85">
        <v>32</v>
      </c>
      <c r="L4681" s="78"/>
      <c r="M4681" s="78"/>
      <c r="N4681" s="78"/>
      <c r="P4681" s="85"/>
    </row>
    <row r="4682" spans="11:16">
      <c r="K4682" s="85">
        <v>33</v>
      </c>
      <c r="L4682" s="78"/>
      <c r="M4682" s="78"/>
      <c r="N4682" s="78"/>
      <c r="P4682" s="85"/>
    </row>
    <row r="4683" spans="11:16">
      <c r="K4683" s="85">
        <v>34</v>
      </c>
      <c r="L4683" s="78"/>
      <c r="M4683" s="78"/>
      <c r="N4683" s="78"/>
      <c r="P4683" s="85"/>
    </row>
    <row r="4684" spans="11:16">
      <c r="K4684" s="85">
        <v>35</v>
      </c>
      <c r="L4684" s="78"/>
      <c r="M4684" s="78"/>
      <c r="N4684" s="78"/>
      <c r="P4684" s="85"/>
    </row>
    <row r="4685" spans="11:16">
      <c r="K4685" s="85">
        <v>25</v>
      </c>
      <c r="L4685" s="78"/>
      <c r="M4685" s="78"/>
      <c r="N4685" s="78"/>
      <c r="P4685" s="85"/>
    </row>
    <row r="4686" spans="11:16">
      <c r="K4686" s="85">
        <v>26</v>
      </c>
      <c r="L4686" s="78"/>
      <c r="M4686" s="78"/>
      <c r="N4686" s="78"/>
      <c r="P4686" s="85"/>
    </row>
    <row r="4687" spans="11:16">
      <c r="K4687" s="85">
        <v>27</v>
      </c>
      <c r="L4687" s="78"/>
      <c r="M4687" s="78"/>
      <c r="N4687" s="78"/>
      <c r="P4687" s="85"/>
    </row>
    <row r="4688" spans="11:16">
      <c r="K4688" s="85">
        <v>28</v>
      </c>
      <c r="L4688" s="78"/>
      <c r="M4688" s="78"/>
      <c r="N4688" s="78"/>
      <c r="P4688" s="85"/>
    </row>
    <row r="4689" spans="11:16">
      <c r="K4689" s="85">
        <v>29</v>
      </c>
      <c r="L4689" s="78"/>
      <c r="M4689" s="78"/>
      <c r="N4689" s="78"/>
      <c r="P4689" s="85"/>
    </row>
    <row r="4690" spans="11:16">
      <c r="K4690" s="85">
        <v>30</v>
      </c>
      <c r="L4690" s="78"/>
      <c r="M4690" s="78"/>
      <c r="N4690" s="78"/>
      <c r="P4690" s="85"/>
    </row>
    <row r="4691" spans="11:16">
      <c r="K4691" s="85">
        <v>31</v>
      </c>
      <c r="L4691" s="78"/>
      <c r="M4691" s="78"/>
      <c r="N4691" s="78"/>
      <c r="P4691" s="85"/>
    </row>
    <row r="4692" spans="11:16">
      <c r="K4692" s="85">
        <v>32</v>
      </c>
      <c r="L4692" s="78"/>
      <c r="M4692" s="78"/>
      <c r="N4692" s="78"/>
      <c r="P4692" s="85"/>
    </row>
    <row r="4693" spans="11:16">
      <c r="K4693" s="85">
        <v>34</v>
      </c>
      <c r="L4693" s="78"/>
      <c r="M4693" s="78"/>
      <c r="N4693" s="78"/>
      <c r="P4693" s="85"/>
    </row>
    <row r="4694" spans="11:16">
      <c r="K4694" s="85">
        <v>36</v>
      </c>
      <c r="L4694" s="78"/>
      <c r="M4694" s="78"/>
      <c r="N4694" s="78"/>
      <c r="P4694" s="85"/>
    </row>
    <row r="4695" spans="11:16">
      <c r="K4695" s="85">
        <v>25</v>
      </c>
      <c r="L4695" s="78"/>
      <c r="M4695" s="78"/>
      <c r="N4695" s="78"/>
      <c r="P4695" s="85"/>
    </row>
    <row r="4696" spans="11:16">
      <c r="K4696" s="85">
        <v>26</v>
      </c>
      <c r="L4696" s="78"/>
      <c r="M4696" s="78"/>
      <c r="N4696" s="78"/>
      <c r="P4696" s="85"/>
    </row>
    <row r="4697" spans="11:16">
      <c r="K4697" s="85">
        <v>27</v>
      </c>
      <c r="L4697" s="78"/>
      <c r="M4697" s="78"/>
      <c r="N4697" s="78"/>
      <c r="P4697" s="85"/>
    </row>
    <row r="4698" spans="11:16">
      <c r="K4698" s="85">
        <v>29</v>
      </c>
      <c r="L4698" s="78"/>
      <c r="M4698" s="78"/>
      <c r="N4698" s="78"/>
      <c r="P4698" s="85"/>
    </row>
    <row r="4699" spans="11:16">
      <c r="K4699" s="85">
        <v>31</v>
      </c>
      <c r="L4699" s="78"/>
      <c r="M4699" s="78"/>
      <c r="N4699" s="78"/>
      <c r="P4699" s="85"/>
    </row>
    <row r="4700" spans="11:16">
      <c r="K4700" s="85">
        <v>33</v>
      </c>
      <c r="L4700" s="78"/>
      <c r="M4700" s="78"/>
      <c r="N4700" s="78"/>
      <c r="P4700" s="85"/>
    </row>
    <row r="4701" spans="11:16">
      <c r="K4701" s="85">
        <v>34</v>
      </c>
      <c r="L4701" s="78"/>
      <c r="M4701" s="78"/>
      <c r="N4701" s="78"/>
      <c r="P4701" s="85"/>
    </row>
    <row r="4702" spans="11:16">
      <c r="K4702" s="85">
        <v>35</v>
      </c>
      <c r="L4702" s="78"/>
      <c r="M4702" s="78"/>
      <c r="N4702" s="78"/>
      <c r="P4702" s="85"/>
    </row>
    <row r="4703" spans="11:16">
      <c r="K4703" s="85">
        <v>25</v>
      </c>
      <c r="L4703" s="78"/>
      <c r="M4703" s="78"/>
      <c r="N4703" s="78"/>
      <c r="P4703" s="85"/>
    </row>
    <row r="4704" spans="11:16">
      <c r="K4704" s="85">
        <v>26</v>
      </c>
      <c r="L4704" s="78"/>
      <c r="M4704" s="78"/>
      <c r="N4704" s="78"/>
      <c r="P4704" s="85"/>
    </row>
    <row r="4705" spans="11:16">
      <c r="K4705" s="85">
        <v>27</v>
      </c>
      <c r="L4705" s="78"/>
      <c r="M4705" s="78"/>
      <c r="N4705" s="78"/>
      <c r="P4705" s="85"/>
    </row>
    <row r="4706" spans="11:16">
      <c r="K4706" s="85">
        <v>30</v>
      </c>
      <c r="L4706" s="78"/>
      <c r="M4706" s="78"/>
      <c r="N4706" s="78"/>
      <c r="P4706" s="85"/>
    </row>
    <row r="4707" spans="11:16">
      <c r="K4707" s="85">
        <v>31</v>
      </c>
      <c r="L4707" s="78"/>
      <c r="M4707" s="78"/>
      <c r="N4707" s="78"/>
      <c r="P4707" s="85"/>
    </row>
    <row r="4708" spans="11:16">
      <c r="K4708" s="85">
        <v>32</v>
      </c>
      <c r="L4708" s="78"/>
      <c r="M4708" s="78"/>
      <c r="N4708" s="78"/>
      <c r="P4708" s="85"/>
    </row>
    <row r="4709" spans="11:16">
      <c r="K4709" s="85">
        <v>34</v>
      </c>
      <c r="L4709" s="78"/>
      <c r="M4709" s="78"/>
      <c r="N4709" s="78"/>
      <c r="P4709" s="85"/>
    </row>
    <row r="4710" spans="11:16">
      <c r="K4710" s="85">
        <v>35</v>
      </c>
      <c r="L4710" s="78"/>
      <c r="M4710" s="78"/>
      <c r="N4710" s="78"/>
      <c r="P4710" s="85"/>
    </row>
    <row r="4711" spans="11:16">
      <c r="K4711" s="85">
        <v>36</v>
      </c>
      <c r="L4711" s="78"/>
      <c r="M4711" s="78"/>
      <c r="N4711" s="78"/>
      <c r="P4711" s="85"/>
    </row>
    <row r="4712" spans="11:16">
      <c r="K4712" s="85">
        <v>27</v>
      </c>
      <c r="L4712" s="78"/>
      <c r="M4712" s="78"/>
      <c r="N4712" s="78"/>
      <c r="P4712" s="85"/>
    </row>
    <row r="4713" spans="11:16">
      <c r="K4713" s="85">
        <v>28</v>
      </c>
      <c r="L4713" s="78"/>
      <c r="M4713" s="78"/>
      <c r="N4713" s="78"/>
      <c r="P4713" s="85"/>
    </row>
    <row r="4714" spans="11:16">
      <c r="K4714" s="85">
        <v>31</v>
      </c>
      <c r="L4714" s="78"/>
      <c r="M4714" s="78"/>
      <c r="N4714" s="78"/>
      <c r="P4714" s="85"/>
    </row>
    <row r="4715" spans="11:16">
      <c r="K4715" s="85">
        <v>32</v>
      </c>
      <c r="L4715" s="78"/>
      <c r="M4715" s="78"/>
      <c r="N4715" s="78"/>
      <c r="P4715" s="85"/>
    </row>
    <row r="4716" spans="11:16">
      <c r="K4716" s="85">
        <v>33</v>
      </c>
      <c r="L4716" s="78"/>
      <c r="M4716" s="78"/>
      <c r="N4716" s="78"/>
      <c r="P4716" s="85"/>
    </row>
    <row r="4717" spans="11:16">
      <c r="K4717" s="85">
        <v>34</v>
      </c>
      <c r="L4717" s="78"/>
      <c r="M4717" s="78"/>
      <c r="N4717" s="78"/>
      <c r="P4717" s="85"/>
    </row>
    <row r="4718" spans="11:16">
      <c r="K4718" s="85">
        <v>35</v>
      </c>
      <c r="L4718" s="78"/>
      <c r="M4718" s="78"/>
      <c r="N4718" s="78"/>
      <c r="P4718" s="85"/>
    </row>
    <row r="4719" spans="11:16">
      <c r="K4719" s="85">
        <v>25</v>
      </c>
      <c r="L4719" s="78"/>
      <c r="M4719" s="78"/>
      <c r="N4719" s="78"/>
      <c r="P4719" s="85"/>
    </row>
    <row r="4720" spans="11:16">
      <c r="K4720" s="85">
        <v>26</v>
      </c>
      <c r="L4720" s="78"/>
      <c r="M4720" s="78"/>
      <c r="N4720" s="78"/>
      <c r="P4720" s="85"/>
    </row>
    <row r="4721" spans="11:16">
      <c r="K4721" s="85">
        <v>27</v>
      </c>
      <c r="L4721" s="78"/>
      <c r="M4721" s="78"/>
      <c r="N4721" s="78"/>
      <c r="P4721" s="85"/>
    </row>
    <row r="4722" spans="11:16">
      <c r="K4722" s="85">
        <v>28</v>
      </c>
      <c r="L4722" s="78"/>
      <c r="M4722" s="78"/>
      <c r="N4722" s="78"/>
      <c r="P4722" s="85"/>
    </row>
    <row r="4723" spans="11:16">
      <c r="K4723" s="85">
        <v>29</v>
      </c>
      <c r="L4723" s="78"/>
      <c r="M4723" s="78"/>
      <c r="N4723" s="78"/>
      <c r="P4723" s="85"/>
    </row>
    <row r="4724" spans="11:16">
      <c r="K4724" s="85">
        <v>30</v>
      </c>
      <c r="L4724" s="78"/>
      <c r="M4724" s="78"/>
      <c r="N4724" s="78"/>
      <c r="P4724" s="85"/>
    </row>
    <row r="4725" spans="11:16">
      <c r="K4725" s="85">
        <v>31</v>
      </c>
      <c r="L4725" s="78"/>
      <c r="M4725" s="78"/>
      <c r="N4725" s="78"/>
      <c r="P4725" s="85"/>
    </row>
    <row r="4726" spans="11:16">
      <c r="K4726" s="85">
        <v>32</v>
      </c>
      <c r="L4726" s="78"/>
      <c r="M4726" s="78"/>
      <c r="N4726" s="78"/>
      <c r="P4726" s="85"/>
    </row>
    <row r="4727" spans="11:16">
      <c r="K4727" s="85">
        <v>35</v>
      </c>
      <c r="L4727" s="78"/>
      <c r="M4727" s="78"/>
      <c r="N4727" s="78"/>
      <c r="P4727" s="85"/>
    </row>
    <row r="4728" spans="11:16">
      <c r="K4728" s="85">
        <v>26</v>
      </c>
      <c r="L4728" s="78"/>
      <c r="M4728" s="78"/>
      <c r="N4728" s="78"/>
      <c r="P4728" s="85"/>
    </row>
    <row r="4729" spans="11:16">
      <c r="K4729" s="85">
        <v>27</v>
      </c>
      <c r="L4729" s="78"/>
      <c r="M4729" s="78"/>
      <c r="N4729" s="78"/>
      <c r="P4729" s="85"/>
    </row>
    <row r="4730" spans="11:16">
      <c r="K4730" s="85">
        <v>28</v>
      </c>
      <c r="L4730" s="78"/>
      <c r="M4730" s="78"/>
      <c r="N4730" s="78"/>
      <c r="P4730" s="85"/>
    </row>
    <row r="4731" spans="11:16">
      <c r="K4731" s="85">
        <v>29</v>
      </c>
      <c r="L4731" s="78"/>
      <c r="M4731" s="78"/>
      <c r="N4731" s="78"/>
      <c r="P4731" s="85"/>
    </row>
    <row r="4732" spans="11:16">
      <c r="K4732" s="85">
        <v>30</v>
      </c>
      <c r="L4732" s="78"/>
      <c r="M4732" s="78"/>
      <c r="N4732" s="78"/>
      <c r="P4732" s="85"/>
    </row>
    <row r="4733" spans="11:16">
      <c r="K4733" s="85">
        <v>31</v>
      </c>
      <c r="L4733" s="78"/>
      <c r="M4733" s="78"/>
      <c r="N4733" s="78"/>
      <c r="P4733" s="85"/>
    </row>
    <row r="4734" spans="11:16">
      <c r="K4734" s="85">
        <v>32</v>
      </c>
      <c r="L4734" s="78"/>
      <c r="M4734" s="78"/>
      <c r="N4734" s="78"/>
      <c r="P4734" s="85"/>
    </row>
    <row r="4735" spans="11:16">
      <c r="K4735" s="85">
        <v>34</v>
      </c>
      <c r="L4735" s="78"/>
      <c r="M4735" s="78"/>
      <c r="N4735" s="78"/>
      <c r="P4735" s="85"/>
    </row>
    <row r="4736" spans="11:16">
      <c r="K4736" s="85">
        <v>35</v>
      </c>
      <c r="L4736" s="78"/>
      <c r="M4736" s="78"/>
      <c r="N4736" s="78"/>
      <c r="P4736" s="85"/>
    </row>
    <row r="4737" spans="11:16">
      <c r="K4737" s="85">
        <v>28</v>
      </c>
      <c r="L4737" s="78"/>
      <c r="M4737" s="78"/>
      <c r="N4737" s="78"/>
      <c r="P4737" s="85"/>
    </row>
    <row r="4738" spans="11:16">
      <c r="K4738" s="85">
        <v>31</v>
      </c>
      <c r="L4738" s="78"/>
      <c r="M4738" s="78"/>
      <c r="N4738" s="78"/>
      <c r="P4738" s="85"/>
    </row>
    <row r="4739" spans="11:16">
      <c r="K4739" s="85">
        <v>32</v>
      </c>
      <c r="L4739" s="78"/>
      <c r="M4739" s="78"/>
      <c r="N4739" s="78"/>
      <c r="P4739" s="85"/>
    </row>
    <row r="4740" spans="11:16">
      <c r="K4740" s="85">
        <v>34</v>
      </c>
      <c r="L4740" s="78"/>
      <c r="M4740" s="78"/>
      <c r="N4740" s="78"/>
      <c r="P4740" s="85"/>
    </row>
    <row r="4741" spans="11:16">
      <c r="K4741" s="85">
        <v>35</v>
      </c>
      <c r="L4741" s="78"/>
      <c r="M4741" s="78"/>
      <c r="N4741" s="78"/>
      <c r="P4741" s="85"/>
    </row>
    <row r="4742" spans="11:16">
      <c r="K4742" s="85">
        <v>25</v>
      </c>
      <c r="L4742" s="78"/>
      <c r="M4742" s="78"/>
      <c r="N4742" s="78"/>
      <c r="P4742" s="85"/>
    </row>
    <row r="4743" spans="11:16">
      <c r="K4743" s="85">
        <v>26</v>
      </c>
      <c r="L4743" s="78"/>
      <c r="M4743" s="78"/>
      <c r="N4743" s="78"/>
      <c r="P4743" s="85"/>
    </row>
    <row r="4744" spans="11:16">
      <c r="K4744" s="85">
        <v>28</v>
      </c>
      <c r="L4744" s="78"/>
      <c r="M4744" s="78"/>
      <c r="N4744" s="78"/>
      <c r="P4744" s="85"/>
    </row>
    <row r="4745" spans="11:16">
      <c r="K4745" s="85">
        <v>29</v>
      </c>
      <c r="L4745" s="78"/>
      <c r="M4745" s="78"/>
      <c r="N4745" s="78"/>
      <c r="P4745" s="85"/>
    </row>
    <row r="4746" spans="11:16">
      <c r="K4746" s="85">
        <v>30</v>
      </c>
      <c r="L4746" s="78"/>
      <c r="M4746" s="78"/>
      <c r="N4746" s="78"/>
      <c r="P4746" s="85"/>
    </row>
    <row r="4747" spans="11:16">
      <c r="K4747" s="85">
        <v>31</v>
      </c>
      <c r="L4747" s="78"/>
      <c r="M4747" s="78"/>
      <c r="N4747" s="78"/>
      <c r="P4747" s="85"/>
    </row>
    <row r="4748" spans="11:16">
      <c r="K4748" s="85">
        <v>32</v>
      </c>
      <c r="L4748" s="78"/>
      <c r="M4748" s="78"/>
      <c r="N4748" s="78"/>
      <c r="P4748" s="85"/>
    </row>
    <row r="4749" spans="11:16">
      <c r="K4749" s="85">
        <v>34</v>
      </c>
      <c r="L4749" s="78"/>
      <c r="M4749" s="78"/>
      <c r="N4749" s="78"/>
      <c r="P4749" s="85"/>
    </row>
    <row r="4750" spans="11:16">
      <c r="K4750" s="85">
        <v>35</v>
      </c>
      <c r="L4750" s="78"/>
      <c r="M4750" s="78"/>
      <c r="N4750" s="78"/>
      <c r="P4750" s="85"/>
    </row>
    <row r="4751" spans="11:16">
      <c r="K4751" s="85">
        <v>25</v>
      </c>
      <c r="L4751" s="78"/>
      <c r="M4751" s="78"/>
      <c r="N4751" s="78"/>
      <c r="P4751" s="85"/>
    </row>
    <row r="4752" spans="11:16">
      <c r="K4752" s="85">
        <v>31</v>
      </c>
      <c r="L4752" s="78"/>
      <c r="M4752" s="78"/>
      <c r="N4752" s="78"/>
      <c r="P4752" s="85"/>
    </row>
    <row r="4753" spans="11:16">
      <c r="K4753" s="85">
        <v>32</v>
      </c>
      <c r="L4753" s="78"/>
      <c r="M4753" s="78"/>
      <c r="N4753" s="78"/>
      <c r="P4753" s="85"/>
    </row>
    <row r="4754" spans="11:16">
      <c r="K4754" s="85">
        <v>34</v>
      </c>
      <c r="L4754" s="78"/>
      <c r="M4754" s="78"/>
      <c r="N4754" s="78"/>
      <c r="P4754" s="85"/>
    </row>
    <row r="4755" spans="11:16">
      <c r="K4755" s="85">
        <v>35</v>
      </c>
      <c r="L4755" s="78"/>
      <c r="M4755" s="78"/>
      <c r="N4755" s="78"/>
      <c r="P4755" s="85"/>
    </row>
    <row r="4756" spans="11:16">
      <c r="K4756" s="85">
        <v>27</v>
      </c>
      <c r="L4756" s="78"/>
      <c r="M4756" s="78"/>
      <c r="N4756" s="78"/>
      <c r="P4756" s="85"/>
    </row>
    <row r="4757" spans="11:16">
      <c r="K4757" s="85">
        <v>31</v>
      </c>
      <c r="L4757" s="78"/>
      <c r="M4757" s="78"/>
      <c r="N4757" s="78"/>
      <c r="P4757" s="85"/>
    </row>
    <row r="4758" spans="11:16">
      <c r="K4758" s="85">
        <v>32</v>
      </c>
      <c r="L4758" s="78"/>
      <c r="M4758" s="78"/>
      <c r="N4758" s="78"/>
      <c r="P4758" s="85"/>
    </row>
    <row r="4759" spans="11:16">
      <c r="K4759" s="85">
        <v>33</v>
      </c>
      <c r="L4759" s="78"/>
      <c r="M4759" s="78"/>
      <c r="N4759" s="78"/>
      <c r="P4759" s="85"/>
    </row>
    <row r="4760" spans="11:16">
      <c r="K4760" s="85">
        <v>36</v>
      </c>
      <c r="L4760" s="78"/>
      <c r="M4760" s="78"/>
      <c r="N4760" s="78"/>
      <c r="P4760" s="85"/>
    </row>
    <row r="4761" spans="11:16">
      <c r="K4761" s="85">
        <v>26</v>
      </c>
      <c r="L4761" s="78"/>
      <c r="M4761" s="78"/>
      <c r="N4761" s="78"/>
      <c r="P4761" s="85"/>
    </row>
    <row r="4762" spans="11:16">
      <c r="K4762" s="85">
        <v>27</v>
      </c>
      <c r="L4762" s="78"/>
      <c r="M4762" s="78"/>
      <c r="N4762" s="78"/>
      <c r="P4762" s="85"/>
    </row>
    <row r="4763" spans="11:16">
      <c r="K4763" s="85">
        <v>28</v>
      </c>
      <c r="L4763" s="78"/>
      <c r="M4763" s="78"/>
      <c r="N4763" s="78"/>
      <c r="P4763" s="85"/>
    </row>
    <row r="4764" spans="11:16">
      <c r="K4764" s="85">
        <v>31</v>
      </c>
      <c r="L4764" s="78"/>
      <c r="M4764" s="78"/>
      <c r="N4764" s="78"/>
      <c r="P4764" s="85"/>
    </row>
    <row r="4765" spans="11:16">
      <c r="K4765" s="85">
        <v>32</v>
      </c>
      <c r="L4765" s="78"/>
      <c r="M4765" s="78"/>
      <c r="N4765" s="78"/>
      <c r="P4765" s="85"/>
    </row>
    <row r="4766" spans="11:16">
      <c r="K4766" s="85">
        <v>33</v>
      </c>
      <c r="L4766" s="78"/>
      <c r="M4766" s="78"/>
      <c r="N4766" s="78"/>
      <c r="P4766" s="85"/>
    </row>
    <row r="4767" spans="11:16">
      <c r="K4767" s="85">
        <v>35</v>
      </c>
      <c r="L4767" s="78"/>
      <c r="M4767" s="78"/>
      <c r="N4767" s="78"/>
      <c r="P4767" s="85"/>
    </row>
    <row r="4768" spans="11:16">
      <c r="K4768" s="85">
        <v>34</v>
      </c>
      <c r="L4768" s="78"/>
      <c r="M4768" s="78"/>
      <c r="N4768" s="78"/>
      <c r="P4768" s="85"/>
    </row>
    <row r="4769" spans="11:16">
      <c r="K4769" s="85">
        <v>35</v>
      </c>
      <c r="L4769" s="78"/>
      <c r="M4769" s="78"/>
      <c r="N4769" s="78"/>
      <c r="P4769" s="85"/>
    </row>
    <row r="4770" spans="11:16">
      <c r="K4770" s="85">
        <v>25</v>
      </c>
      <c r="L4770" s="78"/>
      <c r="M4770" s="78"/>
      <c r="N4770" s="78"/>
      <c r="P4770" s="85"/>
    </row>
    <row r="4771" spans="11:16">
      <c r="K4771" s="85">
        <v>26</v>
      </c>
      <c r="L4771" s="78"/>
      <c r="M4771" s="78"/>
      <c r="N4771" s="78"/>
      <c r="P4771" s="85"/>
    </row>
    <row r="4772" spans="11:16">
      <c r="K4772" s="85">
        <v>28</v>
      </c>
      <c r="L4772" s="78"/>
      <c r="M4772" s="78"/>
      <c r="N4772" s="78"/>
      <c r="P4772" s="85"/>
    </row>
    <row r="4773" spans="11:16">
      <c r="K4773" s="85">
        <v>29</v>
      </c>
      <c r="L4773" s="78"/>
      <c r="M4773" s="78"/>
      <c r="N4773" s="78"/>
      <c r="P4773" s="85"/>
    </row>
    <row r="4774" spans="11:16">
      <c r="K4774" s="85">
        <v>30</v>
      </c>
      <c r="L4774" s="78"/>
      <c r="M4774" s="78"/>
      <c r="N4774" s="78"/>
      <c r="P4774" s="85"/>
    </row>
    <row r="4775" spans="11:16">
      <c r="K4775" s="85">
        <v>31</v>
      </c>
      <c r="L4775" s="78"/>
      <c r="M4775" s="78"/>
      <c r="N4775" s="78"/>
      <c r="P4775" s="85"/>
    </row>
    <row r="4776" spans="11:16">
      <c r="K4776" s="85">
        <v>32</v>
      </c>
      <c r="L4776" s="78"/>
      <c r="M4776" s="78"/>
      <c r="N4776" s="78"/>
      <c r="P4776" s="85"/>
    </row>
    <row r="4777" spans="11:16">
      <c r="K4777" s="85">
        <v>34</v>
      </c>
      <c r="L4777" s="78"/>
      <c r="M4777" s="78"/>
      <c r="N4777" s="78"/>
      <c r="P4777" s="85"/>
    </row>
    <row r="4778" spans="11:16">
      <c r="K4778" s="85">
        <v>35</v>
      </c>
      <c r="L4778" s="78"/>
      <c r="M4778" s="78"/>
      <c r="N4778" s="78"/>
      <c r="P4778" s="85"/>
    </row>
    <row r="4779" spans="11:16">
      <c r="K4779" s="85">
        <v>25</v>
      </c>
      <c r="L4779" s="78"/>
      <c r="M4779" s="78"/>
      <c r="N4779" s="78"/>
      <c r="P4779" s="85"/>
    </row>
    <row r="4780" spans="11:16">
      <c r="K4780" s="85">
        <v>27</v>
      </c>
      <c r="L4780" s="78"/>
      <c r="M4780" s="78"/>
      <c r="N4780" s="78"/>
      <c r="P4780" s="85"/>
    </row>
    <row r="4781" spans="11:16">
      <c r="K4781" s="85">
        <v>31</v>
      </c>
      <c r="L4781" s="78"/>
      <c r="M4781" s="78"/>
      <c r="N4781" s="78"/>
      <c r="P4781" s="85"/>
    </row>
    <row r="4782" spans="11:16">
      <c r="K4782" s="85">
        <v>33</v>
      </c>
      <c r="L4782" s="78"/>
      <c r="M4782" s="78"/>
      <c r="N4782" s="78"/>
      <c r="P4782" s="85"/>
    </row>
    <row r="4783" spans="11:16">
      <c r="K4783" s="85">
        <v>35</v>
      </c>
      <c r="L4783" s="78"/>
      <c r="M4783" s="78"/>
      <c r="N4783" s="78"/>
      <c r="P4783" s="85"/>
    </row>
    <row r="4784" spans="11:16">
      <c r="K4784" s="85">
        <v>34</v>
      </c>
      <c r="L4784" s="78"/>
      <c r="M4784" s="78"/>
      <c r="N4784" s="78"/>
      <c r="P4784" s="85"/>
    </row>
    <row r="4785" spans="11:16">
      <c r="K4785" s="85">
        <v>35</v>
      </c>
      <c r="L4785" s="78"/>
      <c r="M4785" s="78"/>
      <c r="N4785" s="78"/>
      <c r="P4785" s="85"/>
    </row>
    <row r="4786" spans="11:16">
      <c r="K4786" s="85">
        <v>28</v>
      </c>
      <c r="L4786" s="78"/>
      <c r="M4786" s="78"/>
      <c r="N4786" s="78"/>
      <c r="P4786" s="85"/>
    </row>
    <row r="4787" spans="11:16">
      <c r="K4787" s="85">
        <v>30</v>
      </c>
      <c r="L4787" s="78"/>
      <c r="M4787" s="78"/>
      <c r="N4787" s="78"/>
      <c r="P4787" s="85"/>
    </row>
    <row r="4788" spans="11:16">
      <c r="K4788" s="85">
        <v>35</v>
      </c>
      <c r="L4788" s="78"/>
      <c r="M4788" s="78"/>
      <c r="N4788" s="78"/>
      <c r="P4788" s="85"/>
    </row>
    <row r="4789" spans="11:16">
      <c r="K4789" s="85">
        <v>26</v>
      </c>
      <c r="L4789" s="78"/>
      <c r="M4789" s="78"/>
      <c r="N4789" s="78"/>
      <c r="P4789" s="85"/>
    </row>
    <row r="4790" spans="11:16">
      <c r="K4790" s="85">
        <v>27</v>
      </c>
      <c r="L4790" s="78"/>
      <c r="M4790" s="78"/>
      <c r="N4790" s="78"/>
      <c r="P4790" s="85"/>
    </row>
    <row r="4791" spans="11:16">
      <c r="K4791" s="85">
        <v>28</v>
      </c>
      <c r="L4791" s="78"/>
      <c r="M4791" s="78"/>
      <c r="N4791" s="78"/>
      <c r="P4791" s="85"/>
    </row>
    <row r="4792" spans="11:16">
      <c r="K4792" s="85">
        <v>31</v>
      </c>
      <c r="L4792" s="78"/>
      <c r="M4792" s="78"/>
      <c r="N4792" s="78"/>
      <c r="P4792" s="85"/>
    </row>
    <row r="4793" spans="11:16">
      <c r="K4793" s="85">
        <v>32</v>
      </c>
      <c r="L4793" s="78"/>
      <c r="M4793" s="78"/>
      <c r="N4793" s="78"/>
      <c r="P4793" s="85"/>
    </row>
    <row r="4794" spans="11:16">
      <c r="K4794" s="85">
        <v>33</v>
      </c>
      <c r="L4794" s="78"/>
      <c r="M4794" s="78"/>
      <c r="N4794" s="78"/>
      <c r="P4794" s="85"/>
    </row>
    <row r="4795" spans="11:16">
      <c r="K4795" s="85">
        <v>34</v>
      </c>
      <c r="L4795" s="78"/>
      <c r="M4795" s="78"/>
      <c r="N4795" s="78"/>
      <c r="P4795" s="85"/>
    </row>
    <row r="4796" spans="11:16">
      <c r="K4796" s="85">
        <v>35</v>
      </c>
      <c r="L4796" s="78"/>
      <c r="M4796" s="78"/>
      <c r="N4796" s="78"/>
      <c r="P4796" s="85"/>
    </row>
    <row r="4797" spans="11:16">
      <c r="K4797" s="85">
        <v>36</v>
      </c>
      <c r="L4797" s="78"/>
      <c r="M4797" s="78"/>
      <c r="N4797" s="78"/>
      <c r="P4797" s="85"/>
    </row>
    <row r="4798" spans="11:16">
      <c r="K4798" s="85">
        <v>27</v>
      </c>
      <c r="L4798" s="78"/>
      <c r="M4798" s="78"/>
      <c r="N4798" s="78"/>
      <c r="P4798" s="85"/>
    </row>
    <row r="4799" spans="11:16">
      <c r="K4799" s="85">
        <v>28</v>
      </c>
      <c r="L4799" s="78"/>
      <c r="M4799" s="78"/>
      <c r="N4799" s="78"/>
      <c r="P4799" s="85"/>
    </row>
    <row r="4800" spans="11:16">
      <c r="K4800" s="85">
        <v>31</v>
      </c>
      <c r="L4800" s="78"/>
      <c r="M4800" s="78"/>
      <c r="N4800" s="78"/>
      <c r="P4800" s="85"/>
    </row>
    <row r="4801" spans="11:16">
      <c r="K4801" s="85">
        <v>34</v>
      </c>
      <c r="L4801" s="78"/>
      <c r="M4801" s="78"/>
      <c r="N4801" s="78"/>
      <c r="P4801" s="85"/>
    </row>
    <row r="4802" spans="11:16">
      <c r="K4802" s="85">
        <v>35</v>
      </c>
      <c r="L4802" s="78"/>
      <c r="M4802" s="78"/>
      <c r="N4802" s="78"/>
      <c r="P4802" s="85"/>
    </row>
    <row r="4803" spans="11:16">
      <c r="K4803" s="85">
        <v>25</v>
      </c>
      <c r="L4803" s="78"/>
      <c r="M4803" s="78"/>
      <c r="N4803" s="78"/>
      <c r="P4803" s="85"/>
    </row>
    <row r="4804" spans="11:16">
      <c r="K4804" s="85">
        <v>26</v>
      </c>
      <c r="L4804" s="78"/>
      <c r="M4804" s="78"/>
      <c r="N4804" s="78"/>
      <c r="P4804" s="85"/>
    </row>
    <row r="4805" spans="11:16">
      <c r="K4805" s="85">
        <v>27</v>
      </c>
      <c r="L4805" s="78"/>
      <c r="M4805" s="78"/>
      <c r="N4805" s="78"/>
      <c r="P4805" s="85"/>
    </row>
    <row r="4806" spans="11:16">
      <c r="K4806" s="85">
        <v>28</v>
      </c>
      <c r="L4806" s="78"/>
      <c r="M4806" s="78"/>
      <c r="N4806" s="78"/>
      <c r="P4806" s="85"/>
    </row>
    <row r="4807" spans="11:16">
      <c r="K4807" s="85">
        <v>29</v>
      </c>
      <c r="L4807" s="78"/>
      <c r="M4807" s="78"/>
      <c r="N4807" s="78"/>
      <c r="P4807" s="85"/>
    </row>
    <row r="4808" spans="11:16">
      <c r="K4808" s="85">
        <v>30</v>
      </c>
      <c r="L4808" s="78"/>
      <c r="M4808" s="78"/>
      <c r="N4808" s="78"/>
      <c r="P4808" s="85"/>
    </row>
    <row r="4809" spans="11:16">
      <c r="K4809" s="85">
        <v>31</v>
      </c>
      <c r="L4809" s="78"/>
      <c r="M4809" s="78"/>
      <c r="N4809" s="78"/>
      <c r="P4809" s="85"/>
    </row>
    <row r="4810" spans="11:16">
      <c r="K4810" s="85">
        <v>32</v>
      </c>
      <c r="L4810" s="78"/>
      <c r="M4810" s="78"/>
      <c r="N4810" s="78"/>
      <c r="P4810" s="85"/>
    </row>
    <row r="4811" spans="11:16">
      <c r="K4811" s="85">
        <v>34</v>
      </c>
      <c r="L4811" s="78"/>
      <c r="M4811" s="78"/>
      <c r="N4811" s="78"/>
      <c r="P4811" s="85"/>
    </row>
    <row r="4812" spans="11:16">
      <c r="K4812" s="85">
        <v>35</v>
      </c>
      <c r="L4812" s="78"/>
      <c r="M4812" s="78"/>
      <c r="N4812" s="78"/>
      <c r="P4812" s="85"/>
    </row>
    <row r="4813" spans="11:16">
      <c r="K4813" s="85">
        <v>26</v>
      </c>
      <c r="L4813" s="78"/>
      <c r="M4813" s="78"/>
      <c r="N4813" s="78"/>
      <c r="P4813" s="85"/>
    </row>
    <row r="4814" spans="11:16">
      <c r="K4814" s="85">
        <v>31</v>
      </c>
      <c r="L4814" s="78"/>
      <c r="M4814" s="78"/>
      <c r="N4814" s="78"/>
      <c r="P4814" s="85"/>
    </row>
    <row r="4815" spans="11:16">
      <c r="K4815" s="85">
        <v>33</v>
      </c>
      <c r="L4815" s="78"/>
      <c r="M4815" s="78"/>
      <c r="N4815" s="78"/>
      <c r="P4815" s="85"/>
    </row>
    <row r="4816" spans="11:16">
      <c r="K4816" s="85">
        <v>25</v>
      </c>
      <c r="L4816" s="78"/>
      <c r="M4816" s="78"/>
      <c r="N4816" s="78"/>
      <c r="P4816" s="85"/>
    </row>
    <row r="4817" spans="11:16">
      <c r="K4817" s="85">
        <v>27</v>
      </c>
      <c r="L4817" s="78"/>
      <c r="M4817" s="78"/>
      <c r="N4817" s="78"/>
      <c r="P4817" s="85"/>
    </row>
    <row r="4818" spans="11:16">
      <c r="K4818" s="85">
        <v>25</v>
      </c>
      <c r="L4818" s="78"/>
      <c r="M4818" s="78"/>
      <c r="N4818" s="78"/>
      <c r="P4818" s="85"/>
    </row>
    <row r="4819" spans="11:16">
      <c r="K4819" s="85">
        <v>27</v>
      </c>
      <c r="L4819" s="78"/>
      <c r="M4819" s="78"/>
      <c r="N4819" s="78"/>
      <c r="P4819" s="85"/>
    </row>
    <row r="4820" spans="11:16">
      <c r="K4820" s="85">
        <v>28</v>
      </c>
      <c r="L4820" s="78"/>
      <c r="M4820" s="78"/>
      <c r="N4820" s="78"/>
      <c r="P4820" s="85"/>
    </row>
    <row r="4821" spans="11:16">
      <c r="K4821" s="85">
        <v>29</v>
      </c>
      <c r="L4821" s="78"/>
      <c r="M4821" s="78"/>
      <c r="N4821" s="78"/>
      <c r="P4821" s="85"/>
    </row>
    <row r="4822" spans="11:16">
      <c r="K4822" s="85">
        <v>30</v>
      </c>
      <c r="L4822" s="78"/>
      <c r="M4822" s="78"/>
      <c r="N4822" s="78"/>
      <c r="P4822" s="85"/>
    </row>
    <row r="4823" spans="11:16">
      <c r="K4823" s="85">
        <v>32</v>
      </c>
      <c r="L4823" s="78"/>
      <c r="M4823" s="78"/>
      <c r="N4823" s="78"/>
      <c r="P4823" s="85"/>
    </row>
    <row r="4824" spans="11:16">
      <c r="K4824" s="85">
        <v>34</v>
      </c>
      <c r="L4824" s="78"/>
      <c r="M4824" s="78"/>
      <c r="N4824" s="78"/>
      <c r="P4824" s="85"/>
    </row>
    <row r="4825" spans="11:16">
      <c r="K4825" s="85">
        <v>35</v>
      </c>
      <c r="L4825" s="78"/>
      <c r="M4825" s="78"/>
      <c r="N4825" s="78"/>
      <c r="P4825" s="85"/>
    </row>
    <row r="4826" spans="11:16">
      <c r="K4826" s="85">
        <v>26</v>
      </c>
      <c r="L4826" s="78"/>
      <c r="M4826" s="78"/>
      <c r="N4826" s="78"/>
      <c r="P4826" s="85"/>
    </row>
    <row r="4827" spans="11:16">
      <c r="K4827" s="85">
        <v>27</v>
      </c>
      <c r="L4827" s="78"/>
      <c r="M4827" s="78"/>
      <c r="N4827" s="78"/>
      <c r="P4827" s="85"/>
    </row>
    <row r="4828" spans="11:16">
      <c r="K4828" s="85">
        <v>28</v>
      </c>
      <c r="L4828" s="78"/>
      <c r="M4828" s="78"/>
      <c r="N4828" s="78"/>
      <c r="P4828" s="85"/>
    </row>
    <row r="4829" spans="11:16">
      <c r="K4829" s="85">
        <v>31</v>
      </c>
      <c r="L4829" s="78"/>
      <c r="M4829" s="78"/>
      <c r="N4829" s="78"/>
      <c r="P4829" s="85"/>
    </row>
    <row r="4830" spans="11:16">
      <c r="K4830" s="85">
        <v>34</v>
      </c>
      <c r="L4830" s="78"/>
      <c r="M4830" s="78"/>
      <c r="N4830" s="78"/>
      <c r="P4830" s="85"/>
    </row>
    <row r="4831" spans="11:16">
      <c r="K4831" s="85">
        <v>35</v>
      </c>
      <c r="L4831" s="78"/>
      <c r="M4831" s="78"/>
      <c r="N4831" s="78"/>
      <c r="P4831" s="85"/>
    </row>
    <row r="4832" spans="11:16">
      <c r="K4832" s="85">
        <v>36</v>
      </c>
      <c r="L4832" s="78"/>
      <c r="M4832" s="78"/>
      <c r="N4832" s="78"/>
      <c r="P4832" s="85"/>
    </row>
    <row r="4833" spans="11:16">
      <c r="K4833" s="85">
        <v>25</v>
      </c>
      <c r="L4833" s="78"/>
      <c r="M4833" s="78"/>
      <c r="N4833" s="78"/>
      <c r="P4833" s="85"/>
    </row>
    <row r="4834" spans="11:16">
      <c r="K4834" s="85">
        <v>28</v>
      </c>
      <c r="L4834" s="78"/>
      <c r="M4834" s="78"/>
      <c r="N4834" s="78"/>
      <c r="P4834" s="85"/>
    </row>
    <row r="4835" spans="11:16">
      <c r="K4835" s="85">
        <v>29</v>
      </c>
      <c r="L4835" s="78"/>
      <c r="M4835" s="78"/>
      <c r="N4835" s="78"/>
      <c r="P4835" s="85"/>
    </row>
    <row r="4836" spans="11:16">
      <c r="K4836" s="85">
        <v>30</v>
      </c>
      <c r="L4836" s="78"/>
      <c r="M4836" s="78"/>
      <c r="N4836" s="78"/>
      <c r="P4836" s="85"/>
    </row>
    <row r="4837" spans="11:16">
      <c r="K4837" s="85">
        <v>31</v>
      </c>
      <c r="L4837" s="78"/>
      <c r="M4837" s="78"/>
      <c r="N4837" s="78"/>
      <c r="P4837" s="85"/>
    </row>
    <row r="4838" spans="11:16">
      <c r="K4838" s="85">
        <v>32</v>
      </c>
      <c r="L4838" s="78"/>
      <c r="M4838" s="78"/>
      <c r="N4838" s="78"/>
      <c r="P4838" s="85"/>
    </row>
    <row r="4839" spans="11:16">
      <c r="K4839" s="85">
        <v>33</v>
      </c>
      <c r="L4839" s="78"/>
      <c r="M4839" s="78"/>
      <c r="N4839" s="78"/>
      <c r="P4839" s="85"/>
    </row>
    <row r="4840" spans="11:16">
      <c r="K4840" s="85">
        <v>35</v>
      </c>
      <c r="L4840" s="78"/>
      <c r="M4840" s="78"/>
      <c r="N4840" s="78"/>
      <c r="P4840" s="85"/>
    </row>
    <row r="4841" spans="11:16">
      <c r="K4841" s="85">
        <v>36</v>
      </c>
      <c r="L4841" s="78"/>
      <c r="M4841" s="78"/>
      <c r="N4841" s="78"/>
      <c r="P4841" s="85"/>
    </row>
    <row r="4842" spans="11:16">
      <c r="K4842" s="85">
        <v>25</v>
      </c>
      <c r="L4842" s="78"/>
      <c r="M4842" s="78"/>
      <c r="N4842" s="78"/>
      <c r="P4842" s="85"/>
    </row>
    <row r="4843" spans="11:16">
      <c r="K4843" s="85">
        <v>26</v>
      </c>
      <c r="L4843" s="78"/>
      <c r="M4843" s="78"/>
      <c r="N4843" s="78"/>
      <c r="P4843" s="85"/>
    </row>
    <row r="4844" spans="11:16">
      <c r="K4844" s="85">
        <v>27</v>
      </c>
      <c r="L4844" s="78"/>
      <c r="M4844" s="78"/>
      <c r="N4844" s="78"/>
      <c r="P4844" s="85"/>
    </row>
    <row r="4845" spans="11:16">
      <c r="K4845" s="85">
        <v>28</v>
      </c>
      <c r="L4845" s="78"/>
      <c r="M4845" s="78"/>
      <c r="N4845" s="78"/>
      <c r="P4845" s="85"/>
    </row>
    <row r="4846" spans="11:16">
      <c r="K4846" s="85">
        <v>29</v>
      </c>
      <c r="L4846" s="78"/>
      <c r="M4846" s="78"/>
      <c r="N4846" s="78"/>
      <c r="P4846" s="85"/>
    </row>
    <row r="4847" spans="11:16">
      <c r="K4847" s="85">
        <v>30</v>
      </c>
      <c r="L4847" s="78"/>
      <c r="M4847" s="78"/>
      <c r="N4847" s="78"/>
      <c r="P4847" s="85"/>
    </row>
    <row r="4848" spans="11:16">
      <c r="K4848" s="85">
        <v>31</v>
      </c>
      <c r="L4848" s="78"/>
      <c r="M4848" s="78"/>
      <c r="N4848" s="78"/>
      <c r="P4848" s="85"/>
    </row>
    <row r="4849" spans="11:16">
      <c r="K4849" s="85">
        <v>32</v>
      </c>
      <c r="L4849" s="78"/>
      <c r="M4849" s="78"/>
      <c r="N4849" s="78"/>
      <c r="P4849" s="85"/>
    </row>
    <row r="4850" spans="11:16">
      <c r="K4850" s="85">
        <v>33</v>
      </c>
      <c r="L4850" s="78"/>
      <c r="M4850" s="78"/>
      <c r="N4850" s="78"/>
      <c r="P4850" s="85"/>
    </row>
    <row r="4851" spans="11:16">
      <c r="K4851" s="85">
        <v>34</v>
      </c>
      <c r="L4851" s="78"/>
      <c r="M4851" s="78"/>
      <c r="N4851" s="78"/>
      <c r="P4851" s="85"/>
    </row>
    <row r="4852" spans="11:16">
      <c r="K4852" s="85">
        <v>35</v>
      </c>
      <c r="L4852" s="78"/>
      <c r="M4852" s="78"/>
      <c r="N4852" s="78"/>
      <c r="P4852" s="85"/>
    </row>
    <row r="4853" spans="11:16">
      <c r="K4853" s="85">
        <v>36</v>
      </c>
      <c r="L4853" s="78"/>
      <c r="M4853" s="78"/>
      <c r="N4853" s="78"/>
      <c r="P4853" s="85"/>
    </row>
    <row r="4854" spans="11:16">
      <c r="K4854" s="85">
        <v>25</v>
      </c>
      <c r="L4854" s="78"/>
      <c r="M4854" s="78"/>
      <c r="N4854" s="78"/>
      <c r="P4854" s="85"/>
    </row>
    <row r="4855" spans="11:16">
      <c r="K4855" s="85">
        <v>26</v>
      </c>
      <c r="L4855" s="78"/>
      <c r="M4855" s="78"/>
      <c r="N4855" s="78"/>
      <c r="P4855" s="85"/>
    </row>
    <row r="4856" spans="11:16">
      <c r="K4856" s="85">
        <v>27</v>
      </c>
      <c r="L4856" s="78"/>
      <c r="M4856" s="78"/>
      <c r="N4856" s="78"/>
      <c r="P4856" s="85"/>
    </row>
    <row r="4857" spans="11:16">
      <c r="K4857" s="85">
        <v>28</v>
      </c>
      <c r="L4857" s="78"/>
      <c r="M4857" s="78"/>
      <c r="N4857" s="78"/>
      <c r="P4857" s="85"/>
    </row>
    <row r="4858" spans="11:16">
      <c r="K4858" s="85">
        <v>29</v>
      </c>
      <c r="L4858" s="78"/>
      <c r="M4858" s="78"/>
      <c r="N4858" s="78"/>
      <c r="P4858" s="85"/>
    </row>
    <row r="4859" spans="11:16">
      <c r="K4859" s="85">
        <v>30</v>
      </c>
      <c r="L4859" s="78"/>
      <c r="M4859" s="78"/>
      <c r="N4859" s="78"/>
      <c r="P4859" s="85"/>
    </row>
    <row r="4860" spans="11:16">
      <c r="K4860" s="85">
        <v>31</v>
      </c>
      <c r="L4860" s="78"/>
      <c r="M4860" s="78"/>
      <c r="N4860" s="78"/>
      <c r="P4860" s="85"/>
    </row>
    <row r="4861" spans="11:16">
      <c r="K4861" s="85">
        <v>32</v>
      </c>
      <c r="L4861" s="78"/>
      <c r="M4861" s="78"/>
      <c r="N4861" s="78"/>
      <c r="P4861" s="85"/>
    </row>
    <row r="4862" spans="11:16">
      <c r="K4862" s="85">
        <v>34</v>
      </c>
      <c r="L4862" s="78"/>
      <c r="M4862" s="78"/>
      <c r="N4862" s="78"/>
      <c r="P4862" s="85"/>
    </row>
    <row r="4863" spans="11:16">
      <c r="K4863" s="85">
        <v>35</v>
      </c>
      <c r="L4863" s="78"/>
      <c r="M4863" s="78"/>
      <c r="N4863" s="78"/>
      <c r="P4863" s="85"/>
    </row>
    <row r="4864" spans="11:16">
      <c r="K4864" s="85">
        <v>36</v>
      </c>
      <c r="L4864" s="78"/>
      <c r="M4864" s="78"/>
      <c r="N4864" s="78"/>
      <c r="P4864" s="85"/>
    </row>
    <row r="4865" spans="11:16">
      <c r="K4865" s="85">
        <v>25</v>
      </c>
      <c r="L4865" s="78"/>
      <c r="M4865" s="78"/>
      <c r="N4865" s="78"/>
      <c r="P4865" s="85"/>
    </row>
    <row r="4866" spans="11:16">
      <c r="K4866" s="85">
        <v>26</v>
      </c>
      <c r="L4866" s="78"/>
      <c r="M4866" s="78"/>
      <c r="N4866" s="78"/>
      <c r="P4866" s="85"/>
    </row>
    <row r="4867" spans="11:16">
      <c r="K4867" s="85">
        <v>27</v>
      </c>
      <c r="L4867" s="78"/>
      <c r="M4867" s="78"/>
      <c r="N4867" s="78"/>
      <c r="P4867" s="85"/>
    </row>
    <row r="4868" spans="11:16">
      <c r="K4868" s="85">
        <v>28</v>
      </c>
      <c r="L4868" s="78"/>
      <c r="M4868" s="78"/>
      <c r="N4868" s="78"/>
      <c r="P4868" s="85"/>
    </row>
    <row r="4869" spans="11:16">
      <c r="K4869" s="85">
        <v>29</v>
      </c>
      <c r="L4869" s="78"/>
      <c r="M4869" s="78"/>
      <c r="N4869" s="78"/>
      <c r="P4869" s="85"/>
    </row>
    <row r="4870" spans="11:16">
      <c r="K4870" s="85">
        <v>30</v>
      </c>
      <c r="L4870" s="78"/>
      <c r="M4870" s="78"/>
      <c r="N4870" s="78"/>
      <c r="P4870" s="85"/>
    </row>
    <row r="4871" spans="11:16">
      <c r="K4871" s="85">
        <v>31</v>
      </c>
      <c r="L4871" s="78"/>
      <c r="M4871" s="78"/>
      <c r="N4871" s="78"/>
      <c r="P4871" s="85"/>
    </row>
    <row r="4872" spans="11:16">
      <c r="K4872" s="85">
        <v>32</v>
      </c>
      <c r="L4872" s="78"/>
      <c r="M4872" s="78"/>
      <c r="N4872" s="78"/>
      <c r="P4872" s="85"/>
    </row>
    <row r="4873" spans="11:16">
      <c r="K4873" s="85">
        <v>34</v>
      </c>
      <c r="L4873" s="78"/>
      <c r="M4873" s="78"/>
      <c r="N4873" s="78"/>
      <c r="P4873" s="85"/>
    </row>
    <row r="4874" spans="11:16">
      <c r="K4874" s="85">
        <v>35</v>
      </c>
      <c r="L4874" s="78"/>
      <c r="M4874" s="78"/>
      <c r="N4874" s="78"/>
      <c r="P4874" s="85"/>
    </row>
    <row r="4875" spans="11:16">
      <c r="K4875" s="85">
        <v>36</v>
      </c>
      <c r="L4875" s="78"/>
      <c r="M4875" s="78"/>
      <c r="N4875" s="78"/>
      <c r="P4875" s="85"/>
    </row>
    <row r="4876" spans="11:16">
      <c r="K4876" s="85">
        <v>25</v>
      </c>
      <c r="L4876" s="78"/>
      <c r="M4876" s="78"/>
      <c r="N4876" s="78"/>
      <c r="P4876" s="85"/>
    </row>
    <row r="4877" spans="11:16">
      <c r="K4877" s="85">
        <v>26</v>
      </c>
      <c r="L4877" s="78"/>
      <c r="M4877" s="78"/>
      <c r="N4877" s="78"/>
      <c r="P4877" s="85"/>
    </row>
    <row r="4878" spans="11:16">
      <c r="K4878" s="85">
        <v>27</v>
      </c>
      <c r="L4878" s="78"/>
      <c r="M4878" s="78"/>
      <c r="N4878" s="78"/>
      <c r="P4878" s="85"/>
    </row>
    <row r="4879" spans="11:16">
      <c r="K4879" s="85">
        <v>28</v>
      </c>
      <c r="L4879" s="78"/>
      <c r="M4879" s="78"/>
      <c r="N4879" s="78"/>
      <c r="P4879" s="85"/>
    </row>
    <row r="4880" spans="11:16">
      <c r="K4880" s="85">
        <v>29</v>
      </c>
      <c r="L4880" s="78"/>
      <c r="M4880" s="78"/>
      <c r="N4880" s="78"/>
      <c r="P4880" s="85"/>
    </row>
    <row r="4881" spans="11:16">
      <c r="K4881" s="85">
        <v>30</v>
      </c>
      <c r="L4881" s="78"/>
      <c r="M4881" s="78"/>
      <c r="N4881" s="78"/>
      <c r="P4881" s="85"/>
    </row>
    <row r="4882" spans="11:16">
      <c r="K4882" s="85">
        <v>31</v>
      </c>
      <c r="L4882" s="78"/>
      <c r="M4882" s="78"/>
      <c r="N4882" s="78"/>
      <c r="P4882" s="85"/>
    </row>
    <row r="4883" spans="11:16">
      <c r="K4883" s="85">
        <v>32</v>
      </c>
      <c r="L4883" s="78"/>
      <c r="M4883" s="78"/>
      <c r="N4883" s="78"/>
      <c r="P4883" s="85"/>
    </row>
    <row r="4884" spans="11:16">
      <c r="K4884" s="85">
        <v>33</v>
      </c>
      <c r="L4884" s="78"/>
      <c r="M4884" s="78"/>
      <c r="N4884" s="78"/>
      <c r="P4884" s="85"/>
    </row>
    <row r="4885" spans="11:16">
      <c r="K4885" s="85">
        <v>25</v>
      </c>
      <c r="L4885" s="78"/>
      <c r="M4885" s="78"/>
      <c r="N4885" s="78"/>
      <c r="P4885" s="85"/>
    </row>
    <row r="4886" spans="11:16">
      <c r="K4886" s="85">
        <v>26</v>
      </c>
      <c r="L4886" s="78"/>
      <c r="M4886" s="78"/>
      <c r="N4886" s="78"/>
      <c r="P4886" s="85"/>
    </row>
    <row r="4887" spans="11:16">
      <c r="K4887" s="85">
        <v>27</v>
      </c>
      <c r="L4887" s="78"/>
      <c r="M4887" s="78"/>
      <c r="N4887" s="78"/>
      <c r="P4887" s="85"/>
    </row>
    <row r="4888" spans="11:16">
      <c r="K4888" s="85">
        <v>28</v>
      </c>
      <c r="L4888" s="78"/>
      <c r="M4888" s="78"/>
      <c r="N4888" s="78"/>
      <c r="P4888" s="85"/>
    </row>
    <row r="4889" spans="11:16">
      <c r="K4889" s="85">
        <v>29</v>
      </c>
      <c r="L4889" s="78"/>
      <c r="M4889" s="78"/>
      <c r="N4889" s="78"/>
      <c r="P4889" s="85"/>
    </row>
    <row r="4890" spans="11:16">
      <c r="K4890" s="85">
        <v>30</v>
      </c>
      <c r="L4890" s="78"/>
      <c r="M4890" s="78"/>
      <c r="N4890" s="78"/>
      <c r="P4890" s="85"/>
    </row>
    <row r="4891" spans="11:16">
      <c r="K4891" s="85">
        <v>31</v>
      </c>
      <c r="L4891" s="78"/>
      <c r="M4891" s="78"/>
      <c r="N4891" s="78"/>
      <c r="P4891" s="85"/>
    </row>
    <row r="4892" spans="11:16">
      <c r="K4892" s="85">
        <v>34</v>
      </c>
      <c r="L4892" s="78"/>
      <c r="M4892" s="78"/>
      <c r="N4892" s="78"/>
      <c r="P4892" s="85"/>
    </row>
    <row r="4893" spans="11:16">
      <c r="K4893" s="85">
        <v>35</v>
      </c>
      <c r="L4893" s="78"/>
      <c r="M4893" s="78"/>
      <c r="N4893" s="78"/>
      <c r="P4893" s="85"/>
    </row>
    <row r="4894" spans="11:16">
      <c r="K4894" s="85">
        <v>25</v>
      </c>
      <c r="L4894" s="78"/>
      <c r="M4894" s="78"/>
      <c r="N4894" s="78"/>
      <c r="P4894" s="85"/>
    </row>
    <row r="4895" spans="11:16">
      <c r="K4895" s="85">
        <v>26</v>
      </c>
      <c r="L4895" s="78"/>
      <c r="M4895" s="78"/>
      <c r="N4895" s="78"/>
      <c r="P4895" s="85"/>
    </row>
    <row r="4896" spans="11:16">
      <c r="K4896" s="85">
        <v>28</v>
      </c>
      <c r="L4896" s="78"/>
      <c r="M4896" s="78"/>
      <c r="N4896" s="78"/>
      <c r="P4896" s="85"/>
    </row>
    <row r="4897" spans="11:16">
      <c r="K4897" s="85">
        <v>34</v>
      </c>
      <c r="L4897" s="78"/>
      <c r="M4897" s="78"/>
      <c r="N4897" s="78"/>
      <c r="P4897" s="85"/>
    </row>
    <row r="4898" spans="11:16">
      <c r="K4898" s="85">
        <v>35</v>
      </c>
      <c r="L4898" s="78"/>
      <c r="M4898" s="78"/>
      <c r="N4898" s="78"/>
      <c r="P4898" s="85"/>
    </row>
    <row r="4899" spans="11:16">
      <c r="K4899" s="85">
        <v>25</v>
      </c>
      <c r="L4899" s="78"/>
      <c r="M4899" s="78"/>
      <c r="N4899" s="78"/>
      <c r="P4899" s="85"/>
    </row>
    <row r="4900" spans="11:16">
      <c r="K4900" s="85">
        <v>26</v>
      </c>
      <c r="L4900" s="78"/>
      <c r="M4900" s="78"/>
      <c r="N4900" s="78"/>
      <c r="P4900" s="85"/>
    </row>
    <row r="4901" spans="11:16">
      <c r="K4901" s="85">
        <v>27</v>
      </c>
      <c r="L4901" s="78"/>
      <c r="M4901" s="78"/>
      <c r="N4901" s="78"/>
      <c r="P4901" s="85"/>
    </row>
    <row r="4902" spans="11:16">
      <c r="K4902" s="85">
        <v>29</v>
      </c>
      <c r="L4902" s="78"/>
      <c r="M4902" s="78"/>
      <c r="N4902" s="78"/>
      <c r="P4902" s="85"/>
    </row>
    <row r="4903" spans="11:16">
      <c r="K4903" s="85">
        <v>30</v>
      </c>
      <c r="L4903" s="78"/>
      <c r="M4903" s="78"/>
      <c r="N4903" s="78"/>
      <c r="P4903" s="85"/>
    </row>
    <row r="4904" spans="11:16">
      <c r="K4904" s="85">
        <v>31</v>
      </c>
      <c r="L4904" s="78"/>
      <c r="M4904" s="78"/>
      <c r="N4904" s="78"/>
      <c r="P4904" s="85"/>
    </row>
    <row r="4905" spans="11:16">
      <c r="K4905" s="85">
        <v>35</v>
      </c>
      <c r="L4905" s="78"/>
      <c r="M4905" s="78"/>
      <c r="N4905" s="78"/>
      <c r="P4905" s="85"/>
    </row>
    <row r="4906" spans="11:16">
      <c r="K4906" s="85">
        <v>25</v>
      </c>
      <c r="L4906" s="78"/>
      <c r="M4906" s="78"/>
      <c r="N4906" s="78"/>
      <c r="P4906" s="85"/>
    </row>
    <row r="4907" spans="11:16">
      <c r="K4907" s="85">
        <v>26</v>
      </c>
      <c r="L4907" s="78"/>
      <c r="M4907" s="78"/>
      <c r="N4907" s="78"/>
      <c r="P4907" s="85"/>
    </row>
    <row r="4908" spans="11:16">
      <c r="K4908" s="85">
        <v>27</v>
      </c>
      <c r="L4908" s="78"/>
      <c r="M4908" s="78"/>
      <c r="N4908" s="78"/>
      <c r="P4908" s="85"/>
    </row>
    <row r="4909" spans="11:16">
      <c r="K4909" s="85">
        <v>28</v>
      </c>
      <c r="L4909" s="78"/>
      <c r="M4909" s="78"/>
      <c r="N4909" s="78"/>
      <c r="P4909" s="85"/>
    </row>
    <row r="4910" spans="11:16">
      <c r="K4910" s="85">
        <v>29</v>
      </c>
      <c r="L4910" s="78"/>
      <c r="M4910" s="78"/>
      <c r="N4910" s="78"/>
      <c r="P4910" s="85"/>
    </row>
    <row r="4911" spans="11:16">
      <c r="K4911" s="85">
        <v>30</v>
      </c>
      <c r="L4911" s="78"/>
      <c r="M4911" s="78"/>
      <c r="N4911" s="78"/>
      <c r="P4911" s="85"/>
    </row>
    <row r="4912" spans="11:16">
      <c r="K4912" s="85">
        <v>31</v>
      </c>
      <c r="L4912" s="78"/>
      <c r="M4912" s="78"/>
      <c r="N4912" s="78"/>
      <c r="P4912" s="85"/>
    </row>
    <row r="4913" spans="11:16">
      <c r="K4913" s="85">
        <v>32</v>
      </c>
      <c r="L4913" s="78"/>
      <c r="M4913" s="78"/>
      <c r="N4913" s="78"/>
      <c r="P4913" s="85"/>
    </row>
    <row r="4914" spans="11:16">
      <c r="K4914" s="85">
        <v>33</v>
      </c>
      <c r="L4914" s="78"/>
      <c r="M4914" s="78"/>
      <c r="N4914" s="78"/>
      <c r="P4914" s="85"/>
    </row>
    <row r="4915" spans="11:16">
      <c r="K4915" s="85">
        <v>34</v>
      </c>
      <c r="L4915" s="78"/>
      <c r="M4915" s="78"/>
      <c r="N4915" s="78"/>
      <c r="P4915" s="85"/>
    </row>
    <row r="4916" spans="11:16">
      <c r="K4916" s="85">
        <v>35</v>
      </c>
      <c r="L4916" s="78"/>
      <c r="M4916" s="78"/>
      <c r="N4916" s="78"/>
      <c r="P4916" s="85"/>
    </row>
    <row r="4917" spans="11:16">
      <c r="K4917" s="85">
        <v>36</v>
      </c>
      <c r="L4917" s="78"/>
      <c r="M4917" s="78"/>
      <c r="N4917" s="78"/>
      <c r="P4917" s="85"/>
    </row>
    <row r="4918" spans="11:16">
      <c r="K4918" s="85">
        <v>25</v>
      </c>
      <c r="L4918" s="78"/>
      <c r="M4918" s="78"/>
      <c r="N4918" s="78"/>
      <c r="P4918" s="85"/>
    </row>
    <row r="4919" spans="11:16">
      <c r="K4919" s="85">
        <v>26</v>
      </c>
      <c r="L4919" s="78"/>
      <c r="M4919" s="78"/>
      <c r="N4919" s="78"/>
      <c r="P4919" s="85"/>
    </row>
    <row r="4920" spans="11:16">
      <c r="K4920" s="85">
        <v>27</v>
      </c>
      <c r="L4920" s="78"/>
      <c r="M4920" s="78"/>
      <c r="N4920" s="78"/>
      <c r="P4920" s="85"/>
    </row>
    <row r="4921" spans="11:16">
      <c r="K4921" s="85">
        <v>28</v>
      </c>
      <c r="L4921" s="78"/>
      <c r="M4921" s="78"/>
      <c r="N4921" s="78"/>
      <c r="P4921" s="85"/>
    </row>
    <row r="4922" spans="11:16">
      <c r="K4922" s="85">
        <v>29</v>
      </c>
      <c r="L4922" s="78"/>
      <c r="M4922" s="78"/>
      <c r="N4922" s="78"/>
      <c r="P4922" s="85"/>
    </row>
    <row r="4923" spans="11:16">
      <c r="K4923" s="85">
        <v>30</v>
      </c>
      <c r="L4923" s="78"/>
      <c r="M4923" s="78"/>
      <c r="N4923" s="78"/>
      <c r="P4923" s="85"/>
    </row>
    <row r="4924" spans="11:16">
      <c r="K4924" s="85">
        <v>31</v>
      </c>
      <c r="L4924" s="78"/>
      <c r="M4924" s="78"/>
      <c r="N4924" s="78"/>
      <c r="P4924" s="85"/>
    </row>
    <row r="4925" spans="11:16">
      <c r="K4925" s="85">
        <v>32</v>
      </c>
      <c r="L4925" s="78"/>
      <c r="M4925" s="78"/>
      <c r="N4925" s="78"/>
      <c r="P4925" s="85"/>
    </row>
    <row r="4926" spans="11:16">
      <c r="K4926" s="85">
        <v>33</v>
      </c>
      <c r="L4926" s="78"/>
      <c r="M4926" s="78"/>
      <c r="N4926" s="78"/>
      <c r="P4926" s="85"/>
    </row>
    <row r="4927" spans="11:16">
      <c r="K4927" s="85">
        <v>34</v>
      </c>
      <c r="L4927" s="78"/>
      <c r="M4927" s="78"/>
      <c r="N4927" s="78"/>
      <c r="P4927" s="85"/>
    </row>
    <row r="4928" spans="11:16">
      <c r="K4928" s="85">
        <v>35</v>
      </c>
      <c r="L4928" s="78"/>
      <c r="M4928" s="78"/>
      <c r="N4928" s="78"/>
      <c r="P4928" s="85"/>
    </row>
    <row r="4929" spans="11:16">
      <c r="K4929" s="85">
        <v>36</v>
      </c>
      <c r="L4929" s="78"/>
      <c r="M4929" s="78"/>
      <c r="N4929" s="78"/>
      <c r="P4929" s="85"/>
    </row>
    <row r="4930" spans="11:16">
      <c r="K4930" s="85">
        <v>25</v>
      </c>
      <c r="L4930" s="78"/>
      <c r="M4930" s="78"/>
      <c r="N4930" s="78"/>
      <c r="P4930" s="85"/>
    </row>
    <row r="4931" spans="11:16">
      <c r="K4931" s="85">
        <v>26</v>
      </c>
      <c r="L4931" s="78"/>
      <c r="M4931" s="78"/>
      <c r="N4931" s="78"/>
      <c r="P4931" s="85"/>
    </row>
    <row r="4932" spans="11:16">
      <c r="K4932" s="85">
        <v>27</v>
      </c>
      <c r="L4932" s="78"/>
      <c r="M4932" s="78"/>
      <c r="N4932" s="78"/>
      <c r="P4932" s="85"/>
    </row>
    <row r="4933" spans="11:16">
      <c r="K4933" s="85">
        <v>31</v>
      </c>
      <c r="L4933" s="78"/>
      <c r="M4933" s="78"/>
      <c r="N4933" s="78"/>
      <c r="P4933" s="85"/>
    </row>
    <row r="4934" spans="11:16">
      <c r="K4934" s="85">
        <v>35</v>
      </c>
      <c r="L4934" s="78"/>
      <c r="M4934" s="78"/>
      <c r="N4934" s="78"/>
      <c r="P4934" s="85"/>
    </row>
    <row r="4935" spans="11:16">
      <c r="K4935" s="85">
        <v>25</v>
      </c>
      <c r="L4935" s="78"/>
      <c r="M4935" s="78"/>
      <c r="N4935" s="78"/>
      <c r="P4935" s="85"/>
    </row>
    <row r="4936" spans="11:16">
      <c r="K4936" s="85">
        <v>26</v>
      </c>
      <c r="L4936" s="78"/>
      <c r="M4936" s="78"/>
      <c r="N4936" s="78"/>
      <c r="P4936" s="85"/>
    </row>
    <row r="4937" spans="11:16">
      <c r="K4937" s="85">
        <v>27</v>
      </c>
      <c r="L4937" s="78"/>
      <c r="M4937" s="78"/>
      <c r="N4937" s="78"/>
      <c r="P4937" s="85"/>
    </row>
    <row r="4938" spans="11:16">
      <c r="K4938" s="85">
        <v>34</v>
      </c>
      <c r="L4938" s="78"/>
      <c r="M4938" s="78"/>
      <c r="N4938" s="78"/>
      <c r="P4938" s="85"/>
    </row>
    <row r="4939" spans="11:16">
      <c r="K4939" s="85">
        <v>35</v>
      </c>
      <c r="L4939" s="78"/>
      <c r="M4939" s="78"/>
      <c r="N4939" s="78"/>
      <c r="P4939" s="85"/>
    </row>
    <row r="4940" spans="11:16">
      <c r="K4940" s="85">
        <v>25</v>
      </c>
      <c r="L4940" s="78"/>
      <c r="M4940" s="78"/>
      <c r="N4940" s="78"/>
      <c r="P4940" s="85"/>
    </row>
    <row r="4941" spans="11:16">
      <c r="K4941" s="85">
        <v>26</v>
      </c>
      <c r="L4941" s="78"/>
      <c r="M4941" s="78"/>
      <c r="N4941" s="78"/>
      <c r="P4941" s="85"/>
    </row>
    <row r="4942" spans="11:16">
      <c r="K4942" s="85">
        <v>27</v>
      </c>
      <c r="L4942" s="78"/>
      <c r="M4942" s="78"/>
      <c r="N4942" s="78"/>
      <c r="P4942" s="85"/>
    </row>
    <row r="4943" spans="11:16">
      <c r="K4943" s="85">
        <v>28</v>
      </c>
      <c r="L4943" s="78"/>
      <c r="M4943" s="78"/>
      <c r="N4943" s="78"/>
      <c r="P4943" s="85"/>
    </row>
    <row r="4944" spans="11:16">
      <c r="K4944" s="85">
        <v>30</v>
      </c>
      <c r="L4944" s="78"/>
      <c r="M4944" s="78"/>
      <c r="N4944" s="78"/>
      <c r="P4944" s="85"/>
    </row>
    <row r="4945" spans="11:16">
      <c r="K4945" s="85">
        <v>31</v>
      </c>
      <c r="L4945" s="78"/>
      <c r="M4945" s="78"/>
      <c r="N4945" s="78"/>
      <c r="P4945" s="85"/>
    </row>
    <row r="4946" spans="11:16">
      <c r="K4946" s="85">
        <v>32</v>
      </c>
      <c r="L4946" s="78"/>
      <c r="M4946" s="78"/>
      <c r="N4946" s="78"/>
      <c r="P4946" s="85"/>
    </row>
    <row r="4947" spans="11:16">
      <c r="K4947" s="85">
        <v>34</v>
      </c>
      <c r="L4947" s="78"/>
      <c r="M4947" s="78"/>
      <c r="N4947" s="78"/>
      <c r="P4947" s="85"/>
    </row>
    <row r="4948" spans="11:16">
      <c r="K4948" s="85">
        <v>35</v>
      </c>
      <c r="L4948" s="78"/>
      <c r="M4948" s="78"/>
      <c r="N4948" s="78"/>
      <c r="P4948" s="85"/>
    </row>
    <row r="4949" spans="11:16">
      <c r="K4949" s="85">
        <v>26</v>
      </c>
      <c r="L4949" s="78"/>
      <c r="M4949" s="78"/>
      <c r="N4949" s="78"/>
      <c r="P4949" s="85"/>
    </row>
    <row r="4950" spans="11:16">
      <c r="K4950" s="85">
        <v>27</v>
      </c>
      <c r="L4950" s="78"/>
      <c r="M4950" s="78"/>
      <c r="N4950" s="78"/>
      <c r="P4950" s="85"/>
    </row>
    <row r="4951" spans="11:16">
      <c r="K4951" s="85">
        <v>25</v>
      </c>
      <c r="L4951" s="78"/>
      <c r="M4951" s="78"/>
      <c r="N4951" s="78"/>
      <c r="P4951" s="85"/>
    </row>
    <row r="4952" spans="11:16">
      <c r="K4952" s="85">
        <v>26</v>
      </c>
      <c r="L4952" s="78"/>
      <c r="M4952" s="78"/>
      <c r="N4952" s="78"/>
      <c r="P4952" s="85"/>
    </row>
    <row r="4953" spans="11:16">
      <c r="K4953" s="85">
        <v>27</v>
      </c>
      <c r="L4953" s="78"/>
      <c r="M4953" s="78"/>
      <c r="N4953" s="78"/>
      <c r="P4953" s="85"/>
    </row>
    <row r="4954" spans="11:16">
      <c r="K4954" s="85">
        <v>28</v>
      </c>
      <c r="L4954" s="78"/>
      <c r="M4954" s="78"/>
      <c r="N4954" s="78"/>
      <c r="P4954" s="85"/>
    </row>
    <row r="4955" spans="11:16">
      <c r="K4955" s="85">
        <v>29</v>
      </c>
      <c r="L4955" s="78"/>
      <c r="M4955" s="78"/>
      <c r="N4955" s="78"/>
      <c r="P4955" s="85"/>
    </row>
    <row r="4956" spans="11:16">
      <c r="K4956" s="85">
        <v>30</v>
      </c>
      <c r="L4956" s="78"/>
      <c r="M4956" s="78"/>
      <c r="N4956" s="78"/>
      <c r="P4956" s="85"/>
    </row>
    <row r="4957" spans="11:16">
      <c r="K4957" s="85">
        <v>31</v>
      </c>
      <c r="L4957" s="78"/>
      <c r="M4957" s="78"/>
      <c r="N4957" s="78"/>
      <c r="P4957" s="85"/>
    </row>
    <row r="4958" spans="11:16">
      <c r="K4958" s="85">
        <v>32</v>
      </c>
      <c r="L4958" s="78"/>
      <c r="M4958" s="78"/>
      <c r="N4958" s="78"/>
      <c r="P4958" s="85"/>
    </row>
    <row r="4959" spans="11:16">
      <c r="K4959" s="85">
        <v>33</v>
      </c>
      <c r="L4959" s="78"/>
      <c r="M4959" s="78"/>
      <c r="N4959" s="78"/>
      <c r="P4959" s="85"/>
    </row>
    <row r="4960" spans="11:16">
      <c r="K4960" s="85">
        <v>34</v>
      </c>
      <c r="L4960" s="78"/>
      <c r="M4960" s="78"/>
      <c r="N4960" s="78"/>
      <c r="P4960" s="85"/>
    </row>
    <row r="4961" spans="11:16">
      <c r="K4961" s="85">
        <v>35</v>
      </c>
      <c r="L4961" s="78"/>
      <c r="M4961" s="78"/>
      <c r="N4961" s="78"/>
      <c r="P4961" s="85"/>
    </row>
    <row r="4962" spans="11:16">
      <c r="K4962" s="85">
        <v>26</v>
      </c>
      <c r="L4962" s="78"/>
      <c r="M4962" s="78"/>
      <c r="N4962" s="78"/>
      <c r="P4962" s="85"/>
    </row>
    <row r="4963" spans="11:16">
      <c r="K4963" s="85">
        <v>27</v>
      </c>
      <c r="L4963" s="78"/>
      <c r="M4963" s="78"/>
      <c r="N4963" s="78"/>
      <c r="P4963" s="85"/>
    </row>
    <row r="4964" spans="11:16">
      <c r="K4964" s="85">
        <v>30</v>
      </c>
      <c r="L4964" s="78"/>
      <c r="M4964" s="78"/>
      <c r="N4964" s="78"/>
      <c r="P4964" s="85"/>
    </row>
    <row r="4965" spans="11:16">
      <c r="K4965" s="85">
        <v>31</v>
      </c>
      <c r="L4965" s="78"/>
      <c r="M4965" s="78"/>
      <c r="N4965" s="78"/>
      <c r="P4965" s="85"/>
    </row>
    <row r="4966" spans="11:16">
      <c r="K4966" s="85">
        <v>32</v>
      </c>
      <c r="L4966" s="78"/>
      <c r="M4966" s="78"/>
      <c r="N4966" s="78"/>
      <c r="P4966" s="85"/>
    </row>
    <row r="4967" spans="11:16">
      <c r="K4967" s="85">
        <v>33</v>
      </c>
      <c r="L4967" s="78"/>
      <c r="M4967" s="78"/>
      <c r="N4967" s="78"/>
      <c r="P4967" s="85"/>
    </row>
    <row r="4968" spans="11:16">
      <c r="K4968" s="85">
        <v>34</v>
      </c>
      <c r="L4968" s="78"/>
      <c r="M4968" s="78"/>
      <c r="N4968" s="78"/>
      <c r="P4968" s="85"/>
    </row>
    <row r="4969" spans="11:16">
      <c r="K4969" s="85">
        <v>35</v>
      </c>
      <c r="L4969" s="78"/>
      <c r="M4969" s="78"/>
      <c r="N4969" s="78"/>
      <c r="P4969" s="85"/>
    </row>
    <row r="4970" spans="11:16">
      <c r="K4970" s="85">
        <v>36</v>
      </c>
      <c r="L4970" s="78"/>
      <c r="M4970" s="78"/>
      <c r="N4970" s="78"/>
      <c r="P4970" s="85"/>
    </row>
    <row r="4971" spans="11:16">
      <c r="K4971" s="85">
        <v>26</v>
      </c>
      <c r="L4971" s="78"/>
      <c r="M4971" s="78"/>
      <c r="N4971" s="78"/>
      <c r="P4971" s="85"/>
    </row>
    <row r="4972" spans="11:16">
      <c r="K4972" s="85">
        <v>27</v>
      </c>
      <c r="L4972" s="78"/>
      <c r="M4972" s="78"/>
      <c r="N4972" s="78"/>
      <c r="P4972" s="85"/>
    </row>
    <row r="4973" spans="11:16">
      <c r="K4973" s="85">
        <v>30</v>
      </c>
      <c r="L4973" s="78"/>
      <c r="M4973" s="78"/>
      <c r="N4973" s="78"/>
      <c r="P4973" s="85"/>
    </row>
    <row r="4974" spans="11:16">
      <c r="K4974" s="85">
        <v>31</v>
      </c>
      <c r="L4974" s="78"/>
      <c r="M4974" s="78"/>
      <c r="N4974" s="78"/>
      <c r="P4974" s="85"/>
    </row>
    <row r="4975" spans="11:16">
      <c r="K4975" s="85">
        <v>35</v>
      </c>
      <c r="L4975" s="78"/>
      <c r="M4975" s="78"/>
      <c r="N4975" s="78"/>
      <c r="P4975" s="85"/>
    </row>
    <row r="4976" spans="11:16">
      <c r="K4976" s="85">
        <v>25</v>
      </c>
      <c r="L4976" s="78"/>
      <c r="M4976" s="78"/>
      <c r="N4976" s="78"/>
      <c r="P4976" s="85"/>
    </row>
    <row r="4977" spans="11:16">
      <c r="K4977" s="85">
        <v>26</v>
      </c>
      <c r="L4977" s="78"/>
      <c r="M4977" s="78"/>
      <c r="N4977" s="78"/>
      <c r="P4977" s="85"/>
    </row>
    <row r="4978" spans="11:16">
      <c r="K4978" s="85">
        <v>27</v>
      </c>
      <c r="L4978" s="78"/>
      <c r="M4978" s="78"/>
      <c r="N4978" s="78"/>
      <c r="P4978" s="85"/>
    </row>
    <row r="4979" spans="11:16">
      <c r="K4979" s="85">
        <v>28</v>
      </c>
      <c r="L4979" s="78"/>
      <c r="M4979" s="78"/>
      <c r="N4979" s="78"/>
      <c r="P4979" s="85"/>
    </row>
    <row r="4980" spans="11:16">
      <c r="K4980" s="85">
        <v>29</v>
      </c>
      <c r="L4980" s="78"/>
      <c r="M4980" s="78"/>
      <c r="N4980" s="78"/>
      <c r="P4980" s="85"/>
    </row>
    <row r="4981" spans="11:16">
      <c r="K4981" s="85">
        <v>30</v>
      </c>
      <c r="L4981" s="78"/>
      <c r="M4981" s="78"/>
      <c r="N4981" s="78"/>
      <c r="P4981" s="85"/>
    </row>
    <row r="4982" spans="11:16">
      <c r="K4982" s="85">
        <v>31</v>
      </c>
      <c r="L4982" s="78"/>
      <c r="M4982" s="78"/>
      <c r="N4982" s="78"/>
      <c r="P4982" s="85"/>
    </row>
    <row r="4983" spans="11:16">
      <c r="K4983" s="85">
        <v>32</v>
      </c>
      <c r="L4983" s="78"/>
      <c r="M4983" s="78"/>
      <c r="N4983" s="78"/>
      <c r="P4983" s="85"/>
    </row>
    <row r="4984" spans="11:16">
      <c r="K4984" s="85">
        <v>33</v>
      </c>
      <c r="L4984" s="78"/>
      <c r="M4984" s="78"/>
      <c r="N4984" s="78"/>
      <c r="P4984" s="85"/>
    </row>
    <row r="4985" spans="11:16">
      <c r="K4985" s="85">
        <v>34</v>
      </c>
      <c r="L4985" s="78"/>
      <c r="M4985" s="78"/>
      <c r="N4985" s="78"/>
      <c r="P4985" s="85"/>
    </row>
    <row r="4986" spans="11:16">
      <c r="K4986" s="85">
        <v>35</v>
      </c>
      <c r="L4986" s="78"/>
      <c r="M4986" s="78"/>
      <c r="N4986" s="78"/>
      <c r="P4986" s="85"/>
    </row>
    <row r="4987" spans="11:16">
      <c r="K4987" s="85">
        <v>36</v>
      </c>
      <c r="L4987" s="78"/>
      <c r="M4987" s="78"/>
      <c r="N4987" s="78"/>
      <c r="P4987" s="85"/>
    </row>
    <row r="4988" spans="11:16">
      <c r="K4988" s="85">
        <v>25</v>
      </c>
      <c r="L4988" s="78"/>
      <c r="M4988" s="78"/>
      <c r="N4988" s="78"/>
      <c r="P4988" s="85"/>
    </row>
    <row r="4989" spans="11:16">
      <c r="K4989" s="85">
        <v>27</v>
      </c>
      <c r="L4989" s="78"/>
      <c r="M4989" s="78"/>
      <c r="N4989" s="78"/>
      <c r="P4989" s="85"/>
    </row>
    <row r="4990" spans="11:16">
      <c r="K4990" s="85">
        <v>28</v>
      </c>
      <c r="L4990" s="78"/>
      <c r="M4990" s="78"/>
      <c r="N4990" s="78"/>
      <c r="P4990" s="85"/>
    </row>
    <row r="4991" spans="11:16">
      <c r="K4991" s="85">
        <v>31</v>
      </c>
      <c r="L4991" s="78"/>
      <c r="M4991" s="78"/>
      <c r="N4991" s="78"/>
      <c r="P4991" s="85"/>
    </row>
    <row r="4992" spans="11:16">
      <c r="K4992" s="85">
        <v>32</v>
      </c>
      <c r="L4992" s="78"/>
      <c r="M4992" s="78"/>
      <c r="N4992" s="78"/>
      <c r="P4992" s="85"/>
    </row>
    <row r="4993" spans="11:16">
      <c r="K4993" s="85">
        <v>34</v>
      </c>
      <c r="L4993" s="78"/>
      <c r="M4993" s="78"/>
      <c r="N4993" s="78"/>
      <c r="P4993" s="85"/>
    </row>
    <row r="4994" spans="11:16">
      <c r="K4994" s="85">
        <v>25</v>
      </c>
      <c r="L4994" s="78"/>
      <c r="M4994" s="78"/>
      <c r="N4994" s="78"/>
      <c r="P4994" s="85"/>
    </row>
    <row r="4995" spans="11:16">
      <c r="K4995" s="85">
        <v>26</v>
      </c>
      <c r="L4995" s="78"/>
      <c r="M4995" s="78"/>
      <c r="N4995" s="78"/>
      <c r="P4995" s="85"/>
    </row>
    <row r="4996" spans="11:16">
      <c r="K4996" s="85">
        <v>27</v>
      </c>
      <c r="L4996" s="78"/>
      <c r="M4996" s="78"/>
      <c r="N4996" s="78"/>
      <c r="P4996" s="85"/>
    </row>
    <row r="4997" spans="11:16">
      <c r="K4997" s="85">
        <v>28</v>
      </c>
      <c r="L4997" s="78"/>
      <c r="M4997" s="78"/>
      <c r="N4997" s="78"/>
      <c r="P4997" s="85"/>
    </row>
    <row r="4998" spans="11:16">
      <c r="K4998" s="85">
        <v>30</v>
      </c>
      <c r="L4998" s="78"/>
      <c r="M4998" s="78"/>
      <c r="N4998" s="78"/>
      <c r="P4998" s="85"/>
    </row>
    <row r="4999" spans="11:16">
      <c r="K4999" s="85">
        <v>31</v>
      </c>
      <c r="L4999" s="78"/>
      <c r="M4999" s="78"/>
      <c r="N4999" s="78"/>
      <c r="P4999" s="85"/>
    </row>
    <row r="5000" spans="11:16">
      <c r="K5000" s="85">
        <v>32</v>
      </c>
      <c r="L5000" s="78"/>
      <c r="M5000" s="78"/>
      <c r="N5000" s="78"/>
      <c r="P5000" s="85"/>
    </row>
    <row r="5001" spans="11:16">
      <c r="K5001" s="85">
        <v>35</v>
      </c>
      <c r="L5001" s="78"/>
      <c r="M5001" s="78"/>
      <c r="N5001" s="78"/>
      <c r="P5001" s="85"/>
    </row>
    <row r="5002" spans="11:16">
      <c r="K5002" s="85">
        <v>27</v>
      </c>
      <c r="L5002" s="78"/>
      <c r="M5002" s="78"/>
      <c r="N5002" s="78"/>
      <c r="P5002" s="85"/>
    </row>
    <row r="5003" spans="11:16">
      <c r="K5003" s="85">
        <v>28</v>
      </c>
      <c r="L5003" s="78"/>
      <c r="M5003" s="78"/>
      <c r="N5003" s="78"/>
      <c r="P5003" s="85"/>
    </row>
    <row r="5004" spans="11:16">
      <c r="K5004" s="85">
        <v>34</v>
      </c>
      <c r="L5004" s="78"/>
      <c r="M5004" s="78"/>
      <c r="N5004" s="78"/>
      <c r="P5004" s="85"/>
    </row>
    <row r="5005" spans="11:16">
      <c r="K5005" s="85">
        <v>25</v>
      </c>
      <c r="L5005" s="78"/>
      <c r="M5005" s="78"/>
      <c r="N5005" s="78"/>
      <c r="P5005" s="85"/>
    </row>
    <row r="5006" spans="11:16">
      <c r="K5006" s="85">
        <v>26</v>
      </c>
      <c r="L5006" s="78"/>
      <c r="M5006" s="78"/>
      <c r="N5006" s="78"/>
      <c r="P5006" s="85"/>
    </row>
    <row r="5007" spans="11:16">
      <c r="K5007" s="85">
        <v>27</v>
      </c>
      <c r="L5007" s="78"/>
      <c r="M5007" s="78"/>
      <c r="N5007" s="78"/>
      <c r="P5007" s="85"/>
    </row>
    <row r="5008" spans="11:16">
      <c r="K5008" s="85">
        <v>28</v>
      </c>
      <c r="L5008" s="78"/>
      <c r="M5008" s="78"/>
      <c r="N5008" s="78"/>
      <c r="P5008" s="85"/>
    </row>
    <row r="5009" spans="11:16">
      <c r="K5009" s="85">
        <v>29</v>
      </c>
      <c r="L5009" s="78"/>
      <c r="M5009" s="78"/>
      <c r="N5009" s="78"/>
      <c r="P5009" s="85"/>
    </row>
    <row r="5010" spans="11:16">
      <c r="K5010" s="85">
        <v>30</v>
      </c>
      <c r="L5010" s="78"/>
      <c r="M5010" s="78"/>
      <c r="N5010" s="78"/>
      <c r="P5010" s="85"/>
    </row>
    <row r="5011" spans="11:16">
      <c r="K5011" s="85">
        <v>31</v>
      </c>
      <c r="L5011" s="78"/>
      <c r="M5011" s="78"/>
      <c r="N5011" s="78"/>
      <c r="P5011" s="85"/>
    </row>
    <row r="5012" spans="11:16">
      <c r="K5012" s="85">
        <v>32</v>
      </c>
      <c r="L5012" s="78"/>
      <c r="M5012" s="78"/>
      <c r="N5012" s="78"/>
      <c r="P5012" s="85"/>
    </row>
    <row r="5013" spans="11:16">
      <c r="K5013" s="85">
        <v>33</v>
      </c>
      <c r="L5013" s="78"/>
      <c r="M5013" s="78"/>
      <c r="N5013" s="78"/>
      <c r="P5013" s="85"/>
    </row>
    <row r="5014" spans="11:16">
      <c r="K5014" s="85">
        <v>34</v>
      </c>
      <c r="L5014" s="78"/>
      <c r="M5014" s="78"/>
      <c r="N5014" s="78"/>
      <c r="P5014" s="85"/>
    </row>
    <row r="5015" spans="11:16">
      <c r="K5015" s="85">
        <v>35</v>
      </c>
      <c r="L5015" s="78"/>
      <c r="M5015" s="78"/>
      <c r="N5015" s="78"/>
      <c r="P5015" s="85"/>
    </row>
    <row r="5016" spans="11:16">
      <c r="K5016" s="85">
        <v>36</v>
      </c>
      <c r="L5016" s="78"/>
      <c r="M5016" s="78"/>
      <c r="N5016" s="78"/>
      <c r="P5016" s="85"/>
    </row>
    <row r="5017" spans="11:16">
      <c r="K5017" s="85">
        <v>25</v>
      </c>
      <c r="L5017" s="78"/>
      <c r="M5017" s="78"/>
      <c r="N5017" s="78"/>
      <c r="P5017" s="85"/>
    </row>
    <row r="5018" spans="11:16">
      <c r="K5018" s="85">
        <v>26</v>
      </c>
      <c r="L5018" s="78"/>
      <c r="M5018" s="78"/>
      <c r="N5018" s="78"/>
      <c r="P5018" s="85"/>
    </row>
    <row r="5019" spans="11:16">
      <c r="K5019" s="85">
        <v>27</v>
      </c>
      <c r="L5019" s="78"/>
      <c r="M5019" s="78"/>
      <c r="N5019" s="78"/>
      <c r="P5019" s="85"/>
    </row>
    <row r="5020" spans="11:16">
      <c r="K5020" s="85">
        <v>28</v>
      </c>
      <c r="L5020" s="78"/>
      <c r="M5020" s="78"/>
      <c r="N5020" s="78"/>
      <c r="P5020" s="85"/>
    </row>
    <row r="5021" spans="11:16">
      <c r="K5021" s="85">
        <v>29</v>
      </c>
      <c r="L5021" s="78"/>
      <c r="M5021" s="78"/>
      <c r="N5021" s="78"/>
      <c r="P5021" s="85"/>
    </row>
    <row r="5022" spans="11:16">
      <c r="K5022" s="85">
        <v>30</v>
      </c>
      <c r="L5022" s="78"/>
      <c r="M5022" s="78"/>
      <c r="N5022" s="78"/>
      <c r="P5022" s="85"/>
    </row>
    <row r="5023" spans="11:16">
      <c r="K5023" s="85">
        <v>31</v>
      </c>
      <c r="L5023" s="78"/>
      <c r="M5023" s="78"/>
      <c r="N5023" s="78"/>
      <c r="P5023" s="85"/>
    </row>
    <row r="5024" spans="11:16">
      <c r="K5024" s="85">
        <v>32</v>
      </c>
      <c r="L5024" s="78"/>
      <c r="M5024" s="78"/>
      <c r="N5024" s="78"/>
      <c r="P5024" s="85"/>
    </row>
    <row r="5025" spans="11:16">
      <c r="K5025" s="85">
        <v>33</v>
      </c>
      <c r="L5025" s="78"/>
      <c r="M5025" s="78"/>
      <c r="N5025" s="78"/>
      <c r="P5025" s="85"/>
    </row>
    <row r="5026" spans="11:16">
      <c r="K5026" s="85">
        <v>35</v>
      </c>
      <c r="L5026" s="78"/>
      <c r="M5026" s="78"/>
      <c r="N5026" s="78"/>
      <c r="P5026" s="85"/>
    </row>
    <row r="5027" spans="11:16">
      <c r="K5027" s="85">
        <v>27</v>
      </c>
      <c r="L5027" s="78"/>
      <c r="M5027" s="78"/>
      <c r="N5027" s="78"/>
      <c r="P5027" s="85"/>
    </row>
    <row r="5028" spans="11:16">
      <c r="K5028" s="85">
        <v>28</v>
      </c>
      <c r="L5028" s="78"/>
      <c r="M5028" s="78"/>
      <c r="N5028" s="78"/>
      <c r="P5028" s="85"/>
    </row>
    <row r="5029" spans="11:16">
      <c r="K5029" s="85">
        <v>31</v>
      </c>
      <c r="L5029" s="78"/>
      <c r="M5029" s="78"/>
      <c r="N5029" s="78"/>
      <c r="P5029" s="85"/>
    </row>
    <row r="5030" spans="11:16">
      <c r="K5030" s="85">
        <v>34</v>
      </c>
      <c r="L5030" s="78"/>
      <c r="M5030" s="78"/>
      <c r="N5030" s="78"/>
      <c r="P5030" s="85"/>
    </row>
    <row r="5031" spans="11:16">
      <c r="K5031" s="85">
        <v>35</v>
      </c>
      <c r="L5031" s="78"/>
      <c r="M5031" s="78"/>
      <c r="N5031" s="78"/>
      <c r="P5031" s="85"/>
    </row>
    <row r="5032" spans="11:16">
      <c r="K5032" s="85">
        <v>36</v>
      </c>
      <c r="L5032" s="78"/>
      <c r="M5032" s="78"/>
      <c r="N5032" s="78"/>
      <c r="P5032" s="85"/>
    </row>
    <row r="5033" spans="11:16">
      <c r="K5033" s="85">
        <v>25</v>
      </c>
      <c r="L5033" s="78"/>
      <c r="M5033" s="78"/>
      <c r="N5033" s="78"/>
      <c r="P5033" s="85"/>
    </row>
    <row r="5034" spans="11:16">
      <c r="K5034" s="85">
        <v>26</v>
      </c>
      <c r="L5034" s="78"/>
      <c r="M5034" s="78"/>
      <c r="N5034" s="78"/>
      <c r="P5034" s="85"/>
    </row>
    <row r="5035" spans="11:16">
      <c r="K5035" s="85">
        <v>27</v>
      </c>
      <c r="L5035" s="78"/>
      <c r="M5035" s="78"/>
      <c r="N5035" s="78"/>
      <c r="P5035" s="85"/>
    </row>
    <row r="5036" spans="11:16">
      <c r="K5036" s="85">
        <v>28</v>
      </c>
      <c r="L5036" s="78"/>
      <c r="M5036" s="78"/>
      <c r="N5036" s="78"/>
      <c r="P5036" s="85"/>
    </row>
    <row r="5037" spans="11:16">
      <c r="K5037" s="85">
        <v>30</v>
      </c>
      <c r="L5037" s="78"/>
      <c r="M5037" s="78"/>
      <c r="N5037" s="78"/>
      <c r="P5037" s="85"/>
    </row>
    <row r="5038" spans="11:16">
      <c r="K5038" s="85">
        <v>31</v>
      </c>
      <c r="L5038" s="78"/>
      <c r="M5038" s="78"/>
      <c r="N5038" s="78"/>
      <c r="P5038" s="85"/>
    </row>
    <row r="5039" spans="11:16">
      <c r="K5039" s="85">
        <v>32</v>
      </c>
      <c r="L5039" s="78"/>
      <c r="M5039" s="78"/>
      <c r="N5039" s="78"/>
      <c r="P5039" s="85"/>
    </row>
    <row r="5040" spans="11:16">
      <c r="K5040" s="85">
        <v>33</v>
      </c>
      <c r="L5040" s="78"/>
      <c r="M5040" s="78"/>
      <c r="N5040" s="78"/>
      <c r="P5040" s="85"/>
    </row>
    <row r="5041" spans="11:16">
      <c r="K5041" s="85">
        <v>34</v>
      </c>
      <c r="L5041" s="78"/>
      <c r="M5041" s="78"/>
      <c r="N5041" s="78"/>
      <c r="P5041" s="85"/>
    </row>
    <row r="5042" spans="11:16">
      <c r="K5042" s="85">
        <v>35</v>
      </c>
      <c r="L5042" s="78"/>
      <c r="M5042" s="78"/>
      <c r="N5042" s="78"/>
      <c r="P5042" s="85"/>
    </row>
    <row r="5043" spans="11:16">
      <c r="K5043" s="85">
        <v>25</v>
      </c>
      <c r="L5043" s="78"/>
      <c r="M5043" s="78"/>
      <c r="N5043" s="78"/>
      <c r="P5043" s="85"/>
    </row>
    <row r="5044" spans="11:16">
      <c r="K5044" s="85">
        <v>26</v>
      </c>
      <c r="L5044" s="78"/>
      <c r="M5044" s="78"/>
      <c r="N5044" s="78"/>
      <c r="P5044" s="85"/>
    </row>
    <row r="5045" spans="11:16">
      <c r="K5045" s="85">
        <v>27</v>
      </c>
      <c r="L5045" s="78"/>
      <c r="M5045" s="78"/>
      <c r="N5045" s="78"/>
      <c r="P5045" s="85"/>
    </row>
    <row r="5046" spans="11:16">
      <c r="K5046" s="85">
        <v>28</v>
      </c>
      <c r="L5046" s="78"/>
      <c r="M5046" s="78"/>
      <c r="N5046" s="78"/>
      <c r="P5046" s="85"/>
    </row>
    <row r="5047" spans="11:16">
      <c r="K5047" s="85">
        <v>29</v>
      </c>
      <c r="L5047" s="78"/>
      <c r="M5047" s="78"/>
      <c r="N5047" s="78"/>
      <c r="P5047" s="85"/>
    </row>
    <row r="5048" spans="11:16">
      <c r="K5048" s="85">
        <v>30</v>
      </c>
      <c r="L5048" s="78"/>
      <c r="M5048" s="78"/>
      <c r="N5048" s="78"/>
      <c r="P5048" s="85"/>
    </row>
    <row r="5049" spans="11:16">
      <c r="K5049" s="85">
        <v>31</v>
      </c>
      <c r="L5049" s="78"/>
      <c r="M5049" s="78"/>
      <c r="N5049" s="78"/>
      <c r="P5049" s="85"/>
    </row>
    <row r="5050" spans="11:16">
      <c r="K5050" s="85">
        <v>32</v>
      </c>
      <c r="L5050" s="78"/>
      <c r="M5050" s="78"/>
      <c r="N5050" s="78"/>
      <c r="P5050" s="85"/>
    </row>
    <row r="5051" spans="11:16">
      <c r="K5051" s="85">
        <v>33</v>
      </c>
      <c r="L5051" s="78"/>
      <c r="M5051" s="78"/>
      <c r="N5051" s="78"/>
      <c r="P5051" s="85"/>
    </row>
    <row r="5052" spans="11:16">
      <c r="K5052" s="85">
        <v>34</v>
      </c>
      <c r="L5052" s="78"/>
      <c r="M5052" s="78"/>
      <c r="N5052" s="78"/>
      <c r="P5052" s="85"/>
    </row>
    <row r="5053" spans="11:16">
      <c r="K5053" s="85">
        <v>35</v>
      </c>
      <c r="L5053" s="78"/>
      <c r="M5053" s="78"/>
      <c r="N5053" s="78"/>
      <c r="P5053" s="85"/>
    </row>
    <row r="5054" spans="11:16">
      <c r="K5054" s="85">
        <v>36</v>
      </c>
      <c r="L5054" s="78"/>
      <c r="M5054" s="78"/>
      <c r="N5054" s="78"/>
      <c r="P5054" s="85"/>
    </row>
    <row r="5055" spans="11:16">
      <c r="K5055" s="85">
        <v>26</v>
      </c>
      <c r="L5055" s="78"/>
      <c r="M5055" s="78"/>
      <c r="N5055" s="78"/>
      <c r="P5055" s="85"/>
    </row>
    <row r="5056" spans="11:16">
      <c r="K5056" s="85">
        <v>27</v>
      </c>
      <c r="L5056" s="78"/>
      <c r="M5056" s="78"/>
      <c r="N5056" s="78"/>
      <c r="P5056" s="85"/>
    </row>
    <row r="5057" spans="11:16">
      <c r="K5057" s="85">
        <v>33</v>
      </c>
      <c r="L5057" s="78"/>
      <c r="M5057" s="78"/>
      <c r="N5057" s="78"/>
      <c r="P5057" s="85"/>
    </row>
    <row r="5058" spans="11:16">
      <c r="K5058" s="85">
        <v>26</v>
      </c>
      <c r="L5058" s="78"/>
      <c r="M5058" s="78"/>
      <c r="N5058" s="78"/>
      <c r="P5058" s="85"/>
    </row>
    <row r="5059" spans="11:16">
      <c r="K5059" s="85">
        <v>30</v>
      </c>
      <c r="L5059" s="78"/>
      <c r="M5059" s="78"/>
      <c r="N5059" s="78"/>
      <c r="P5059" s="85"/>
    </row>
    <row r="5060" spans="11:16">
      <c r="K5060" s="85">
        <v>36</v>
      </c>
      <c r="L5060" s="78"/>
      <c r="M5060" s="78"/>
      <c r="N5060" s="78"/>
      <c r="P5060" s="85"/>
    </row>
    <row r="5061" spans="11:16">
      <c r="K5061" s="85">
        <v>25</v>
      </c>
      <c r="L5061" s="78"/>
      <c r="M5061" s="78"/>
      <c r="N5061" s="78"/>
      <c r="P5061" s="85"/>
    </row>
    <row r="5062" spans="11:16">
      <c r="K5062" s="85">
        <v>26</v>
      </c>
      <c r="L5062" s="78"/>
      <c r="M5062" s="78"/>
      <c r="N5062" s="78"/>
      <c r="P5062" s="85"/>
    </row>
    <row r="5063" spans="11:16">
      <c r="K5063" s="85">
        <v>27</v>
      </c>
      <c r="L5063" s="78"/>
      <c r="M5063" s="78"/>
      <c r="N5063" s="78"/>
      <c r="P5063" s="85"/>
    </row>
    <row r="5064" spans="11:16">
      <c r="K5064" s="85">
        <v>28</v>
      </c>
      <c r="L5064" s="78"/>
      <c r="M5064" s="78"/>
      <c r="N5064" s="78"/>
      <c r="P5064" s="85"/>
    </row>
    <row r="5065" spans="11:16">
      <c r="K5065" s="85">
        <v>29</v>
      </c>
      <c r="L5065" s="78"/>
      <c r="M5065" s="78"/>
      <c r="N5065" s="78"/>
      <c r="P5065" s="85"/>
    </row>
    <row r="5066" spans="11:16">
      <c r="K5066" s="85">
        <v>30</v>
      </c>
      <c r="L5066" s="78"/>
      <c r="M5066" s="78"/>
      <c r="N5066" s="78"/>
      <c r="P5066" s="85"/>
    </row>
    <row r="5067" spans="11:16">
      <c r="K5067" s="85">
        <v>31</v>
      </c>
      <c r="L5067" s="78"/>
      <c r="M5067" s="78"/>
      <c r="N5067" s="78"/>
      <c r="P5067" s="85"/>
    </row>
    <row r="5068" spans="11:16">
      <c r="K5068" s="85">
        <v>32</v>
      </c>
      <c r="L5068" s="78"/>
      <c r="M5068" s="78"/>
      <c r="N5068" s="78"/>
      <c r="P5068" s="85"/>
    </row>
    <row r="5069" spans="11:16">
      <c r="K5069" s="85">
        <v>33</v>
      </c>
      <c r="L5069" s="78"/>
      <c r="M5069" s="78"/>
      <c r="N5069" s="78"/>
      <c r="P5069" s="85"/>
    </row>
    <row r="5070" spans="11:16">
      <c r="K5070" s="85">
        <v>34</v>
      </c>
      <c r="L5070" s="78"/>
      <c r="M5070" s="78"/>
      <c r="N5070" s="78"/>
      <c r="P5070" s="85"/>
    </row>
    <row r="5071" spans="11:16">
      <c r="K5071" s="85">
        <v>35</v>
      </c>
      <c r="L5071" s="78"/>
      <c r="M5071" s="78"/>
      <c r="N5071" s="78"/>
      <c r="P5071" s="85"/>
    </row>
    <row r="5072" spans="11:16">
      <c r="K5072" s="85">
        <v>36</v>
      </c>
      <c r="L5072" s="78"/>
      <c r="M5072" s="78"/>
      <c r="N5072" s="78"/>
      <c r="P5072" s="85"/>
    </row>
    <row r="5073" spans="11:16">
      <c r="K5073" s="85">
        <v>25</v>
      </c>
      <c r="L5073" s="78"/>
      <c r="M5073" s="78"/>
      <c r="N5073" s="78"/>
      <c r="P5073" s="85"/>
    </row>
    <row r="5074" spans="11:16">
      <c r="K5074" s="85">
        <v>26</v>
      </c>
      <c r="L5074" s="78"/>
      <c r="M5074" s="78"/>
      <c r="N5074" s="78"/>
      <c r="P5074" s="85"/>
    </row>
    <row r="5075" spans="11:16">
      <c r="K5075" s="85">
        <v>27</v>
      </c>
      <c r="L5075" s="78"/>
      <c r="M5075" s="78"/>
      <c r="N5075" s="78"/>
      <c r="P5075" s="85"/>
    </row>
    <row r="5076" spans="11:16">
      <c r="K5076" s="85">
        <v>28</v>
      </c>
      <c r="L5076" s="78"/>
      <c r="M5076" s="78"/>
      <c r="N5076" s="78"/>
      <c r="P5076" s="85"/>
    </row>
    <row r="5077" spans="11:16">
      <c r="K5077" s="85">
        <v>29</v>
      </c>
      <c r="L5077" s="78"/>
      <c r="M5077" s="78"/>
      <c r="N5077" s="78"/>
      <c r="P5077" s="85"/>
    </row>
    <row r="5078" spans="11:16">
      <c r="K5078" s="85">
        <v>30</v>
      </c>
      <c r="L5078" s="78"/>
      <c r="M5078" s="78"/>
      <c r="N5078" s="78"/>
      <c r="P5078" s="85"/>
    </row>
    <row r="5079" spans="11:16">
      <c r="K5079" s="85">
        <v>31</v>
      </c>
      <c r="L5079" s="78"/>
      <c r="M5079" s="78"/>
      <c r="N5079" s="78"/>
      <c r="P5079" s="85"/>
    </row>
    <row r="5080" spans="11:16">
      <c r="K5080" s="85">
        <v>32</v>
      </c>
      <c r="L5080" s="78"/>
      <c r="M5080" s="78"/>
      <c r="N5080" s="78"/>
      <c r="P5080" s="85"/>
    </row>
    <row r="5081" spans="11:16">
      <c r="K5081" s="85">
        <v>33</v>
      </c>
      <c r="L5081" s="78"/>
      <c r="M5081" s="78"/>
      <c r="N5081" s="78"/>
      <c r="P5081" s="85"/>
    </row>
    <row r="5082" spans="11:16">
      <c r="K5082" s="85">
        <v>34</v>
      </c>
      <c r="L5082" s="78"/>
      <c r="M5082" s="78"/>
      <c r="N5082" s="78"/>
      <c r="P5082" s="85"/>
    </row>
    <row r="5083" spans="11:16">
      <c r="K5083" s="85">
        <v>35</v>
      </c>
      <c r="L5083" s="78"/>
      <c r="M5083" s="78"/>
      <c r="N5083" s="78"/>
      <c r="P5083" s="85"/>
    </row>
    <row r="5084" spans="11:16">
      <c r="K5084" s="85">
        <v>27</v>
      </c>
      <c r="L5084" s="78"/>
      <c r="M5084" s="78"/>
      <c r="N5084" s="78"/>
      <c r="P5084" s="85"/>
    </row>
    <row r="5085" spans="11:16">
      <c r="K5085" s="85">
        <v>32</v>
      </c>
      <c r="L5085" s="78"/>
      <c r="M5085" s="78"/>
      <c r="N5085" s="78"/>
      <c r="P5085" s="85"/>
    </row>
    <row r="5086" spans="11:16">
      <c r="K5086" s="85">
        <v>35</v>
      </c>
      <c r="L5086" s="78"/>
      <c r="M5086" s="78"/>
      <c r="N5086" s="78"/>
      <c r="P5086" s="85"/>
    </row>
    <row r="5087" spans="11:16">
      <c r="K5087" s="85">
        <v>36</v>
      </c>
      <c r="L5087" s="78"/>
      <c r="M5087" s="78"/>
      <c r="N5087" s="78"/>
      <c r="P5087" s="85"/>
    </row>
    <row r="5088" spans="11:16">
      <c r="K5088" s="85">
        <v>27</v>
      </c>
      <c r="L5088" s="78"/>
      <c r="M5088" s="78"/>
      <c r="N5088" s="78"/>
      <c r="P5088" s="85"/>
    </row>
    <row r="5089" spans="11:16">
      <c r="K5089" s="85">
        <v>28</v>
      </c>
      <c r="L5089" s="78"/>
      <c r="M5089" s="78"/>
      <c r="N5089" s="78"/>
      <c r="P5089" s="85"/>
    </row>
    <row r="5090" spans="11:16">
      <c r="K5090" s="85">
        <v>34</v>
      </c>
      <c r="L5090" s="78"/>
      <c r="M5090" s="78"/>
      <c r="N5090" s="78"/>
      <c r="P5090" s="85"/>
    </row>
    <row r="5091" spans="11:16">
      <c r="K5091" s="85">
        <v>35</v>
      </c>
      <c r="L5091" s="78"/>
      <c r="M5091" s="78"/>
      <c r="N5091" s="78"/>
      <c r="P5091" s="85"/>
    </row>
    <row r="5092" spans="11:16">
      <c r="K5092" s="85">
        <v>31</v>
      </c>
      <c r="L5092" s="78"/>
      <c r="M5092" s="78"/>
      <c r="N5092" s="78"/>
      <c r="P5092" s="85"/>
    </row>
    <row r="5093" spans="11:16">
      <c r="K5093" s="85">
        <v>25</v>
      </c>
      <c r="L5093" s="78"/>
      <c r="M5093" s="78"/>
      <c r="N5093" s="78"/>
      <c r="P5093" s="85"/>
    </row>
    <row r="5094" spans="11:16">
      <c r="K5094" s="85">
        <v>27</v>
      </c>
      <c r="L5094" s="78"/>
      <c r="M5094" s="78"/>
      <c r="N5094" s="78"/>
      <c r="P5094" s="85"/>
    </row>
    <row r="5095" spans="11:16">
      <c r="K5095" s="85">
        <v>28</v>
      </c>
      <c r="L5095" s="78"/>
      <c r="M5095" s="78"/>
      <c r="N5095" s="78"/>
      <c r="P5095" s="85"/>
    </row>
    <row r="5096" spans="11:16">
      <c r="K5096" s="85">
        <v>30</v>
      </c>
      <c r="L5096" s="78"/>
      <c r="M5096" s="78"/>
      <c r="N5096" s="78"/>
      <c r="P5096" s="85"/>
    </row>
    <row r="5097" spans="11:16">
      <c r="K5097" s="85">
        <v>33</v>
      </c>
      <c r="L5097" s="78"/>
      <c r="M5097" s="78"/>
      <c r="N5097" s="78"/>
      <c r="P5097" s="85"/>
    </row>
    <row r="5098" spans="11:16">
      <c r="K5098" s="85">
        <v>35</v>
      </c>
      <c r="L5098" s="78"/>
      <c r="M5098" s="78"/>
      <c r="N5098" s="78"/>
      <c r="P5098" s="85"/>
    </row>
    <row r="5099" spans="11:16">
      <c r="K5099" s="85">
        <v>25</v>
      </c>
      <c r="L5099" s="78"/>
      <c r="M5099" s="78"/>
      <c r="N5099" s="78"/>
      <c r="P5099" s="85"/>
    </row>
    <row r="5100" spans="11:16">
      <c r="K5100" s="85">
        <v>27</v>
      </c>
      <c r="L5100" s="78"/>
      <c r="M5100" s="78"/>
      <c r="N5100" s="78"/>
      <c r="P5100" s="85"/>
    </row>
    <row r="5101" spans="11:16">
      <c r="K5101" s="85">
        <v>29</v>
      </c>
      <c r="L5101" s="78"/>
      <c r="M5101" s="78"/>
      <c r="N5101" s="78"/>
      <c r="P5101" s="85"/>
    </row>
    <row r="5102" spans="11:16">
      <c r="K5102" s="85">
        <v>30</v>
      </c>
      <c r="L5102" s="78"/>
      <c r="M5102" s="78"/>
      <c r="N5102" s="78"/>
      <c r="P5102" s="85"/>
    </row>
    <row r="5103" spans="11:16">
      <c r="K5103" s="85">
        <v>31</v>
      </c>
      <c r="L5103" s="78"/>
      <c r="M5103" s="78"/>
      <c r="N5103" s="78"/>
      <c r="P5103" s="85"/>
    </row>
    <row r="5104" spans="11:16">
      <c r="K5104" s="85">
        <v>32</v>
      </c>
      <c r="L5104" s="78"/>
      <c r="M5104" s="78"/>
      <c r="N5104" s="78"/>
      <c r="P5104" s="85"/>
    </row>
    <row r="5105" spans="11:16">
      <c r="K5105" s="85">
        <v>34</v>
      </c>
      <c r="L5105" s="78"/>
      <c r="M5105" s="78"/>
      <c r="N5105" s="78"/>
      <c r="P5105" s="85"/>
    </row>
    <row r="5106" spans="11:16">
      <c r="K5106" s="85">
        <v>35</v>
      </c>
      <c r="L5106" s="78"/>
      <c r="M5106" s="78"/>
      <c r="N5106" s="78"/>
      <c r="P5106" s="85"/>
    </row>
    <row r="5107" spans="11:16">
      <c r="K5107" s="85">
        <v>36</v>
      </c>
      <c r="L5107" s="78"/>
      <c r="M5107" s="78"/>
      <c r="N5107" s="78"/>
      <c r="P5107" s="85"/>
    </row>
    <row r="5108" spans="11:16">
      <c r="K5108" s="85">
        <v>25</v>
      </c>
      <c r="L5108" s="78"/>
      <c r="M5108" s="78"/>
      <c r="N5108" s="78"/>
      <c r="P5108" s="85"/>
    </row>
    <row r="5109" spans="11:16">
      <c r="K5109" s="85">
        <v>26</v>
      </c>
      <c r="L5109" s="78"/>
      <c r="M5109" s="78"/>
      <c r="N5109" s="78"/>
      <c r="P5109" s="85"/>
    </row>
    <row r="5110" spans="11:16">
      <c r="K5110" s="85">
        <v>27</v>
      </c>
      <c r="L5110" s="78"/>
      <c r="M5110" s="78"/>
      <c r="N5110" s="78"/>
      <c r="P5110" s="85"/>
    </row>
    <row r="5111" spans="11:16">
      <c r="K5111" s="85">
        <v>28</v>
      </c>
      <c r="L5111" s="78"/>
      <c r="M5111" s="78"/>
      <c r="N5111" s="78"/>
      <c r="P5111" s="85"/>
    </row>
    <row r="5112" spans="11:16">
      <c r="K5112" s="85">
        <v>30</v>
      </c>
      <c r="L5112" s="78"/>
      <c r="M5112" s="78"/>
      <c r="N5112" s="78"/>
      <c r="P5112" s="85"/>
    </row>
    <row r="5113" spans="11:16">
      <c r="K5113" s="85">
        <v>31</v>
      </c>
      <c r="L5113" s="78"/>
      <c r="M5113" s="78"/>
      <c r="N5113" s="78"/>
      <c r="P5113" s="85"/>
    </row>
    <row r="5114" spans="11:16">
      <c r="K5114" s="85">
        <v>34</v>
      </c>
      <c r="L5114" s="78"/>
      <c r="M5114" s="78"/>
      <c r="N5114" s="78"/>
      <c r="P5114" s="85"/>
    </row>
    <row r="5115" spans="11:16">
      <c r="K5115" s="85">
        <v>35</v>
      </c>
      <c r="L5115" s="78"/>
      <c r="M5115" s="78"/>
      <c r="N5115" s="78"/>
      <c r="P5115" s="85"/>
    </row>
    <row r="5116" spans="11:16">
      <c r="K5116" s="85">
        <v>26</v>
      </c>
      <c r="L5116" s="78"/>
      <c r="M5116" s="78"/>
      <c r="N5116" s="78"/>
      <c r="P5116" s="85"/>
    </row>
    <row r="5117" spans="11:16">
      <c r="K5117" s="85">
        <v>27</v>
      </c>
      <c r="L5117" s="78"/>
      <c r="M5117" s="78"/>
      <c r="N5117" s="78"/>
      <c r="P5117" s="85"/>
    </row>
    <row r="5118" spans="11:16">
      <c r="K5118" s="85">
        <v>28</v>
      </c>
      <c r="L5118" s="78"/>
      <c r="M5118" s="78"/>
      <c r="N5118" s="78"/>
      <c r="P5118" s="85"/>
    </row>
    <row r="5119" spans="11:16">
      <c r="K5119" s="85">
        <v>29</v>
      </c>
      <c r="L5119" s="78"/>
      <c r="M5119" s="78"/>
      <c r="N5119" s="78"/>
      <c r="P5119" s="85"/>
    </row>
    <row r="5120" spans="11:16">
      <c r="K5120" s="85">
        <v>31</v>
      </c>
      <c r="L5120" s="78"/>
      <c r="M5120" s="78"/>
      <c r="N5120" s="78"/>
      <c r="P5120" s="85"/>
    </row>
    <row r="5121" spans="11:16">
      <c r="K5121" s="85">
        <v>32</v>
      </c>
      <c r="L5121" s="78"/>
      <c r="M5121" s="78"/>
      <c r="N5121" s="78"/>
      <c r="P5121" s="85"/>
    </row>
    <row r="5122" spans="11:16">
      <c r="K5122" s="85">
        <v>33</v>
      </c>
      <c r="L5122" s="78"/>
      <c r="M5122" s="78"/>
      <c r="N5122" s="78"/>
      <c r="P5122" s="85"/>
    </row>
    <row r="5123" spans="11:16">
      <c r="K5123" s="85">
        <v>34</v>
      </c>
      <c r="L5123" s="78"/>
      <c r="M5123" s="78"/>
      <c r="N5123" s="78"/>
      <c r="P5123" s="85"/>
    </row>
    <row r="5124" spans="11:16">
      <c r="K5124" s="85">
        <v>35</v>
      </c>
      <c r="L5124" s="78"/>
      <c r="M5124" s="78"/>
      <c r="N5124" s="78"/>
      <c r="P5124" s="85"/>
    </row>
    <row r="5125" spans="11:16">
      <c r="K5125" s="85">
        <v>27</v>
      </c>
      <c r="L5125" s="78"/>
      <c r="M5125" s="78"/>
      <c r="N5125" s="78"/>
      <c r="P5125" s="85"/>
    </row>
    <row r="5126" spans="11:16">
      <c r="K5126" s="85">
        <v>28</v>
      </c>
      <c r="L5126" s="78"/>
      <c r="M5126" s="78"/>
      <c r="N5126" s="78"/>
      <c r="P5126" s="85"/>
    </row>
    <row r="5127" spans="11:16">
      <c r="K5127" s="85">
        <v>31</v>
      </c>
      <c r="L5127" s="78"/>
      <c r="M5127" s="78"/>
      <c r="N5127" s="78"/>
      <c r="P5127" s="85"/>
    </row>
    <row r="5128" spans="11:16">
      <c r="K5128" s="85">
        <v>35</v>
      </c>
      <c r="L5128" s="78"/>
      <c r="M5128" s="78"/>
      <c r="N5128" s="78"/>
      <c r="P5128" s="85"/>
    </row>
    <row r="5129" spans="11:16">
      <c r="K5129" s="85">
        <v>36</v>
      </c>
      <c r="L5129" s="78"/>
      <c r="M5129" s="78"/>
      <c r="N5129" s="78"/>
      <c r="P5129" s="85"/>
    </row>
    <row r="5130" spans="11:16">
      <c r="K5130" s="85">
        <v>25</v>
      </c>
      <c r="L5130" s="78"/>
      <c r="M5130" s="78"/>
      <c r="N5130" s="78"/>
      <c r="P5130" s="85"/>
    </row>
    <row r="5131" spans="11:16">
      <c r="K5131" s="85">
        <v>26</v>
      </c>
      <c r="L5131" s="78"/>
      <c r="M5131" s="78"/>
      <c r="N5131" s="78"/>
      <c r="P5131" s="85"/>
    </row>
    <row r="5132" spans="11:16">
      <c r="K5132" s="85">
        <v>27</v>
      </c>
      <c r="L5132" s="78"/>
      <c r="M5132" s="78"/>
      <c r="N5132" s="78"/>
      <c r="P5132" s="85"/>
    </row>
    <row r="5133" spans="11:16">
      <c r="K5133" s="85">
        <v>28</v>
      </c>
      <c r="L5133" s="78"/>
      <c r="M5133" s="78"/>
      <c r="N5133" s="78"/>
      <c r="P5133" s="85"/>
    </row>
    <row r="5134" spans="11:16">
      <c r="K5134" s="85">
        <v>29</v>
      </c>
      <c r="L5134" s="78"/>
      <c r="M5134" s="78"/>
      <c r="N5134" s="78"/>
      <c r="P5134" s="85"/>
    </row>
    <row r="5135" spans="11:16">
      <c r="K5135" s="85">
        <v>30</v>
      </c>
      <c r="L5135" s="78"/>
      <c r="M5135" s="78"/>
      <c r="N5135" s="78"/>
      <c r="P5135" s="85"/>
    </row>
    <row r="5136" spans="11:16">
      <c r="K5136" s="85">
        <v>31</v>
      </c>
      <c r="L5136" s="78"/>
      <c r="M5136" s="78"/>
      <c r="N5136" s="78"/>
      <c r="P5136" s="85"/>
    </row>
    <row r="5137" spans="11:16">
      <c r="K5137" s="85">
        <v>32</v>
      </c>
      <c r="L5137" s="78"/>
      <c r="M5137" s="78"/>
      <c r="N5137" s="78"/>
      <c r="P5137" s="85"/>
    </row>
    <row r="5138" spans="11:16">
      <c r="K5138" s="85">
        <v>33</v>
      </c>
      <c r="L5138" s="78"/>
      <c r="M5138" s="78"/>
      <c r="N5138" s="78"/>
      <c r="P5138" s="85"/>
    </row>
    <row r="5139" spans="11:16">
      <c r="K5139" s="85">
        <v>34</v>
      </c>
      <c r="L5139" s="78"/>
      <c r="M5139" s="78"/>
      <c r="N5139" s="78"/>
      <c r="P5139" s="85"/>
    </row>
    <row r="5140" spans="11:16">
      <c r="K5140" s="85">
        <v>35</v>
      </c>
      <c r="L5140" s="78"/>
      <c r="M5140" s="78"/>
      <c r="N5140" s="78"/>
      <c r="P5140" s="85"/>
    </row>
    <row r="5141" spans="11:16">
      <c r="K5141" s="85">
        <v>36</v>
      </c>
      <c r="L5141" s="78"/>
      <c r="M5141" s="78"/>
      <c r="N5141" s="78"/>
      <c r="P5141" s="85"/>
    </row>
    <row r="5142" spans="11:16">
      <c r="K5142" s="85">
        <v>25</v>
      </c>
      <c r="L5142" s="78"/>
      <c r="M5142" s="78"/>
      <c r="N5142" s="78"/>
      <c r="P5142" s="85"/>
    </row>
    <row r="5143" spans="11:16">
      <c r="K5143" s="85">
        <v>27</v>
      </c>
      <c r="L5143" s="78"/>
      <c r="M5143" s="78"/>
      <c r="N5143" s="78"/>
      <c r="P5143" s="85"/>
    </row>
    <row r="5144" spans="11:16">
      <c r="K5144" s="85">
        <v>30</v>
      </c>
      <c r="L5144" s="78"/>
      <c r="M5144" s="78"/>
      <c r="N5144" s="78"/>
      <c r="P5144" s="85"/>
    </row>
    <row r="5145" spans="11:16">
      <c r="K5145" s="85">
        <v>31</v>
      </c>
      <c r="L5145" s="78"/>
      <c r="M5145" s="78"/>
      <c r="N5145" s="78"/>
      <c r="P5145" s="85"/>
    </row>
    <row r="5146" spans="11:16">
      <c r="K5146" s="85">
        <v>32</v>
      </c>
      <c r="L5146" s="78"/>
      <c r="M5146" s="78"/>
      <c r="N5146" s="78"/>
      <c r="P5146" s="85"/>
    </row>
    <row r="5147" spans="11:16">
      <c r="K5147" s="85">
        <v>34</v>
      </c>
      <c r="L5147" s="78"/>
      <c r="M5147" s="78"/>
      <c r="N5147" s="78"/>
      <c r="P5147" s="85"/>
    </row>
    <row r="5148" spans="11:16">
      <c r="K5148" s="85">
        <v>35</v>
      </c>
      <c r="L5148" s="78"/>
      <c r="M5148" s="78"/>
      <c r="N5148" s="78"/>
      <c r="P5148" s="85"/>
    </row>
    <row r="5149" spans="11:16">
      <c r="K5149" s="85">
        <v>27</v>
      </c>
      <c r="L5149" s="78"/>
      <c r="M5149" s="78"/>
      <c r="N5149" s="78"/>
      <c r="P5149" s="85"/>
    </row>
    <row r="5150" spans="11:16">
      <c r="K5150" s="85">
        <v>35</v>
      </c>
      <c r="L5150" s="78"/>
      <c r="M5150" s="78"/>
      <c r="N5150" s="78"/>
      <c r="P5150" s="85"/>
    </row>
    <row r="5151" spans="11:16">
      <c r="K5151" s="85">
        <v>26</v>
      </c>
      <c r="L5151" s="78"/>
      <c r="M5151" s="78"/>
      <c r="N5151" s="78"/>
      <c r="P5151" s="85"/>
    </row>
    <row r="5152" spans="11:16">
      <c r="K5152" s="85">
        <v>27</v>
      </c>
      <c r="L5152" s="78"/>
      <c r="M5152" s="78"/>
      <c r="N5152" s="78"/>
      <c r="P5152" s="85"/>
    </row>
    <row r="5153" spans="11:16">
      <c r="K5153" s="85">
        <v>28</v>
      </c>
      <c r="L5153" s="78"/>
      <c r="M5153" s="78"/>
      <c r="N5153" s="78"/>
      <c r="P5153" s="85"/>
    </row>
    <row r="5154" spans="11:16">
      <c r="K5154" s="85">
        <v>31</v>
      </c>
      <c r="L5154" s="78"/>
      <c r="M5154" s="78"/>
      <c r="N5154" s="78"/>
      <c r="P5154" s="85"/>
    </row>
    <row r="5155" spans="11:16">
      <c r="K5155" s="85">
        <v>32</v>
      </c>
      <c r="L5155" s="78"/>
      <c r="M5155" s="78"/>
      <c r="N5155" s="78"/>
      <c r="P5155" s="85"/>
    </row>
    <row r="5156" spans="11:16">
      <c r="K5156" s="85">
        <v>34</v>
      </c>
      <c r="L5156" s="78"/>
      <c r="M5156" s="78"/>
      <c r="N5156" s="78"/>
      <c r="P5156" s="85"/>
    </row>
    <row r="5157" spans="11:16">
      <c r="K5157" s="85">
        <v>35</v>
      </c>
      <c r="L5157" s="78"/>
      <c r="M5157" s="78"/>
      <c r="N5157" s="78"/>
      <c r="P5157" s="85"/>
    </row>
    <row r="5158" spans="11:16">
      <c r="K5158" s="85">
        <v>36</v>
      </c>
      <c r="L5158" s="78"/>
      <c r="M5158" s="78"/>
      <c r="N5158" s="78"/>
      <c r="P5158" s="85"/>
    </row>
    <row r="5159" spans="11:16">
      <c r="K5159" s="85">
        <v>25</v>
      </c>
      <c r="L5159" s="78"/>
      <c r="M5159" s="78"/>
      <c r="N5159" s="78"/>
      <c r="P5159" s="85"/>
    </row>
    <row r="5160" spans="11:16">
      <c r="K5160" s="85">
        <v>26</v>
      </c>
      <c r="L5160" s="78"/>
      <c r="M5160" s="78"/>
      <c r="N5160" s="78"/>
      <c r="P5160" s="85"/>
    </row>
    <row r="5161" spans="11:16">
      <c r="K5161" s="85">
        <v>27</v>
      </c>
      <c r="L5161" s="78"/>
      <c r="M5161" s="78"/>
      <c r="N5161" s="78"/>
      <c r="P5161" s="85"/>
    </row>
    <row r="5162" spans="11:16">
      <c r="K5162" s="85">
        <v>28</v>
      </c>
      <c r="L5162" s="78"/>
      <c r="M5162" s="78"/>
      <c r="N5162" s="78"/>
      <c r="P5162" s="85"/>
    </row>
    <row r="5163" spans="11:16">
      <c r="K5163" s="85">
        <v>29</v>
      </c>
      <c r="L5163" s="78"/>
      <c r="M5163" s="78"/>
      <c r="N5163" s="78"/>
      <c r="P5163" s="85"/>
    </row>
    <row r="5164" spans="11:16">
      <c r="K5164" s="85">
        <v>30</v>
      </c>
      <c r="L5164" s="78"/>
      <c r="M5164" s="78"/>
      <c r="N5164" s="78"/>
      <c r="P5164" s="85"/>
    </row>
    <row r="5165" spans="11:16">
      <c r="K5165" s="85">
        <v>31</v>
      </c>
      <c r="L5165" s="78"/>
      <c r="M5165" s="78"/>
      <c r="N5165" s="78"/>
      <c r="P5165" s="85"/>
    </row>
    <row r="5166" spans="11:16">
      <c r="K5166" s="85">
        <v>32</v>
      </c>
      <c r="L5166" s="78"/>
      <c r="M5166" s="78"/>
      <c r="N5166" s="78"/>
      <c r="P5166" s="85"/>
    </row>
    <row r="5167" spans="11:16">
      <c r="K5167" s="85">
        <v>33</v>
      </c>
      <c r="L5167" s="78"/>
      <c r="M5167" s="78"/>
      <c r="N5167" s="78"/>
      <c r="P5167" s="85"/>
    </row>
    <row r="5168" spans="11:16">
      <c r="K5168" s="85">
        <v>34</v>
      </c>
      <c r="L5168" s="78"/>
      <c r="M5168" s="78"/>
      <c r="N5168" s="78"/>
      <c r="P5168" s="85"/>
    </row>
    <row r="5169" spans="11:16">
      <c r="K5169" s="85">
        <v>35</v>
      </c>
      <c r="L5169" s="78"/>
      <c r="M5169" s="78"/>
      <c r="N5169" s="78"/>
      <c r="P5169" s="85"/>
    </row>
    <row r="5170" spans="11:16">
      <c r="K5170" s="85">
        <v>25</v>
      </c>
      <c r="L5170" s="78"/>
      <c r="M5170" s="78"/>
      <c r="N5170" s="78"/>
      <c r="P5170" s="85"/>
    </row>
    <row r="5171" spans="11:16">
      <c r="K5171" s="85">
        <v>26</v>
      </c>
      <c r="L5171" s="78"/>
      <c r="M5171" s="78"/>
      <c r="N5171" s="78"/>
      <c r="P5171" s="85"/>
    </row>
    <row r="5172" spans="11:16">
      <c r="K5172" s="85">
        <v>27</v>
      </c>
      <c r="L5172" s="78"/>
      <c r="M5172" s="78"/>
      <c r="N5172" s="78"/>
      <c r="P5172" s="85"/>
    </row>
    <row r="5173" spans="11:16">
      <c r="K5173" s="85">
        <v>28</v>
      </c>
      <c r="L5173" s="78"/>
      <c r="M5173" s="78"/>
      <c r="N5173" s="78"/>
      <c r="P5173" s="85"/>
    </row>
    <row r="5174" spans="11:16">
      <c r="K5174" s="85">
        <v>29</v>
      </c>
      <c r="L5174" s="78"/>
      <c r="M5174" s="78"/>
      <c r="N5174" s="78"/>
      <c r="P5174" s="85"/>
    </row>
    <row r="5175" spans="11:16">
      <c r="K5175" s="85">
        <v>30</v>
      </c>
      <c r="L5175" s="78"/>
      <c r="M5175" s="78"/>
      <c r="N5175" s="78"/>
      <c r="P5175" s="85"/>
    </row>
    <row r="5176" spans="11:16">
      <c r="K5176" s="85">
        <v>31</v>
      </c>
      <c r="L5176" s="78"/>
      <c r="M5176" s="78"/>
      <c r="N5176" s="78"/>
      <c r="P5176" s="85"/>
    </row>
    <row r="5177" spans="11:16">
      <c r="K5177" s="85">
        <v>32</v>
      </c>
      <c r="L5177" s="78"/>
      <c r="M5177" s="78"/>
      <c r="N5177" s="78"/>
      <c r="P5177" s="85"/>
    </row>
    <row r="5178" spans="11:16">
      <c r="K5178" s="85">
        <v>34</v>
      </c>
      <c r="L5178" s="78"/>
      <c r="M5178" s="78"/>
      <c r="N5178" s="78"/>
      <c r="P5178" s="85"/>
    </row>
    <row r="5179" spans="11:16">
      <c r="K5179" s="85">
        <v>35</v>
      </c>
      <c r="L5179" s="78"/>
      <c r="M5179" s="78"/>
      <c r="N5179" s="78"/>
      <c r="P5179" s="85"/>
    </row>
    <row r="5180" spans="11:16">
      <c r="K5180" s="85">
        <v>26</v>
      </c>
      <c r="L5180" s="78"/>
      <c r="M5180" s="78"/>
      <c r="N5180" s="78"/>
      <c r="P5180" s="85"/>
    </row>
    <row r="5181" spans="11:16">
      <c r="K5181" s="85">
        <v>27</v>
      </c>
      <c r="L5181" s="78"/>
      <c r="M5181" s="78"/>
      <c r="N5181" s="78"/>
      <c r="P5181" s="85"/>
    </row>
    <row r="5182" spans="11:16">
      <c r="K5182" s="85">
        <v>28</v>
      </c>
      <c r="L5182" s="78"/>
      <c r="M5182" s="78"/>
      <c r="N5182" s="78"/>
      <c r="P5182" s="85"/>
    </row>
    <row r="5183" spans="11:16">
      <c r="K5183" s="85">
        <v>29</v>
      </c>
      <c r="L5183" s="78"/>
      <c r="M5183" s="78"/>
      <c r="N5183" s="78"/>
      <c r="P5183" s="85"/>
    </row>
    <row r="5184" spans="11:16">
      <c r="K5184" s="85">
        <v>30</v>
      </c>
      <c r="L5184" s="78"/>
      <c r="M5184" s="78"/>
      <c r="N5184" s="78"/>
      <c r="P5184" s="85"/>
    </row>
    <row r="5185" spans="11:16">
      <c r="K5185" s="85">
        <v>31</v>
      </c>
      <c r="L5185" s="78"/>
      <c r="M5185" s="78"/>
      <c r="N5185" s="78"/>
      <c r="P5185" s="85"/>
    </row>
    <row r="5186" spans="11:16">
      <c r="K5186" s="85">
        <v>32</v>
      </c>
      <c r="L5186" s="78"/>
      <c r="M5186" s="78"/>
      <c r="N5186" s="78"/>
      <c r="P5186" s="85"/>
    </row>
    <row r="5187" spans="11:16">
      <c r="K5187" s="85">
        <v>34</v>
      </c>
      <c r="L5187" s="78"/>
      <c r="M5187" s="78"/>
      <c r="N5187" s="78"/>
      <c r="P5187" s="85"/>
    </row>
    <row r="5188" spans="11:16">
      <c r="K5188" s="85">
        <v>35</v>
      </c>
      <c r="L5188" s="78"/>
      <c r="M5188" s="78"/>
      <c r="N5188" s="78"/>
      <c r="P5188" s="85"/>
    </row>
    <row r="5189" spans="11:16">
      <c r="K5189" s="85">
        <v>36</v>
      </c>
      <c r="L5189" s="78"/>
      <c r="M5189" s="78"/>
      <c r="N5189" s="78"/>
      <c r="P5189" s="85"/>
    </row>
    <row r="5190" spans="11:16">
      <c r="K5190" s="85">
        <v>25</v>
      </c>
      <c r="L5190" s="78"/>
      <c r="M5190" s="78"/>
      <c r="N5190" s="78"/>
      <c r="P5190" s="85"/>
    </row>
    <row r="5191" spans="11:16">
      <c r="K5191" s="85">
        <v>26</v>
      </c>
      <c r="L5191" s="78"/>
      <c r="M5191" s="78"/>
      <c r="N5191" s="78"/>
      <c r="P5191" s="85"/>
    </row>
    <row r="5192" spans="11:16">
      <c r="K5192" s="85">
        <v>27</v>
      </c>
      <c r="L5192" s="78"/>
      <c r="M5192" s="78"/>
      <c r="N5192" s="78"/>
      <c r="P5192" s="85"/>
    </row>
    <row r="5193" spans="11:16">
      <c r="K5193" s="85">
        <v>29</v>
      </c>
      <c r="L5193" s="78"/>
      <c r="M5193" s="78"/>
      <c r="N5193" s="78"/>
      <c r="P5193" s="85"/>
    </row>
    <row r="5194" spans="11:16">
      <c r="K5194" s="85">
        <v>30</v>
      </c>
      <c r="L5194" s="78"/>
      <c r="M5194" s="78"/>
      <c r="N5194" s="78"/>
      <c r="P5194" s="85"/>
    </row>
    <row r="5195" spans="11:16">
      <c r="K5195" s="85">
        <v>34</v>
      </c>
      <c r="L5195" s="78"/>
      <c r="M5195" s="78"/>
      <c r="N5195" s="78"/>
      <c r="P5195" s="85"/>
    </row>
    <row r="5196" spans="11:16">
      <c r="K5196" s="85">
        <v>25</v>
      </c>
      <c r="L5196" s="78"/>
      <c r="M5196" s="78"/>
      <c r="N5196" s="78"/>
      <c r="P5196" s="85"/>
    </row>
    <row r="5197" spans="11:16">
      <c r="K5197" s="85">
        <v>26</v>
      </c>
      <c r="L5197" s="78"/>
      <c r="M5197" s="78"/>
      <c r="N5197" s="78"/>
      <c r="P5197" s="85"/>
    </row>
    <row r="5198" spans="11:16">
      <c r="K5198" s="85">
        <v>27</v>
      </c>
      <c r="L5198" s="78"/>
      <c r="M5198" s="78"/>
      <c r="N5198" s="78"/>
      <c r="P5198" s="85"/>
    </row>
    <row r="5199" spans="11:16">
      <c r="K5199" s="85">
        <v>28</v>
      </c>
      <c r="L5199" s="78"/>
      <c r="M5199" s="78"/>
      <c r="N5199" s="78"/>
      <c r="P5199" s="85"/>
    </row>
    <row r="5200" spans="11:16">
      <c r="K5200" s="85">
        <v>29</v>
      </c>
      <c r="L5200" s="78"/>
      <c r="M5200" s="78"/>
      <c r="N5200" s="78"/>
      <c r="P5200" s="85"/>
    </row>
    <row r="5201" spans="11:16">
      <c r="K5201" s="85">
        <v>30</v>
      </c>
      <c r="L5201" s="78"/>
      <c r="M5201" s="78"/>
      <c r="N5201" s="78"/>
      <c r="P5201" s="85"/>
    </row>
    <row r="5202" spans="11:16">
      <c r="K5202" s="85">
        <v>31</v>
      </c>
      <c r="L5202" s="78"/>
      <c r="M5202" s="78"/>
      <c r="N5202" s="78"/>
      <c r="P5202" s="85"/>
    </row>
    <row r="5203" spans="11:16">
      <c r="K5203" s="85">
        <v>32</v>
      </c>
      <c r="L5203" s="78"/>
      <c r="M5203" s="78"/>
      <c r="N5203" s="78"/>
      <c r="P5203" s="85"/>
    </row>
    <row r="5204" spans="11:16">
      <c r="K5204" s="85">
        <v>33</v>
      </c>
      <c r="L5204" s="78"/>
      <c r="M5204" s="78"/>
      <c r="N5204" s="78"/>
      <c r="P5204" s="85"/>
    </row>
    <row r="5205" spans="11:16">
      <c r="K5205" s="85">
        <v>34</v>
      </c>
      <c r="L5205" s="78"/>
      <c r="M5205" s="78"/>
      <c r="N5205" s="78"/>
      <c r="P5205" s="85"/>
    </row>
    <row r="5206" spans="11:16">
      <c r="K5206" s="85">
        <v>35</v>
      </c>
      <c r="L5206" s="78"/>
      <c r="M5206" s="78"/>
      <c r="N5206" s="78"/>
      <c r="P5206" s="85"/>
    </row>
    <row r="5207" spans="11:16">
      <c r="K5207" s="85">
        <v>25</v>
      </c>
      <c r="L5207" s="78"/>
      <c r="M5207" s="78"/>
      <c r="N5207" s="78"/>
      <c r="P5207" s="85"/>
    </row>
    <row r="5208" spans="11:16">
      <c r="K5208" s="85">
        <v>26</v>
      </c>
      <c r="L5208" s="78"/>
      <c r="M5208" s="78"/>
      <c r="N5208" s="78"/>
      <c r="P5208" s="85"/>
    </row>
    <row r="5209" spans="11:16">
      <c r="K5209" s="85">
        <v>27</v>
      </c>
      <c r="L5209" s="78"/>
      <c r="M5209" s="78"/>
      <c r="N5209" s="78"/>
      <c r="P5209" s="85"/>
    </row>
    <row r="5210" spans="11:16">
      <c r="K5210" s="85">
        <v>28</v>
      </c>
      <c r="L5210" s="78"/>
      <c r="M5210" s="78"/>
      <c r="N5210" s="78"/>
      <c r="P5210" s="85"/>
    </row>
    <row r="5211" spans="11:16">
      <c r="K5211" s="85">
        <v>29</v>
      </c>
      <c r="L5211" s="78"/>
      <c r="M5211" s="78"/>
      <c r="N5211" s="78"/>
      <c r="P5211" s="85"/>
    </row>
    <row r="5212" spans="11:16">
      <c r="K5212" s="85">
        <v>30</v>
      </c>
      <c r="L5212" s="78"/>
      <c r="M5212" s="78"/>
      <c r="N5212" s="78"/>
      <c r="P5212" s="85"/>
    </row>
    <row r="5213" spans="11:16">
      <c r="K5213" s="85">
        <v>31</v>
      </c>
      <c r="L5213" s="78"/>
      <c r="M5213" s="78"/>
      <c r="N5213" s="78"/>
      <c r="P5213" s="85"/>
    </row>
    <row r="5214" spans="11:16">
      <c r="K5214" s="85">
        <v>32</v>
      </c>
      <c r="L5214" s="78"/>
      <c r="M5214" s="78"/>
      <c r="N5214" s="78"/>
      <c r="P5214" s="85"/>
    </row>
    <row r="5215" spans="11:16">
      <c r="K5215" s="85">
        <v>34</v>
      </c>
      <c r="L5215" s="78"/>
      <c r="M5215" s="78"/>
      <c r="N5215" s="78"/>
      <c r="P5215" s="85"/>
    </row>
    <row r="5216" spans="11:16">
      <c r="K5216" s="85">
        <v>35</v>
      </c>
      <c r="L5216" s="78"/>
      <c r="M5216" s="78"/>
      <c r="N5216" s="78"/>
      <c r="P5216" s="85"/>
    </row>
    <row r="5217" spans="11:16">
      <c r="K5217" s="85">
        <v>36</v>
      </c>
      <c r="L5217" s="78"/>
      <c r="M5217" s="78"/>
      <c r="N5217" s="78"/>
      <c r="P5217" s="85"/>
    </row>
    <row r="5218" spans="11:16">
      <c r="K5218" s="85">
        <v>27</v>
      </c>
      <c r="L5218" s="78"/>
      <c r="M5218" s="78"/>
      <c r="N5218" s="78"/>
      <c r="P5218" s="85"/>
    </row>
    <row r="5219" spans="11:16">
      <c r="K5219" s="85">
        <v>31</v>
      </c>
      <c r="L5219" s="78"/>
      <c r="M5219" s="78"/>
      <c r="N5219" s="78"/>
      <c r="P5219" s="85"/>
    </row>
    <row r="5220" spans="11:16">
      <c r="K5220" s="85">
        <v>32</v>
      </c>
      <c r="L5220" s="78"/>
      <c r="M5220" s="78"/>
      <c r="N5220" s="78"/>
      <c r="P5220" s="85"/>
    </row>
    <row r="5221" spans="11:16">
      <c r="K5221" s="85">
        <v>34</v>
      </c>
      <c r="L5221" s="78"/>
      <c r="M5221" s="78"/>
      <c r="N5221" s="78"/>
      <c r="P5221" s="85"/>
    </row>
    <row r="5222" spans="11:16">
      <c r="K5222" s="85">
        <v>35</v>
      </c>
      <c r="L5222" s="78"/>
      <c r="M5222" s="78"/>
      <c r="N5222" s="78"/>
      <c r="P5222" s="85"/>
    </row>
    <row r="5223" spans="11:16">
      <c r="K5223" s="85">
        <v>36</v>
      </c>
      <c r="L5223" s="78"/>
      <c r="M5223" s="78"/>
      <c r="N5223" s="78"/>
      <c r="P5223" s="85"/>
    </row>
    <row r="5224" spans="11:16">
      <c r="K5224" s="85">
        <v>25</v>
      </c>
      <c r="L5224" s="78"/>
      <c r="M5224" s="78"/>
      <c r="N5224" s="78"/>
      <c r="P5224" s="85"/>
    </row>
    <row r="5225" spans="11:16">
      <c r="K5225" s="85">
        <v>26</v>
      </c>
      <c r="L5225" s="78"/>
      <c r="M5225" s="78"/>
      <c r="N5225" s="78"/>
      <c r="P5225" s="85"/>
    </row>
    <row r="5226" spans="11:16">
      <c r="K5226" s="85">
        <v>27</v>
      </c>
      <c r="L5226" s="78"/>
      <c r="M5226" s="78"/>
      <c r="N5226" s="78"/>
      <c r="P5226" s="85"/>
    </row>
    <row r="5227" spans="11:16">
      <c r="K5227" s="85">
        <v>28</v>
      </c>
      <c r="L5227" s="78"/>
      <c r="M5227" s="78"/>
      <c r="N5227" s="78"/>
      <c r="P5227" s="85"/>
    </row>
    <row r="5228" spans="11:16">
      <c r="K5228" s="85">
        <v>29</v>
      </c>
      <c r="L5228" s="78"/>
      <c r="M5228" s="78"/>
      <c r="N5228" s="78"/>
      <c r="P5228" s="85"/>
    </row>
    <row r="5229" spans="11:16">
      <c r="K5229" s="85">
        <v>30</v>
      </c>
      <c r="L5229" s="78"/>
      <c r="M5229" s="78"/>
      <c r="N5229" s="78"/>
      <c r="P5229" s="85"/>
    </row>
    <row r="5230" spans="11:16">
      <c r="K5230" s="85">
        <v>31</v>
      </c>
      <c r="L5230" s="78"/>
      <c r="M5230" s="78"/>
      <c r="N5230" s="78"/>
      <c r="P5230" s="85"/>
    </row>
    <row r="5231" spans="11:16">
      <c r="K5231" s="85">
        <v>32</v>
      </c>
      <c r="L5231" s="78"/>
      <c r="M5231" s="78"/>
      <c r="N5231" s="78"/>
      <c r="P5231" s="85"/>
    </row>
    <row r="5232" spans="11:16">
      <c r="K5232" s="85">
        <v>34</v>
      </c>
      <c r="L5232" s="78"/>
      <c r="M5232" s="78"/>
      <c r="N5232" s="78"/>
      <c r="P5232" s="85"/>
    </row>
    <row r="5233" spans="11:16">
      <c r="K5233" s="85">
        <v>35</v>
      </c>
      <c r="L5233" s="78"/>
      <c r="M5233" s="78"/>
      <c r="N5233" s="78"/>
      <c r="P5233" s="85"/>
    </row>
    <row r="5234" spans="11:16">
      <c r="K5234" s="85">
        <v>25</v>
      </c>
      <c r="L5234" s="78"/>
      <c r="M5234" s="78"/>
      <c r="N5234" s="78"/>
      <c r="P5234" s="85"/>
    </row>
    <row r="5235" spans="11:16">
      <c r="K5235" s="85">
        <v>26</v>
      </c>
      <c r="L5235" s="78"/>
      <c r="M5235" s="78"/>
      <c r="N5235" s="78"/>
      <c r="P5235" s="85"/>
    </row>
    <row r="5236" spans="11:16">
      <c r="K5236" s="85">
        <v>27</v>
      </c>
      <c r="L5236" s="78"/>
      <c r="M5236" s="78"/>
      <c r="N5236" s="78"/>
      <c r="P5236" s="85"/>
    </row>
    <row r="5237" spans="11:16">
      <c r="K5237" s="85">
        <v>28</v>
      </c>
      <c r="L5237" s="78"/>
      <c r="M5237" s="78"/>
      <c r="N5237" s="78"/>
      <c r="P5237" s="85"/>
    </row>
    <row r="5238" spans="11:16">
      <c r="K5238" s="85">
        <v>29</v>
      </c>
      <c r="L5238" s="78"/>
      <c r="M5238" s="78"/>
      <c r="N5238" s="78"/>
      <c r="P5238" s="85"/>
    </row>
    <row r="5239" spans="11:16">
      <c r="K5239" s="85">
        <v>30</v>
      </c>
      <c r="L5239" s="78"/>
      <c r="M5239" s="78"/>
      <c r="N5239" s="78"/>
      <c r="P5239" s="85"/>
    </row>
    <row r="5240" spans="11:16">
      <c r="K5240" s="85">
        <v>31</v>
      </c>
      <c r="L5240" s="78"/>
      <c r="M5240" s="78"/>
      <c r="N5240" s="78"/>
      <c r="P5240" s="85"/>
    </row>
    <row r="5241" spans="11:16">
      <c r="K5241" s="85">
        <v>32</v>
      </c>
      <c r="L5241" s="78"/>
      <c r="M5241" s="78"/>
      <c r="N5241" s="78"/>
      <c r="P5241" s="85"/>
    </row>
    <row r="5242" spans="11:16">
      <c r="K5242" s="85">
        <v>33</v>
      </c>
      <c r="L5242" s="78"/>
      <c r="M5242" s="78"/>
      <c r="N5242" s="78"/>
      <c r="P5242" s="85"/>
    </row>
    <row r="5243" spans="11:16">
      <c r="K5243" s="85">
        <v>34</v>
      </c>
      <c r="L5243" s="78"/>
      <c r="M5243" s="78"/>
      <c r="N5243" s="78"/>
      <c r="P5243" s="85"/>
    </row>
    <row r="5244" spans="11:16">
      <c r="K5244" s="85">
        <v>35</v>
      </c>
      <c r="L5244" s="78"/>
      <c r="M5244" s="78"/>
      <c r="N5244" s="78"/>
      <c r="P5244" s="85"/>
    </row>
    <row r="5245" spans="11:16">
      <c r="K5245" s="85">
        <v>36</v>
      </c>
      <c r="L5245" s="78"/>
      <c r="M5245" s="78"/>
      <c r="N5245" s="78"/>
      <c r="P5245" s="85"/>
    </row>
    <row r="5246" spans="11:16">
      <c r="K5246" s="85">
        <v>25</v>
      </c>
      <c r="L5246" s="78"/>
      <c r="M5246" s="78"/>
      <c r="N5246" s="78"/>
      <c r="P5246" s="85"/>
    </row>
    <row r="5247" spans="11:16">
      <c r="K5247" s="85">
        <v>28</v>
      </c>
      <c r="L5247" s="78"/>
      <c r="M5247" s="78"/>
      <c r="N5247" s="78"/>
      <c r="P5247" s="85"/>
    </row>
    <row r="5248" spans="11:16">
      <c r="K5248" s="85">
        <v>29</v>
      </c>
      <c r="L5248" s="78"/>
      <c r="M5248" s="78"/>
      <c r="N5248" s="78"/>
      <c r="P5248" s="85"/>
    </row>
    <row r="5249" spans="11:16">
      <c r="K5249" s="85">
        <v>30</v>
      </c>
      <c r="L5249" s="78"/>
      <c r="M5249" s="78"/>
      <c r="N5249" s="78"/>
      <c r="P5249" s="85"/>
    </row>
    <row r="5250" spans="11:16">
      <c r="K5250" s="85">
        <v>31</v>
      </c>
      <c r="L5250" s="78"/>
      <c r="M5250" s="78"/>
      <c r="N5250" s="78"/>
      <c r="P5250" s="85"/>
    </row>
    <row r="5251" spans="11:16">
      <c r="K5251" s="85">
        <v>26</v>
      </c>
      <c r="L5251" s="78"/>
      <c r="M5251" s="78"/>
      <c r="N5251" s="78"/>
      <c r="P5251" s="85"/>
    </row>
    <row r="5252" spans="11:16">
      <c r="K5252" s="85">
        <v>27</v>
      </c>
      <c r="L5252" s="78"/>
      <c r="M5252" s="78"/>
      <c r="N5252" s="78"/>
      <c r="P5252" s="85"/>
    </row>
    <row r="5253" spans="11:16">
      <c r="K5253" s="85">
        <v>30</v>
      </c>
      <c r="L5253" s="78"/>
      <c r="M5253" s="78"/>
      <c r="N5253" s="78"/>
      <c r="P5253" s="85"/>
    </row>
    <row r="5254" spans="11:16">
      <c r="K5254" s="85">
        <v>34</v>
      </c>
      <c r="L5254" s="78"/>
      <c r="M5254" s="78"/>
      <c r="N5254" s="78"/>
      <c r="P5254" s="85"/>
    </row>
    <row r="5255" spans="11:16">
      <c r="K5255" s="85">
        <v>35</v>
      </c>
      <c r="L5255" s="78"/>
      <c r="M5255" s="78"/>
      <c r="N5255" s="78"/>
      <c r="P5255" s="85"/>
    </row>
    <row r="5256" spans="11:16">
      <c r="K5256" s="85">
        <v>26</v>
      </c>
      <c r="L5256" s="78"/>
      <c r="M5256" s="78"/>
      <c r="N5256" s="78"/>
      <c r="P5256" s="85"/>
    </row>
    <row r="5257" spans="11:16">
      <c r="K5257" s="85">
        <v>27</v>
      </c>
      <c r="L5257" s="78"/>
      <c r="M5257" s="78"/>
      <c r="N5257" s="78"/>
      <c r="P5257" s="85"/>
    </row>
    <row r="5258" spans="11:16">
      <c r="K5258" s="85">
        <v>30</v>
      </c>
      <c r="L5258" s="78"/>
      <c r="M5258" s="78"/>
      <c r="N5258" s="78"/>
      <c r="P5258" s="85"/>
    </row>
    <row r="5259" spans="11:16">
      <c r="K5259" s="85">
        <v>31</v>
      </c>
      <c r="L5259" s="78"/>
      <c r="M5259" s="78"/>
      <c r="N5259" s="78"/>
      <c r="P5259" s="85"/>
    </row>
    <row r="5260" spans="11:16">
      <c r="K5260" s="85">
        <v>34</v>
      </c>
      <c r="L5260" s="78"/>
      <c r="M5260" s="78"/>
      <c r="N5260" s="78"/>
      <c r="P5260" s="85"/>
    </row>
    <row r="5261" spans="11:16">
      <c r="K5261" s="85">
        <v>35</v>
      </c>
      <c r="L5261" s="78"/>
      <c r="M5261" s="78"/>
      <c r="N5261" s="78"/>
      <c r="P5261" s="85"/>
    </row>
    <row r="5262" spans="11:16">
      <c r="K5262" s="85">
        <v>25</v>
      </c>
      <c r="L5262" s="78"/>
      <c r="M5262" s="78"/>
      <c r="N5262" s="78"/>
      <c r="P5262" s="85"/>
    </row>
    <row r="5263" spans="11:16">
      <c r="K5263" s="85">
        <v>26</v>
      </c>
      <c r="L5263" s="78"/>
      <c r="M5263" s="78"/>
      <c r="N5263" s="78"/>
      <c r="P5263" s="85"/>
    </row>
    <row r="5264" spans="11:16">
      <c r="K5264" s="85">
        <v>27</v>
      </c>
      <c r="L5264" s="78"/>
      <c r="M5264" s="78"/>
      <c r="N5264" s="78"/>
      <c r="P5264" s="85"/>
    </row>
    <row r="5265" spans="11:16">
      <c r="K5265" s="85">
        <v>31</v>
      </c>
      <c r="L5265" s="78"/>
      <c r="M5265" s="78"/>
      <c r="N5265" s="78"/>
      <c r="P5265" s="85"/>
    </row>
    <row r="5266" spans="11:16">
      <c r="K5266" s="85">
        <v>31</v>
      </c>
      <c r="L5266" s="78"/>
      <c r="M5266" s="78"/>
      <c r="N5266" s="78"/>
      <c r="P5266" s="85"/>
    </row>
    <row r="5267" spans="11:16">
      <c r="K5267" s="85">
        <v>35</v>
      </c>
      <c r="L5267" s="78"/>
      <c r="M5267" s="78"/>
      <c r="N5267" s="78"/>
      <c r="P5267" s="85"/>
    </row>
    <row r="5268" spans="11:16">
      <c r="K5268" s="85">
        <v>26</v>
      </c>
      <c r="L5268" s="78"/>
      <c r="M5268" s="78"/>
      <c r="N5268" s="78"/>
      <c r="P5268" s="85"/>
    </row>
    <row r="5269" spans="11:16">
      <c r="K5269" s="85">
        <v>27</v>
      </c>
      <c r="L5269" s="78"/>
      <c r="M5269" s="78"/>
      <c r="N5269" s="78"/>
      <c r="P5269" s="85"/>
    </row>
    <row r="5270" spans="11:16">
      <c r="K5270" s="85">
        <v>30</v>
      </c>
      <c r="L5270" s="78"/>
      <c r="M5270" s="78"/>
      <c r="N5270" s="78"/>
      <c r="P5270" s="85"/>
    </row>
    <row r="5271" spans="11:16">
      <c r="K5271" s="85">
        <v>31</v>
      </c>
      <c r="L5271" s="78"/>
      <c r="M5271" s="78"/>
      <c r="N5271" s="78"/>
      <c r="P5271" s="85"/>
    </row>
    <row r="5272" spans="11:16">
      <c r="K5272" s="85">
        <v>32</v>
      </c>
      <c r="L5272" s="78"/>
      <c r="M5272" s="78"/>
      <c r="N5272" s="78"/>
      <c r="P5272" s="85"/>
    </row>
    <row r="5273" spans="11:16">
      <c r="K5273" s="85">
        <v>33</v>
      </c>
      <c r="L5273" s="78"/>
      <c r="M5273" s="78"/>
      <c r="N5273" s="78"/>
      <c r="P5273" s="85"/>
    </row>
    <row r="5274" spans="11:16">
      <c r="K5274" s="85">
        <v>34</v>
      </c>
      <c r="L5274" s="78"/>
      <c r="M5274" s="78"/>
      <c r="N5274" s="78"/>
      <c r="P5274" s="85"/>
    </row>
    <row r="5275" spans="11:16">
      <c r="K5275" s="85">
        <v>35</v>
      </c>
      <c r="L5275" s="78"/>
      <c r="M5275" s="78"/>
      <c r="N5275" s="78"/>
      <c r="P5275" s="85"/>
    </row>
    <row r="5276" spans="11:16">
      <c r="K5276" s="85">
        <v>27</v>
      </c>
      <c r="L5276" s="78"/>
      <c r="M5276" s="78"/>
      <c r="N5276" s="78"/>
      <c r="P5276" s="85"/>
    </row>
    <row r="5277" spans="11:16">
      <c r="K5277" s="85">
        <v>30</v>
      </c>
      <c r="L5277" s="78"/>
      <c r="M5277" s="78"/>
      <c r="N5277" s="78"/>
      <c r="P5277" s="85"/>
    </row>
    <row r="5278" spans="11:16">
      <c r="K5278" s="85">
        <v>32</v>
      </c>
      <c r="L5278" s="78"/>
      <c r="M5278" s="78"/>
      <c r="N5278" s="78"/>
      <c r="P5278" s="85"/>
    </row>
    <row r="5279" spans="11:16">
      <c r="K5279" s="85">
        <v>33</v>
      </c>
      <c r="L5279" s="78"/>
      <c r="M5279" s="78"/>
      <c r="N5279" s="78"/>
      <c r="P5279" s="85"/>
    </row>
    <row r="5280" spans="11:16">
      <c r="K5280" s="85">
        <v>34</v>
      </c>
      <c r="L5280" s="78"/>
      <c r="M5280" s="78"/>
      <c r="N5280" s="78"/>
      <c r="P5280" s="85"/>
    </row>
    <row r="5281" spans="11:16">
      <c r="K5281" s="85">
        <v>36</v>
      </c>
      <c r="L5281" s="78"/>
      <c r="M5281" s="78"/>
      <c r="N5281" s="78"/>
      <c r="P5281" s="85"/>
    </row>
    <row r="5282" spans="11:16">
      <c r="K5282" s="85">
        <v>26</v>
      </c>
      <c r="L5282" s="78"/>
      <c r="M5282" s="78"/>
      <c r="N5282" s="78"/>
      <c r="P5282" s="85"/>
    </row>
    <row r="5283" spans="11:16">
      <c r="K5283" s="85">
        <v>27</v>
      </c>
      <c r="L5283" s="78"/>
      <c r="M5283" s="78"/>
      <c r="N5283" s="78"/>
      <c r="P5283" s="85"/>
    </row>
    <row r="5284" spans="11:16">
      <c r="K5284" s="85">
        <v>28</v>
      </c>
      <c r="L5284" s="78"/>
      <c r="M5284" s="78"/>
      <c r="N5284" s="78"/>
      <c r="P5284" s="85"/>
    </row>
    <row r="5285" spans="11:16">
      <c r="K5285" s="85">
        <v>30</v>
      </c>
      <c r="L5285" s="78"/>
      <c r="M5285" s="78"/>
      <c r="N5285" s="78"/>
      <c r="P5285" s="85"/>
    </row>
    <row r="5286" spans="11:16">
      <c r="K5286" s="85">
        <v>33</v>
      </c>
      <c r="L5286" s="78"/>
      <c r="M5286" s="78"/>
      <c r="N5286" s="78"/>
      <c r="P5286" s="85"/>
    </row>
    <row r="5287" spans="11:16">
      <c r="K5287" s="85">
        <v>34</v>
      </c>
      <c r="L5287" s="78"/>
      <c r="M5287" s="78"/>
      <c r="N5287" s="78"/>
      <c r="P5287" s="85"/>
    </row>
    <row r="5288" spans="11:16">
      <c r="K5288" s="85">
        <v>36</v>
      </c>
      <c r="L5288" s="78"/>
      <c r="M5288" s="78"/>
      <c r="N5288" s="78"/>
      <c r="P5288" s="85"/>
    </row>
    <row r="5289" spans="11:16">
      <c r="K5289" s="85">
        <v>26</v>
      </c>
      <c r="L5289" s="78"/>
      <c r="M5289" s="78"/>
      <c r="N5289" s="78"/>
      <c r="P5289" s="85"/>
    </row>
    <row r="5290" spans="11:16">
      <c r="K5290" s="85">
        <v>27</v>
      </c>
      <c r="L5290" s="78"/>
      <c r="M5290" s="78"/>
      <c r="N5290" s="78"/>
      <c r="P5290" s="85"/>
    </row>
    <row r="5291" spans="11:16">
      <c r="K5291" s="85">
        <v>32</v>
      </c>
      <c r="L5291" s="78"/>
      <c r="M5291" s="78"/>
      <c r="N5291" s="78"/>
      <c r="P5291" s="85"/>
    </row>
    <row r="5292" spans="11:16">
      <c r="K5292" s="85">
        <v>33</v>
      </c>
      <c r="L5292" s="78"/>
      <c r="M5292" s="78"/>
      <c r="N5292" s="78"/>
      <c r="P5292" s="85"/>
    </row>
    <row r="5293" spans="11:16">
      <c r="K5293" s="85">
        <v>34</v>
      </c>
      <c r="L5293" s="78"/>
      <c r="M5293" s="78"/>
      <c r="N5293" s="78"/>
      <c r="P5293" s="85"/>
    </row>
    <row r="5294" spans="11:16">
      <c r="K5294" s="85">
        <v>35</v>
      </c>
      <c r="L5294" s="78"/>
      <c r="M5294" s="78"/>
      <c r="N5294" s="78"/>
      <c r="P5294" s="85"/>
    </row>
    <row r="5295" spans="11:16">
      <c r="K5295" s="85">
        <v>26</v>
      </c>
      <c r="L5295" s="78"/>
      <c r="M5295" s="78"/>
      <c r="N5295" s="78"/>
      <c r="P5295" s="85"/>
    </row>
    <row r="5296" spans="11:16">
      <c r="K5296" s="85">
        <v>27</v>
      </c>
      <c r="L5296" s="78"/>
      <c r="M5296" s="78"/>
      <c r="N5296" s="78"/>
      <c r="P5296" s="85"/>
    </row>
    <row r="5297" spans="11:16">
      <c r="K5297" s="85">
        <v>28</v>
      </c>
      <c r="L5297" s="78"/>
      <c r="M5297" s="78"/>
      <c r="N5297" s="78"/>
      <c r="P5297" s="85"/>
    </row>
    <row r="5298" spans="11:16">
      <c r="K5298" s="85">
        <v>31</v>
      </c>
      <c r="L5298" s="78"/>
      <c r="M5298" s="78"/>
      <c r="N5298" s="78"/>
      <c r="P5298" s="85"/>
    </row>
    <row r="5299" spans="11:16">
      <c r="K5299" s="85">
        <v>32</v>
      </c>
      <c r="L5299" s="78"/>
      <c r="M5299" s="78"/>
      <c r="N5299" s="78"/>
      <c r="P5299" s="85"/>
    </row>
    <row r="5300" spans="11:16">
      <c r="K5300" s="85">
        <v>34</v>
      </c>
      <c r="L5300" s="78"/>
      <c r="M5300" s="78"/>
      <c r="N5300" s="78"/>
      <c r="P5300" s="85"/>
    </row>
    <row r="5301" spans="11:16">
      <c r="K5301" s="85">
        <v>35</v>
      </c>
      <c r="L5301" s="78"/>
      <c r="M5301" s="78"/>
      <c r="N5301" s="78"/>
      <c r="P5301" s="85"/>
    </row>
    <row r="5302" spans="11:16">
      <c r="K5302" s="85">
        <v>25</v>
      </c>
      <c r="L5302" s="78"/>
      <c r="M5302" s="78"/>
      <c r="N5302" s="78"/>
      <c r="P5302" s="85"/>
    </row>
    <row r="5303" spans="11:16">
      <c r="K5303" s="85">
        <v>27</v>
      </c>
      <c r="L5303" s="78"/>
      <c r="M5303" s="78"/>
      <c r="N5303" s="78"/>
      <c r="P5303" s="85"/>
    </row>
    <row r="5304" spans="11:16">
      <c r="K5304" s="85">
        <v>28</v>
      </c>
      <c r="L5304" s="78"/>
      <c r="M5304" s="78"/>
      <c r="N5304" s="78"/>
      <c r="P5304" s="85"/>
    </row>
    <row r="5305" spans="11:16">
      <c r="K5305" s="85">
        <v>30</v>
      </c>
      <c r="L5305" s="78"/>
      <c r="M5305" s="78"/>
      <c r="N5305" s="78"/>
      <c r="P5305" s="85"/>
    </row>
    <row r="5306" spans="11:16">
      <c r="K5306" s="85">
        <v>31</v>
      </c>
      <c r="L5306" s="78"/>
      <c r="M5306" s="78"/>
      <c r="N5306" s="78"/>
      <c r="P5306" s="85"/>
    </row>
    <row r="5307" spans="11:16">
      <c r="K5307" s="85">
        <v>32</v>
      </c>
      <c r="L5307" s="78"/>
      <c r="M5307" s="78"/>
      <c r="N5307" s="78"/>
      <c r="P5307" s="85"/>
    </row>
    <row r="5308" spans="11:16">
      <c r="K5308" s="85">
        <v>33</v>
      </c>
      <c r="L5308" s="78"/>
      <c r="M5308" s="78"/>
      <c r="N5308" s="78"/>
      <c r="P5308" s="85"/>
    </row>
    <row r="5309" spans="11:16">
      <c r="K5309" s="85">
        <v>34</v>
      </c>
      <c r="L5309" s="78"/>
      <c r="M5309" s="78"/>
      <c r="N5309" s="78"/>
      <c r="P5309" s="85"/>
    </row>
    <row r="5310" spans="11:16">
      <c r="K5310" s="85">
        <v>35</v>
      </c>
      <c r="L5310" s="78"/>
      <c r="M5310" s="78"/>
      <c r="N5310" s="78"/>
      <c r="P5310" s="85"/>
    </row>
    <row r="5311" spans="11:16">
      <c r="K5311" s="85">
        <v>36</v>
      </c>
      <c r="L5311" s="78"/>
      <c r="M5311" s="78"/>
      <c r="N5311" s="78"/>
      <c r="P5311" s="85"/>
    </row>
    <row r="5312" spans="11:16">
      <c r="K5312" s="85">
        <v>27</v>
      </c>
      <c r="L5312" s="78"/>
      <c r="M5312" s="78"/>
      <c r="N5312" s="78"/>
      <c r="P5312" s="85"/>
    </row>
    <row r="5313" spans="11:16">
      <c r="K5313" s="85">
        <v>30</v>
      </c>
      <c r="L5313" s="78"/>
      <c r="M5313" s="78"/>
      <c r="N5313" s="78"/>
      <c r="P5313" s="85"/>
    </row>
    <row r="5314" spans="11:16">
      <c r="K5314" s="85">
        <v>25</v>
      </c>
      <c r="L5314" s="78"/>
      <c r="M5314" s="78"/>
      <c r="N5314" s="78"/>
      <c r="P5314" s="85"/>
    </row>
    <row r="5315" spans="11:16">
      <c r="K5315" s="85">
        <v>31</v>
      </c>
      <c r="L5315" s="78"/>
      <c r="M5315" s="78"/>
      <c r="N5315" s="78"/>
      <c r="P5315" s="85"/>
    </row>
    <row r="5316" spans="11:16">
      <c r="K5316" s="85">
        <v>25</v>
      </c>
      <c r="L5316" s="78"/>
      <c r="M5316" s="78"/>
      <c r="N5316" s="78"/>
      <c r="P5316" s="85"/>
    </row>
    <row r="5317" spans="11:16">
      <c r="K5317" s="85">
        <v>26</v>
      </c>
      <c r="L5317" s="78"/>
      <c r="M5317" s="78"/>
      <c r="N5317" s="78"/>
      <c r="P5317" s="85"/>
    </row>
    <row r="5318" spans="11:16">
      <c r="K5318" s="85">
        <v>27</v>
      </c>
      <c r="L5318" s="78"/>
      <c r="M5318" s="78"/>
      <c r="N5318" s="78"/>
      <c r="P5318" s="85"/>
    </row>
    <row r="5319" spans="11:16">
      <c r="K5319" s="85">
        <v>28</v>
      </c>
      <c r="L5319" s="78"/>
      <c r="M5319" s="78"/>
      <c r="N5319" s="78"/>
      <c r="P5319" s="85"/>
    </row>
    <row r="5320" spans="11:16">
      <c r="K5320" s="85">
        <v>29</v>
      </c>
      <c r="L5320" s="78"/>
      <c r="M5320" s="78"/>
      <c r="N5320" s="78"/>
      <c r="P5320" s="85"/>
    </row>
    <row r="5321" spans="11:16">
      <c r="K5321" s="85">
        <v>30</v>
      </c>
      <c r="L5321" s="78"/>
      <c r="M5321" s="78"/>
      <c r="N5321" s="78"/>
      <c r="P5321" s="85"/>
    </row>
    <row r="5322" spans="11:16">
      <c r="K5322" s="85">
        <v>31</v>
      </c>
      <c r="L5322" s="78"/>
      <c r="M5322" s="78"/>
      <c r="N5322" s="78"/>
      <c r="P5322" s="85"/>
    </row>
    <row r="5323" spans="11:16">
      <c r="K5323" s="85">
        <v>32</v>
      </c>
      <c r="L5323" s="78"/>
      <c r="M5323" s="78"/>
      <c r="N5323" s="78"/>
      <c r="P5323" s="85"/>
    </row>
    <row r="5324" spans="11:16">
      <c r="K5324" s="85">
        <v>33</v>
      </c>
      <c r="L5324" s="78"/>
      <c r="M5324" s="78"/>
      <c r="N5324" s="78"/>
      <c r="P5324" s="85"/>
    </row>
    <row r="5325" spans="11:16">
      <c r="K5325" s="85">
        <v>34</v>
      </c>
      <c r="L5325" s="78"/>
      <c r="M5325" s="78"/>
      <c r="N5325" s="78"/>
      <c r="P5325" s="85"/>
    </row>
    <row r="5326" spans="11:16">
      <c r="K5326" s="85">
        <v>35</v>
      </c>
      <c r="L5326" s="78"/>
      <c r="M5326" s="78"/>
      <c r="N5326" s="78"/>
      <c r="P5326" s="85"/>
    </row>
    <row r="5327" spans="11:16">
      <c r="K5327" s="85">
        <v>36</v>
      </c>
      <c r="L5327" s="78"/>
      <c r="M5327" s="78"/>
      <c r="N5327" s="78"/>
      <c r="P5327" s="85"/>
    </row>
    <row r="5328" spans="11:16">
      <c r="K5328" s="85">
        <v>25</v>
      </c>
      <c r="L5328" s="78"/>
      <c r="M5328" s="78"/>
      <c r="N5328" s="78"/>
      <c r="P5328" s="85"/>
    </row>
    <row r="5329" spans="11:16">
      <c r="K5329" s="85">
        <v>26</v>
      </c>
      <c r="L5329" s="78"/>
      <c r="M5329" s="78"/>
      <c r="N5329" s="78"/>
      <c r="P5329" s="85"/>
    </row>
    <row r="5330" spans="11:16">
      <c r="K5330" s="85">
        <v>27</v>
      </c>
      <c r="L5330" s="78"/>
      <c r="M5330" s="78"/>
      <c r="N5330" s="78"/>
      <c r="P5330" s="85"/>
    </row>
    <row r="5331" spans="11:16">
      <c r="K5331" s="85">
        <v>28</v>
      </c>
      <c r="L5331" s="78"/>
      <c r="M5331" s="78"/>
      <c r="N5331" s="78"/>
      <c r="P5331" s="85"/>
    </row>
    <row r="5332" spans="11:16">
      <c r="K5332" s="85">
        <v>29</v>
      </c>
      <c r="L5332" s="78"/>
      <c r="M5332" s="78"/>
      <c r="N5332" s="78"/>
      <c r="P5332" s="85"/>
    </row>
    <row r="5333" spans="11:16">
      <c r="K5333" s="85">
        <v>30</v>
      </c>
      <c r="L5333" s="78"/>
      <c r="M5333" s="78"/>
      <c r="N5333" s="78"/>
      <c r="P5333" s="85"/>
    </row>
    <row r="5334" spans="11:16">
      <c r="K5334" s="85">
        <v>31</v>
      </c>
      <c r="L5334" s="78"/>
      <c r="M5334" s="78"/>
      <c r="N5334" s="78"/>
      <c r="P5334" s="85"/>
    </row>
    <row r="5335" spans="11:16">
      <c r="K5335" s="85">
        <v>34</v>
      </c>
      <c r="L5335" s="78"/>
      <c r="M5335" s="78"/>
      <c r="N5335" s="78"/>
      <c r="P5335" s="85"/>
    </row>
    <row r="5336" spans="11:16">
      <c r="K5336" s="85">
        <v>35</v>
      </c>
      <c r="L5336" s="78"/>
      <c r="M5336" s="78"/>
      <c r="N5336" s="78"/>
      <c r="P5336" s="85"/>
    </row>
    <row r="5337" spans="11:16">
      <c r="K5337" s="85">
        <v>36</v>
      </c>
      <c r="L5337" s="78"/>
      <c r="M5337" s="78"/>
      <c r="N5337" s="78"/>
      <c r="P5337" s="85"/>
    </row>
    <row r="5338" spans="11:16">
      <c r="K5338" s="85">
        <v>25</v>
      </c>
      <c r="L5338" s="78"/>
      <c r="M5338" s="78"/>
      <c r="N5338" s="78"/>
      <c r="P5338" s="85"/>
    </row>
    <row r="5339" spans="11:16">
      <c r="K5339" s="85">
        <v>27</v>
      </c>
      <c r="L5339" s="78"/>
      <c r="M5339" s="78"/>
      <c r="N5339" s="78"/>
      <c r="P5339" s="85"/>
    </row>
    <row r="5340" spans="11:16">
      <c r="K5340" s="85">
        <v>28</v>
      </c>
      <c r="L5340" s="78"/>
      <c r="M5340" s="78"/>
      <c r="N5340" s="78"/>
      <c r="P5340" s="85"/>
    </row>
    <row r="5341" spans="11:16">
      <c r="K5341" s="85">
        <v>29</v>
      </c>
      <c r="L5341" s="78"/>
      <c r="M5341" s="78"/>
      <c r="N5341" s="78"/>
      <c r="P5341" s="85"/>
    </row>
    <row r="5342" spans="11:16">
      <c r="K5342" s="85">
        <v>30</v>
      </c>
      <c r="L5342" s="78"/>
      <c r="M5342" s="78"/>
      <c r="N5342" s="78"/>
      <c r="P5342" s="85"/>
    </row>
    <row r="5343" spans="11:16">
      <c r="K5343" s="85">
        <v>31</v>
      </c>
      <c r="L5343" s="78"/>
      <c r="M5343" s="78"/>
      <c r="N5343" s="78"/>
      <c r="P5343" s="85"/>
    </row>
    <row r="5344" spans="11:16">
      <c r="K5344" s="85">
        <v>32</v>
      </c>
      <c r="L5344" s="78"/>
      <c r="M5344" s="78"/>
      <c r="N5344" s="78"/>
      <c r="P5344" s="85"/>
    </row>
    <row r="5345" spans="11:16">
      <c r="K5345" s="85">
        <v>34</v>
      </c>
      <c r="L5345" s="78"/>
      <c r="M5345" s="78"/>
      <c r="N5345" s="78"/>
      <c r="P5345" s="85"/>
    </row>
    <row r="5346" spans="11:16">
      <c r="K5346" s="85">
        <v>35</v>
      </c>
      <c r="L5346" s="78"/>
      <c r="M5346" s="78"/>
      <c r="N5346" s="78"/>
      <c r="P5346" s="85"/>
    </row>
    <row r="5347" spans="11:16">
      <c r="K5347" s="85">
        <v>29</v>
      </c>
      <c r="L5347" s="78"/>
      <c r="M5347" s="78"/>
      <c r="N5347" s="78"/>
      <c r="P5347" s="85"/>
    </row>
    <row r="5348" spans="11:16">
      <c r="K5348" s="85">
        <v>31</v>
      </c>
      <c r="L5348" s="78"/>
      <c r="M5348" s="78"/>
      <c r="N5348" s="78"/>
      <c r="P5348" s="85"/>
    </row>
    <row r="5349" spans="11:16">
      <c r="K5349" s="85">
        <v>27</v>
      </c>
      <c r="L5349" s="78"/>
      <c r="M5349" s="78"/>
      <c r="N5349" s="78"/>
      <c r="P5349" s="85"/>
    </row>
    <row r="5350" spans="11:16">
      <c r="K5350" s="85">
        <v>30</v>
      </c>
      <c r="L5350" s="78"/>
      <c r="M5350" s="78"/>
      <c r="N5350" s="78"/>
      <c r="P5350" s="85"/>
    </row>
    <row r="5351" spans="11:16">
      <c r="K5351" s="85">
        <v>31</v>
      </c>
      <c r="L5351" s="78"/>
      <c r="M5351" s="78"/>
      <c r="N5351" s="78"/>
      <c r="P5351" s="85"/>
    </row>
    <row r="5352" spans="11:16">
      <c r="K5352" s="85">
        <v>32</v>
      </c>
      <c r="L5352" s="78"/>
      <c r="M5352" s="78"/>
      <c r="N5352" s="78"/>
      <c r="P5352" s="85"/>
    </row>
    <row r="5353" spans="11:16">
      <c r="K5353" s="85">
        <v>33</v>
      </c>
      <c r="L5353" s="78"/>
      <c r="M5353" s="78"/>
      <c r="N5353" s="78"/>
      <c r="P5353" s="85"/>
    </row>
    <row r="5354" spans="11:16">
      <c r="K5354" s="85">
        <v>35</v>
      </c>
      <c r="L5354" s="78"/>
      <c r="M5354" s="78"/>
      <c r="N5354" s="78"/>
      <c r="P5354" s="85"/>
    </row>
    <row r="5355" spans="11:16">
      <c r="K5355" s="85">
        <v>36</v>
      </c>
      <c r="L5355" s="78"/>
      <c r="M5355" s="78"/>
      <c r="N5355" s="78"/>
      <c r="P5355" s="85"/>
    </row>
    <row r="5356" spans="11:16">
      <c r="K5356" s="85">
        <v>25</v>
      </c>
      <c r="L5356" s="78"/>
      <c r="M5356" s="78"/>
      <c r="N5356" s="78"/>
      <c r="P5356" s="85"/>
    </row>
    <row r="5357" spans="11:16">
      <c r="K5357" s="85">
        <v>26</v>
      </c>
      <c r="L5357" s="78"/>
      <c r="M5357" s="78"/>
      <c r="N5357" s="78"/>
      <c r="P5357" s="85"/>
    </row>
    <row r="5358" spans="11:16">
      <c r="K5358" s="85">
        <v>27</v>
      </c>
      <c r="L5358" s="78"/>
      <c r="M5358" s="78"/>
      <c r="N5358" s="78"/>
      <c r="P5358" s="85"/>
    </row>
    <row r="5359" spans="11:16">
      <c r="K5359" s="85">
        <v>30</v>
      </c>
      <c r="L5359" s="78"/>
      <c r="M5359" s="78"/>
      <c r="N5359" s="78"/>
      <c r="P5359" s="85"/>
    </row>
    <row r="5360" spans="11:16">
      <c r="K5360" s="85">
        <v>32</v>
      </c>
      <c r="L5360" s="78"/>
      <c r="M5360" s="78"/>
      <c r="N5360" s="78"/>
      <c r="P5360" s="85"/>
    </row>
    <row r="5361" spans="11:16">
      <c r="K5361" s="85">
        <v>33</v>
      </c>
      <c r="L5361" s="78"/>
      <c r="M5361" s="78"/>
      <c r="N5361" s="78"/>
      <c r="P5361" s="85"/>
    </row>
    <row r="5362" spans="11:16">
      <c r="K5362" s="85">
        <v>34</v>
      </c>
      <c r="L5362" s="78"/>
      <c r="M5362" s="78"/>
      <c r="N5362" s="78"/>
      <c r="P5362" s="85"/>
    </row>
    <row r="5363" spans="11:16">
      <c r="K5363" s="85">
        <v>35</v>
      </c>
      <c r="L5363" s="78"/>
      <c r="M5363" s="78"/>
      <c r="N5363" s="78"/>
      <c r="P5363" s="85"/>
    </row>
    <row r="5364" spans="11:16">
      <c r="K5364" s="85">
        <v>34</v>
      </c>
      <c r="L5364" s="78"/>
      <c r="M5364" s="78"/>
      <c r="N5364" s="78"/>
      <c r="P5364" s="85"/>
    </row>
    <row r="5365" spans="11:16">
      <c r="K5365" s="85">
        <v>25</v>
      </c>
      <c r="L5365" s="78"/>
      <c r="M5365" s="78"/>
      <c r="N5365" s="78"/>
      <c r="P5365" s="85"/>
    </row>
    <row r="5366" spans="11:16">
      <c r="K5366" s="85">
        <v>27</v>
      </c>
      <c r="L5366" s="78"/>
      <c r="M5366" s="78"/>
      <c r="N5366" s="78"/>
      <c r="P5366" s="85"/>
    </row>
    <row r="5367" spans="11:16">
      <c r="K5367" s="85">
        <v>31</v>
      </c>
      <c r="L5367" s="78"/>
      <c r="M5367" s="78"/>
      <c r="N5367" s="78"/>
      <c r="P5367" s="85"/>
    </row>
    <row r="5368" spans="11:16">
      <c r="K5368" s="85">
        <v>32</v>
      </c>
      <c r="L5368" s="78"/>
      <c r="M5368" s="78"/>
      <c r="N5368" s="78"/>
      <c r="P5368" s="85"/>
    </row>
    <row r="5369" spans="11:16">
      <c r="K5369" s="85">
        <v>33</v>
      </c>
      <c r="L5369" s="78"/>
      <c r="M5369" s="78"/>
      <c r="N5369" s="78"/>
      <c r="P5369" s="85"/>
    </row>
    <row r="5370" spans="11:16">
      <c r="K5370" s="85">
        <v>34</v>
      </c>
      <c r="L5370" s="78"/>
      <c r="M5370" s="78"/>
      <c r="N5370" s="78"/>
      <c r="P5370" s="85"/>
    </row>
    <row r="5371" spans="11:16">
      <c r="K5371" s="85">
        <v>35</v>
      </c>
      <c r="L5371" s="78"/>
      <c r="M5371" s="78"/>
      <c r="N5371" s="78"/>
      <c r="P5371" s="85"/>
    </row>
    <row r="5372" spans="11:16">
      <c r="K5372" s="85">
        <v>36</v>
      </c>
      <c r="L5372" s="78"/>
      <c r="M5372" s="78"/>
      <c r="N5372" s="78"/>
      <c r="P5372" s="85"/>
    </row>
    <row r="5373" spans="11:16">
      <c r="K5373" s="85">
        <v>25</v>
      </c>
      <c r="L5373" s="78"/>
      <c r="M5373" s="78"/>
      <c r="N5373" s="78"/>
      <c r="P5373" s="85"/>
    </row>
    <row r="5374" spans="11:16">
      <c r="K5374" s="85">
        <v>26</v>
      </c>
      <c r="L5374" s="78"/>
      <c r="M5374" s="78"/>
      <c r="N5374" s="78"/>
      <c r="P5374" s="85"/>
    </row>
    <row r="5375" spans="11:16">
      <c r="K5375" s="85">
        <v>27</v>
      </c>
      <c r="L5375" s="78"/>
      <c r="M5375" s="78"/>
      <c r="N5375" s="78"/>
      <c r="P5375" s="85"/>
    </row>
    <row r="5376" spans="11:16">
      <c r="K5376" s="85">
        <v>28</v>
      </c>
      <c r="L5376" s="78"/>
      <c r="M5376" s="78"/>
      <c r="N5376" s="78"/>
      <c r="P5376" s="85"/>
    </row>
    <row r="5377" spans="11:16">
      <c r="K5377" s="85">
        <v>29</v>
      </c>
      <c r="L5377" s="78"/>
      <c r="M5377" s="78"/>
      <c r="N5377" s="78"/>
      <c r="P5377" s="85"/>
    </row>
    <row r="5378" spans="11:16">
      <c r="K5378" s="85">
        <v>30</v>
      </c>
      <c r="L5378" s="78"/>
      <c r="M5378" s="78"/>
      <c r="N5378" s="78"/>
      <c r="P5378" s="85"/>
    </row>
    <row r="5379" spans="11:16">
      <c r="K5379" s="85">
        <v>31</v>
      </c>
      <c r="L5379" s="78"/>
      <c r="M5379" s="78"/>
      <c r="N5379" s="78"/>
      <c r="P5379" s="85"/>
    </row>
    <row r="5380" spans="11:16">
      <c r="K5380" s="85">
        <v>32</v>
      </c>
      <c r="L5380" s="78"/>
      <c r="M5380" s="78"/>
      <c r="N5380" s="78"/>
      <c r="P5380" s="85"/>
    </row>
    <row r="5381" spans="11:16">
      <c r="K5381" s="85">
        <v>33</v>
      </c>
      <c r="L5381" s="78"/>
      <c r="M5381" s="78"/>
      <c r="N5381" s="78"/>
      <c r="P5381" s="85"/>
    </row>
    <row r="5382" spans="11:16">
      <c r="K5382" s="85">
        <v>34</v>
      </c>
      <c r="L5382" s="78"/>
      <c r="M5382" s="78"/>
      <c r="N5382" s="78"/>
      <c r="P5382" s="85"/>
    </row>
    <row r="5383" spans="11:16">
      <c r="K5383" s="85">
        <v>35</v>
      </c>
      <c r="L5383" s="78"/>
      <c r="M5383" s="78"/>
      <c r="N5383" s="78"/>
      <c r="P5383" s="85"/>
    </row>
    <row r="5384" spans="11:16">
      <c r="K5384" s="85">
        <v>25</v>
      </c>
      <c r="L5384" s="78"/>
      <c r="M5384" s="78"/>
      <c r="N5384" s="78"/>
      <c r="P5384" s="85"/>
    </row>
    <row r="5385" spans="11:16">
      <c r="K5385" s="85">
        <v>26</v>
      </c>
      <c r="L5385" s="78"/>
      <c r="M5385" s="78"/>
      <c r="N5385" s="78"/>
      <c r="P5385" s="85"/>
    </row>
    <row r="5386" spans="11:16">
      <c r="K5386" s="85">
        <v>27</v>
      </c>
      <c r="L5386" s="78"/>
      <c r="M5386" s="78"/>
      <c r="N5386" s="78"/>
      <c r="P5386" s="85"/>
    </row>
    <row r="5387" spans="11:16">
      <c r="K5387" s="85">
        <v>28</v>
      </c>
      <c r="L5387" s="78"/>
      <c r="M5387" s="78"/>
      <c r="N5387" s="78"/>
      <c r="P5387" s="85"/>
    </row>
    <row r="5388" spans="11:16">
      <c r="K5388" s="85">
        <v>30</v>
      </c>
      <c r="L5388" s="78"/>
      <c r="M5388" s="78"/>
      <c r="N5388" s="78"/>
      <c r="P5388" s="85"/>
    </row>
    <row r="5389" spans="11:16">
      <c r="K5389" s="85">
        <v>31</v>
      </c>
      <c r="L5389" s="78"/>
      <c r="M5389" s="78"/>
      <c r="N5389" s="78"/>
      <c r="P5389" s="85"/>
    </row>
    <row r="5390" spans="11:16">
      <c r="K5390" s="85">
        <v>32</v>
      </c>
      <c r="L5390" s="78"/>
      <c r="M5390" s="78"/>
      <c r="N5390" s="78"/>
      <c r="P5390" s="85"/>
    </row>
    <row r="5391" spans="11:16">
      <c r="K5391" s="85">
        <v>33</v>
      </c>
      <c r="L5391" s="78"/>
      <c r="M5391" s="78"/>
      <c r="N5391" s="78"/>
      <c r="P5391" s="85"/>
    </row>
    <row r="5392" spans="11:16">
      <c r="K5392" s="85">
        <v>34</v>
      </c>
      <c r="L5392" s="78"/>
      <c r="M5392" s="78"/>
      <c r="N5392" s="78"/>
      <c r="P5392" s="85"/>
    </row>
    <row r="5393" spans="11:16">
      <c r="K5393" s="85">
        <v>35</v>
      </c>
      <c r="L5393" s="78"/>
      <c r="M5393" s="78"/>
      <c r="N5393" s="78"/>
      <c r="P5393" s="85"/>
    </row>
    <row r="5394" spans="11:16">
      <c r="K5394" s="85">
        <v>25</v>
      </c>
      <c r="L5394" s="78"/>
      <c r="M5394" s="78"/>
      <c r="N5394" s="78"/>
      <c r="P5394" s="85"/>
    </row>
    <row r="5395" spans="11:16">
      <c r="K5395" s="85">
        <v>26</v>
      </c>
      <c r="L5395" s="78"/>
      <c r="M5395" s="78"/>
      <c r="N5395" s="78"/>
      <c r="P5395" s="85"/>
    </row>
    <row r="5396" spans="11:16">
      <c r="K5396" s="85">
        <v>27</v>
      </c>
      <c r="L5396" s="78"/>
      <c r="M5396" s="78"/>
      <c r="N5396" s="78"/>
      <c r="P5396" s="85"/>
    </row>
    <row r="5397" spans="11:16">
      <c r="K5397" s="85">
        <v>28</v>
      </c>
      <c r="L5397" s="78"/>
      <c r="M5397" s="78"/>
      <c r="N5397" s="78"/>
      <c r="P5397" s="85"/>
    </row>
    <row r="5398" spans="11:16">
      <c r="K5398" s="85">
        <v>29</v>
      </c>
      <c r="L5398" s="78"/>
      <c r="M5398" s="78"/>
      <c r="N5398" s="78"/>
      <c r="P5398" s="85"/>
    </row>
    <row r="5399" spans="11:16">
      <c r="K5399" s="85">
        <v>30</v>
      </c>
      <c r="L5399" s="78"/>
      <c r="M5399" s="78"/>
      <c r="N5399" s="78"/>
      <c r="P5399" s="85"/>
    </row>
    <row r="5400" spans="11:16">
      <c r="K5400" s="85">
        <v>31</v>
      </c>
      <c r="L5400" s="78"/>
      <c r="M5400" s="78"/>
      <c r="N5400" s="78"/>
      <c r="P5400" s="85"/>
    </row>
    <row r="5401" spans="11:16">
      <c r="K5401" s="85">
        <v>32</v>
      </c>
      <c r="L5401" s="78"/>
      <c r="M5401" s="78"/>
      <c r="N5401" s="78"/>
      <c r="P5401" s="85"/>
    </row>
    <row r="5402" spans="11:16">
      <c r="K5402" s="85">
        <v>33</v>
      </c>
      <c r="L5402" s="78"/>
      <c r="M5402" s="78"/>
      <c r="N5402" s="78"/>
      <c r="P5402" s="85"/>
    </row>
    <row r="5403" spans="11:16">
      <c r="K5403" s="85">
        <v>34</v>
      </c>
      <c r="L5403" s="78"/>
      <c r="M5403" s="78"/>
      <c r="N5403" s="78"/>
      <c r="P5403" s="85"/>
    </row>
    <row r="5404" spans="11:16">
      <c r="K5404" s="85">
        <v>35</v>
      </c>
      <c r="L5404" s="78"/>
      <c r="M5404" s="78"/>
      <c r="N5404" s="78"/>
      <c r="P5404" s="85"/>
    </row>
    <row r="5405" spans="11:16">
      <c r="K5405" s="85">
        <v>36</v>
      </c>
      <c r="L5405" s="78"/>
      <c r="M5405" s="78"/>
      <c r="N5405" s="78"/>
      <c r="P5405" s="85"/>
    </row>
    <row r="5406" spans="11:16">
      <c r="K5406" s="85">
        <v>26</v>
      </c>
      <c r="L5406" s="78"/>
      <c r="M5406" s="78"/>
      <c r="N5406" s="78"/>
      <c r="P5406" s="85"/>
    </row>
    <row r="5407" spans="11:16">
      <c r="K5407" s="85">
        <v>27</v>
      </c>
      <c r="L5407" s="78"/>
      <c r="M5407" s="78"/>
      <c r="N5407" s="78"/>
      <c r="P5407" s="85"/>
    </row>
    <row r="5408" spans="11:16">
      <c r="K5408" s="85">
        <v>31</v>
      </c>
      <c r="L5408" s="78"/>
      <c r="M5408" s="78"/>
      <c r="N5408" s="78"/>
      <c r="P5408" s="85"/>
    </row>
    <row r="5409" spans="11:16">
      <c r="K5409" s="85">
        <v>34</v>
      </c>
      <c r="L5409" s="78"/>
      <c r="M5409" s="78"/>
      <c r="N5409" s="78"/>
      <c r="P5409" s="85"/>
    </row>
    <row r="5410" spans="11:16">
      <c r="K5410" s="85">
        <v>25</v>
      </c>
      <c r="L5410" s="78"/>
      <c r="M5410" s="78"/>
      <c r="N5410" s="78"/>
      <c r="P5410" s="85"/>
    </row>
    <row r="5411" spans="11:16">
      <c r="K5411" s="85">
        <v>26</v>
      </c>
      <c r="L5411" s="78"/>
      <c r="M5411" s="78"/>
      <c r="N5411" s="78"/>
      <c r="P5411" s="85"/>
    </row>
    <row r="5412" spans="11:16">
      <c r="K5412" s="85">
        <v>27</v>
      </c>
      <c r="L5412" s="78"/>
      <c r="M5412" s="78"/>
      <c r="N5412" s="78"/>
      <c r="P5412" s="85"/>
    </row>
    <row r="5413" spans="11:16">
      <c r="K5413" s="85">
        <v>28</v>
      </c>
      <c r="L5413" s="78"/>
      <c r="M5413" s="78"/>
      <c r="N5413" s="78"/>
      <c r="P5413" s="85"/>
    </row>
    <row r="5414" spans="11:16">
      <c r="K5414" s="85">
        <v>30</v>
      </c>
      <c r="L5414" s="78"/>
      <c r="M5414" s="78"/>
      <c r="N5414" s="78"/>
      <c r="P5414" s="85"/>
    </row>
    <row r="5415" spans="11:16">
      <c r="K5415" s="85">
        <v>31</v>
      </c>
      <c r="L5415" s="78"/>
      <c r="M5415" s="78"/>
      <c r="N5415" s="78"/>
      <c r="P5415" s="85"/>
    </row>
    <row r="5416" spans="11:16">
      <c r="K5416" s="85">
        <v>32</v>
      </c>
      <c r="L5416" s="78"/>
      <c r="M5416" s="78"/>
      <c r="N5416" s="78"/>
      <c r="P5416" s="85"/>
    </row>
    <row r="5417" spans="11:16">
      <c r="K5417" s="85">
        <v>34</v>
      </c>
      <c r="L5417" s="78"/>
      <c r="M5417" s="78"/>
      <c r="N5417" s="78"/>
      <c r="P5417" s="85"/>
    </row>
    <row r="5418" spans="11:16">
      <c r="K5418" s="85">
        <v>35</v>
      </c>
      <c r="L5418" s="78"/>
      <c r="M5418" s="78"/>
      <c r="N5418" s="78"/>
      <c r="P5418" s="85"/>
    </row>
    <row r="5419" spans="11:16">
      <c r="K5419" s="85">
        <v>27</v>
      </c>
      <c r="L5419" s="78"/>
      <c r="M5419" s="78"/>
      <c r="N5419" s="78"/>
      <c r="P5419" s="85"/>
    </row>
    <row r="5420" spans="11:16">
      <c r="K5420" s="85">
        <v>30</v>
      </c>
      <c r="L5420" s="78"/>
      <c r="M5420" s="78"/>
      <c r="N5420" s="78"/>
      <c r="P5420" s="85"/>
    </row>
    <row r="5421" spans="11:16">
      <c r="K5421" s="85">
        <v>34</v>
      </c>
      <c r="L5421" s="78"/>
      <c r="M5421" s="78"/>
      <c r="N5421" s="78"/>
      <c r="P5421" s="85"/>
    </row>
    <row r="5422" spans="11:16">
      <c r="K5422" s="85">
        <v>25</v>
      </c>
      <c r="L5422" s="78"/>
      <c r="M5422" s="78"/>
      <c r="N5422" s="78"/>
      <c r="P5422" s="85"/>
    </row>
    <row r="5423" spans="11:16">
      <c r="K5423" s="85">
        <v>26</v>
      </c>
      <c r="L5423" s="78"/>
      <c r="M5423" s="78"/>
      <c r="N5423" s="78"/>
      <c r="P5423" s="85"/>
    </row>
    <row r="5424" spans="11:16">
      <c r="K5424" s="85">
        <v>27</v>
      </c>
      <c r="L5424" s="78"/>
      <c r="M5424" s="78"/>
      <c r="N5424" s="78"/>
      <c r="P5424" s="85"/>
    </row>
    <row r="5425" spans="11:16">
      <c r="K5425" s="85">
        <v>28</v>
      </c>
      <c r="L5425" s="78"/>
      <c r="M5425" s="78"/>
      <c r="N5425" s="78"/>
      <c r="P5425" s="85"/>
    </row>
    <row r="5426" spans="11:16">
      <c r="K5426" s="85">
        <v>29</v>
      </c>
      <c r="L5426" s="78"/>
      <c r="M5426" s="78"/>
      <c r="N5426" s="78"/>
      <c r="P5426" s="85"/>
    </row>
    <row r="5427" spans="11:16">
      <c r="K5427" s="85">
        <v>30</v>
      </c>
      <c r="L5427" s="78"/>
      <c r="M5427" s="78"/>
      <c r="N5427" s="78"/>
      <c r="P5427" s="85"/>
    </row>
    <row r="5428" spans="11:16">
      <c r="K5428" s="85">
        <v>31</v>
      </c>
      <c r="L5428" s="78"/>
      <c r="M5428" s="78"/>
      <c r="N5428" s="78"/>
      <c r="P5428" s="85"/>
    </row>
    <row r="5429" spans="11:16">
      <c r="K5429" s="85">
        <v>34</v>
      </c>
      <c r="L5429" s="78"/>
      <c r="M5429" s="78"/>
      <c r="N5429" s="78"/>
      <c r="P5429" s="85"/>
    </row>
    <row r="5430" spans="11:16">
      <c r="K5430" s="85">
        <v>35</v>
      </c>
      <c r="L5430" s="78"/>
      <c r="M5430" s="78"/>
      <c r="N5430" s="78"/>
      <c r="P5430" s="85"/>
    </row>
    <row r="5431" spans="11:16">
      <c r="K5431" s="85">
        <v>36</v>
      </c>
      <c r="L5431" s="78"/>
      <c r="M5431" s="78"/>
      <c r="N5431" s="78"/>
      <c r="P5431" s="85"/>
    </row>
    <row r="5432" spans="11:16">
      <c r="K5432" s="85">
        <v>25</v>
      </c>
      <c r="L5432" s="78"/>
      <c r="M5432" s="78"/>
      <c r="N5432" s="78"/>
      <c r="P5432" s="85"/>
    </row>
    <row r="5433" spans="11:16">
      <c r="K5433" s="85">
        <v>26</v>
      </c>
      <c r="L5433" s="78"/>
      <c r="M5433" s="78"/>
      <c r="N5433" s="78"/>
      <c r="P5433" s="85"/>
    </row>
    <row r="5434" spans="11:16">
      <c r="K5434" s="85">
        <v>28</v>
      </c>
      <c r="L5434" s="78"/>
      <c r="M5434" s="78"/>
      <c r="N5434" s="78"/>
      <c r="P5434" s="85"/>
    </row>
    <row r="5435" spans="11:16">
      <c r="K5435" s="85">
        <v>29</v>
      </c>
      <c r="L5435" s="78"/>
      <c r="M5435" s="78"/>
      <c r="N5435" s="78"/>
      <c r="P5435" s="85"/>
    </row>
    <row r="5436" spans="11:16">
      <c r="K5436" s="85">
        <v>30</v>
      </c>
      <c r="L5436" s="78"/>
      <c r="M5436" s="78"/>
      <c r="N5436" s="78"/>
      <c r="P5436" s="85"/>
    </row>
    <row r="5437" spans="11:16">
      <c r="K5437" s="85">
        <v>31</v>
      </c>
      <c r="L5437" s="78"/>
      <c r="M5437" s="78"/>
      <c r="N5437" s="78"/>
      <c r="P5437" s="85"/>
    </row>
    <row r="5438" spans="11:16">
      <c r="K5438" s="85">
        <v>36</v>
      </c>
      <c r="L5438" s="78"/>
      <c r="M5438" s="78"/>
      <c r="N5438" s="78"/>
      <c r="P5438" s="85"/>
    </row>
    <row r="5439" spans="11:16">
      <c r="K5439" s="85">
        <v>25</v>
      </c>
      <c r="L5439" s="78"/>
      <c r="M5439" s="78"/>
      <c r="N5439" s="78"/>
      <c r="P5439" s="85"/>
    </row>
    <row r="5440" spans="11:16">
      <c r="K5440" s="85">
        <v>26</v>
      </c>
      <c r="L5440" s="78"/>
      <c r="M5440" s="78"/>
      <c r="N5440" s="78"/>
      <c r="P5440" s="85"/>
    </row>
    <row r="5441" spans="11:16">
      <c r="K5441" s="85">
        <v>27</v>
      </c>
      <c r="L5441" s="78"/>
      <c r="M5441" s="78"/>
      <c r="N5441" s="78"/>
      <c r="P5441" s="85"/>
    </row>
    <row r="5442" spans="11:16">
      <c r="K5442" s="85">
        <v>28</v>
      </c>
      <c r="L5442" s="78"/>
      <c r="M5442" s="78"/>
      <c r="N5442" s="78"/>
      <c r="P5442" s="85"/>
    </row>
    <row r="5443" spans="11:16">
      <c r="K5443" s="85">
        <v>29</v>
      </c>
      <c r="L5443" s="78"/>
      <c r="M5443" s="78"/>
      <c r="N5443" s="78"/>
      <c r="P5443" s="85"/>
    </row>
    <row r="5444" spans="11:16">
      <c r="K5444" s="85">
        <v>30</v>
      </c>
      <c r="L5444" s="78"/>
      <c r="M5444" s="78"/>
      <c r="N5444" s="78"/>
      <c r="P5444" s="85"/>
    </row>
    <row r="5445" spans="11:16">
      <c r="K5445" s="85">
        <v>31</v>
      </c>
      <c r="L5445" s="78"/>
      <c r="M5445" s="78"/>
      <c r="N5445" s="78"/>
      <c r="P5445" s="85"/>
    </row>
    <row r="5446" spans="11:16">
      <c r="K5446" s="85">
        <v>32</v>
      </c>
      <c r="L5446" s="78"/>
      <c r="M5446" s="78"/>
      <c r="N5446" s="78"/>
      <c r="P5446" s="85"/>
    </row>
    <row r="5447" spans="11:16">
      <c r="K5447" s="85">
        <v>34</v>
      </c>
      <c r="L5447" s="78"/>
      <c r="M5447" s="78"/>
      <c r="N5447" s="78"/>
      <c r="P5447" s="85"/>
    </row>
    <row r="5448" spans="11:16">
      <c r="K5448" s="85">
        <v>35</v>
      </c>
      <c r="L5448" s="78"/>
      <c r="M5448" s="78"/>
      <c r="N5448" s="78"/>
      <c r="P5448" s="85"/>
    </row>
    <row r="5449" spans="11:16">
      <c r="K5449" s="85">
        <v>36</v>
      </c>
      <c r="L5449" s="78"/>
      <c r="M5449" s="78"/>
      <c r="N5449" s="78"/>
      <c r="P5449" s="85"/>
    </row>
    <row r="5450" spans="11:16">
      <c r="K5450" s="85">
        <v>25</v>
      </c>
      <c r="L5450" s="78"/>
      <c r="M5450" s="78"/>
      <c r="N5450" s="78"/>
      <c r="P5450" s="85"/>
    </row>
    <row r="5451" spans="11:16">
      <c r="K5451" s="85">
        <v>26</v>
      </c>
      <c r="L5451" s="78"/>
      <c r="M5451" s="78"/>
      <c r="N5451" s="78"/>
      <c r="P5451" s="85"/>
    </row>
    <row r="5452" spans="11:16">
      <c r="K5452" s="85">
        <v>27</v>
      </c>
      <c r="L5452" s="78"/>
      <c r="M5452" s="78"/>
      <c r="N5452" s="78"/>
      <c r="P5452" s="85"/>
    </row>
    <row r="5453" spans="11:16">
      <c r="K5453" s="85">
        <v>28</v>
      </c>
      <c r="L5453" s="78"/>
      <c r="M5453" s="78"/>
      <c r="N5453" s="78"/>
      <c r="P5453" s="85"/>
    </row>
    <row r="5454" spans="11:16">
      <c r="K5454" s="85">
        <v>29</v>
      </c>
      <c r="L5454" s="78"/>
      <c r="M5454" s="78"/>
      <c r="N5454" s="78"/>
      <c r="P5454" s="85"/>
    </row>
    <row r="5455" spans="11:16">
      <c r="K5455" s="85">
        <v>30</v>
      </c>
      <c r="L5455" s="78"/>
      <c r="M5455" s="78"/>
      <c r="N5455" s="78"/>
      <c r="P5455" s="85"/>
    </row>
    <row r="5456" spans="11:16">
      <c r="K5456" s="85">
        <v>31</v>
      </c>
      <c r="L5456" s="78"/>
      <c r="M5456" s="78"/>
      <c r="N5456" s="78"/>
      <c r="P5456" s="85"/>
    </row>
    <row r="5457" spans="11:16">
      <c r="K5457" s="85">
        <v>32</v>
      </c>
      <c r="L5457" s="78"/>
      <c r="M5457" s="78"/>
      <c r="N5457" s="78"/>
      <c r="P5457" s="85"/>
    </row>
    <row r="5458" spans="11:16">
      <c r="K5458" s="85">
        <v>33</v>
      </c>
      <c r="L5458" s="78"/>
      <c r="M5458" s="78"/>
      <c r="N5458" s="78"/>
      <c r="P5458" s="85"/>
    </row>
    <row r="5459" spans="11:16">
      <c r="K5459" s="85">
        <v>34</v>
      </c>
      <c r="L5459" s="78"/>
      <c r="M5459" s="78"/>
      <c r="N5459" s="78"/>
      <c r="P5459" s="85"/>
    </row>
    <row r="5460" spans="11:16">
      <c r="K5460" s="85">
        <v>35</v>
      </c>
      <c r="L5460" s="78"/>
      <c r="M5460" s="78"/>
      <c r="N5460" s="78"/>
      <c r="P5460" s="85"/>
    </row>
    <row r="5461" spans="11:16">
      <c r="K5461" s="85">
        <v>27</v>
      </c>
      <c r="L5461" s="78"/>
      <c r="M5461" s="78"/>
      <c r="N5461" s="78"/>
      <c r="P5461" s="85"/>
    </row>
    <row r="5462" spans="11:16">
      <c r="K5462" s="85">
        <v>28</v>
      </c>
      <c r="L5462" s="78"/>
      <c r="M5462" s="78"/>
      <c r="N5462" s="78"/>
      <c r="P5462" s="85"/>
    </row>
    <row r="5463" spans="11:16">
      <c r="K5463" s="85">
        <v>31</v>
      </c>
      <c r="L5463" s="78"/>
      <c r="M5463" s="78"/>
      <c r="N5463" s="78"/>
      <c r="P5463" s="85"/>
    </row>
    <row r="5464" spans="11:16">
      <c r="K5464" s="85">
        <v>32</v>
      </c>
      <c r="L5464" s="78"/>
      <c r="M5464" s="78"/>
      <c r="N5464" s="78"/>
      <c r="P5464" s="85"/>
    </row>
    <row r="5465" spans="11:16">
      <c r="K5465" s="85">
        <v>35</v>
      </c>
      <c r="L5465" s="78"/>
      <c r="M5465" s="78"/>
      <c r="N5465" s="78"/>
      <c r="P5465" s="85"/>
    </row>
    <row r="5466" spans="11:16">
      <c r="K5466" s="85">
        <v>25</v>
      </c>
      <c r="L5466" s="78"/>
      <c r="M5466" s="78"/>
      <c r="N5466" s="78"/>
      <c r="P5466" s="85"/>
    </row>
    <row r="5467" spans="11:16">
      <c r="K5467" s="85">
        <v>26</v>
      </c>
      <c r="L5467" s="78"/>
      <c r="M5467" s="78"/>
      <c r="N5467" s="78"/>
      <c r="P5467" s="85"/>
    </row>
    <row r="5468" spans="11:16">
      <c r="K5468" s="85">
        <v>27</v>
      </c>
      <c r="L5468" s="78"/>
      <c r="M5468" s="78"/>
      <c r="N5468" s="78"/>
      <c r="P5468" s="85"/>
    </row>
    <row r="5469" spans="11:16">
      <c r="K5469" s="85">
        <v>28</v>
      </c>
      <c r="L5469" s="78"/>
      <c r="M5469" s="78"/>
      <c r="N5469" s="78"/>
      <c r="P5469" s="85"/>
    </row>
    <row r="5470" spans="11:16">
      <c r="K5470" s="85">
        <v>29</v>
      </c>
      <c r="L5470" s="78"/>
      <c r="M5470" s="78"/>
      <c r="N5470" s="78"/>
      <c r="P5470" s="85"/>
    </row>
    <row r="5471" spans="11:16">
      <c r="K5471" s="85">
        <v>30</v>
      </c>
      <c r="L5471" s="78"/>
      <c r="M5471" s="78"/>
      <c r="N5471" s="78"/>
      <c r="P5471" s="85"/>
    </row>
    <row r="5472" spans="11:16">
      <c r="K5472" s="85">
        <v>31</v>
      </c>
      <c r="L5472" s="78"/>
      <c r="M5472" s="78"/>
      <c r="N5472" s="78"/>
      <c r="P5472" s="85"/>
    </row>
    <row r="5473" spans="11:16">
      <c r="K5473" s="85">
        <v>32</v>
      </c>
      <c r="L5473" s="78"/>
      <c r="M5473" s="78"/>
      <c r="N5473" s="78"/>
      <c r="P5473" s="85"/>
    </row>
    <row r="5474" spans="11:16">
      <c r="K5474" s="85">
        <v>33</v>
      </c>
      <c r="L5474" s="78"/>
      <c r="M5474" s="78"/>
      <c r="N5474" s="78"/>
      <c r="P5474" s="85"/>
    </row>
    <row r="5475" spans="11:16">
      <c r="K5475" s="85">
        <v>34</v>
      </c>
      <c r="L5475" s="78"/>
      <c r="M5475" s="78"/>
      <c r="N5475" s="78"/>
      <c r="P5475" s="85"/>
    </row>
    <row r="5476" spans="11:16">
      <c r="K5476" s="85">
        <v>35</v>
      </c>
      <c r="L5476" s="78"/>
      <c r="M5476" s="78"/>
      <c r="N5476" s="78"/>
      <c r="P5476" s="85"/>
    </row>
    <row r="5477" spans="11:16">
      <c r="K5477" s="85">
        <v>36</v>
      </c>
      <c r="L5477" s="78"/>
      <c r="M5477" s="78"/>
      <c r="N5477" s="78"/>
      <c r="P5477" s="85"/>
    </row>
    <row r="5478" spans="11:16">
      <c r="K5478" s="85">
        <v>25</v>
      </c>
      <c r="L5478" s="78"/>
      <c r="M5478" s="78"/>
      <c r="N5478" s="78"/>
      <c r="P5478" s="85"/>
    </row>
    <row r="5479" spans="11:16">
      <c r="K5479" s="85">
        <v>26</v>
      </c>
      <c r="L5479" s="78"/>
      <c r="M5479" s="78"/>
      <c r="N5479" s="78"/>
      <c r="P5479" s="85"/>
    </row>
    <row r="5480" spans="11:16">
      <c r="K5480" s="85">
        <v>27</v>
      </c>
      <c r="L5480" s="78"/>
      <c r="M5480" s="78"/>
      <c r="N5480" s="78"/>
      <c r="P5480" s="85"/>
    </row>
    <row r="5481" spans="11:16">
      <c r="K5481" s="85">
        <v>28</v>
      </c>
      <c r="L5481" s="78"/>
      <c r="M5481" s="78"/>
      <c r="N5481" s="78"/>
      <c r="P5481" s="85"/>
    </row>
    <row r="5482" spans="11:16">
      <c r="K5482" s="85">
        <v>29</v>
      </c>
      <c r="L5482" s="78"/>
      <c r="M5482" s="78"/>
      <c r="N5482" s="78"/>
      <c r="P5482" s="85"/>
    </row>
    <row r="5483" spans="11:16">
      <c r="K5483" s="85">
        <v>30</v>
      </c>
      <c r="L5483" s="78"/>
      <c r="M5483" s="78"/>
      <c r="N5483" s="78"/>
      <c r="P5483" s="85"/>
    </row>
    <row r="5484" spans="11:16">
      <c r="K5484" s="85">
        <v>31</v>
      </c>
      <c r="L5484" s="78"/>
      <c r="M5484" s="78"/>
      <c r="N5484" s="78"/>
      <c r="P5484" s="85"/>
    </row>
    <row r="5485" spans="11:16">
      <c r="K5485" s="85">
        <v>32</v>
      </c>
      <c r="L5485" s="78"/>
      <c r="M5485" s="78"/>
      <c r="N5485" s="78"/>
      <c r="P5485" s="85"/>
    </row>
    <row r="5486" spans="11:16">
      <c r="K5486" s="85">
        <v>34</v>
      </c>
      <c r="L5486" s="78"/>
      <c r="M5486" s="78"/>
      <c r="N5486" s="78"/>
      <c r="P5486" s="85"/>
    </row>
    <row r="5487" spans="11:16">
      <c r="K5487" s="85">
        <v>35</v>
      </c>
      <c r="L5487" s="78"/>
      <c r="M5487" s="78"/>
      <c r="N5487" s="78"/>
      <c r="P5487" s="85"/>
    </row>
    <row r="5488" spans="11:16">
      <c r="K5488" s="85">
        <v>27</v>
      </c>
      <c r="L5488" s="78"/>
      <c r="M5488" s="78"/>
      <c r="N5488" s="78"/>
      <c r="P5488" s="85"/>
    </row>
    <row r="5489" spans="11:16">
      <c r="K5489" s="85">
        <v>28</v>
      </c>
      <c r="L5489" s="78"/>
      <c r="M5489" s="78"/>
      <c r="N5489" s="78"/>
      <c r="P5489" s="85"/>
    </row>
    <row r="5490" spans="11:16">
      <c r="K5490" s="85">
        <v>30</v>
      </c>
      <c r="L5490" s="78"/>
      <c r="M5490" s="78"/>
      <c r="N5490" s="78"/>
      <c r="P5490" s="85"/>
    </row>
    <row r="5491" spans="11:16">
      <c r="K5491" s="85">
        <v>31</v>
      </c>
      <c r="L5491" s="78"/>
      <c r="M5491" s="78"/>
      <c r="N5491" s="78"/>
      <c r="P5491" s="85"/>
    </row>
    <row r="5492" spans="11:16">
      <c r="K5492" s="85">
        <v>35</v>
      </c>
      <c r="L5492" s="78"/>
      <c r="M5492" s="78"/>
      <c r="N5492" s="78"/>
      <c r="P5492" s="85"/>
    </row>
    <row r="5493" spans="11:16">
      <c r="K5493" s="85">
        <v>25</v>
      </c>
      <c r="L5493" s="78"/>
      <c r="M5493" s="78"/>
      <c r="N5493" s="78"/>
      <c r="P5493" s="85"/>
    </row>
    <row r="5494" spans="11:16">
      <c r="K5494" s="85">
        <v>26</v>
      </c>
      <c r="L5494" s="78"/>
      <c r="M5494" s="78"/>
      <c r="N5494" s="78"/>
      <c r="P5494" s="85"/>
    </row>
    <row r="5495" spans="11:16">
      <c r="K5495" s="85">
        <v>27</v>
      </c>
      <c r="L5495" s="78"/>
      <c r="M5495" s="78"/>
      <c r="N5495" s="78"/>
      <c r="P5495" s="85"/>
    </row>
    <row r="5496" spans="11:16">
      <c r="K5496" s="85">
        <v>28</v>
      </c>
      <c r="L5496" s="78"/>
      <c r="M5496" s="78"/>
      <c r="N5496" s="78"/>
      <c r="P5496" s="85"/>
    </row>
    <row r="5497" spans="11:16">
      <c r="K5497" s="85">
        <v>29</v>
      </c>
      <c r="L5497" s="78"/>
      <c r="M5497" s="78"/>
      <c r="N5497" s="78"/>
      <c r="P5497" s="85"/>
    </row>
    <row r="5498" spans="11:16">
      <c r="K5498" s="85">
        <v>30</v>
      </c>
      <c r="L5498" s="78"/>
      <c r="M5498" s="78"/>
      <c r="N5498" s="78"/>
      <c r="P5498" s="85"/>
    </row>
    <row r="5499" spans="11:16">
      <c r="K5499" s="85">
        <v>31</v>
      </c>
      <c r="L5499" s="78"/>
      <c r="M5499" s="78"/>
      <c r="N5499" s="78"/>
      <c r="P5499" s="85"/>
    </row>
    <row r="5500" spans="11:16">
      <c r="K5500" s="85">
        <v>32</v>
      </c>
      <c r="L5500" s="78"/>
      <c r="M5500" s="78"/>
      <c r="N5500" s="78"/>
      <c r="P5500" s="85"/>
    </row>
    <row r="5501" spans="11:16">
      <c r="K5501" s="85">
        <v>33</v>
      </c>
      <c r="L5501" s="78"/>
      <c r="M5501" s="78"/>
      <c r="N5501" s="78"/>
      <c r="P5501" s="85"/>
    </row>
    <row r="5502" spans="11:16">
      <c r="K5502" s="85">
        <v>34</v>
      </c>
      <c r="L5502" s="78"/>
      <c r="M5502" s="78"/>
      <c r="N5502" s="78"/>
      <c r="P5502" s="85"/>
    </row>
    <row r="5503" spans="11:16">
      <c r="K5503" s="85">
        <v>35</v>
      </c>
      <c r="L5503" s="78"/>
      <c r="M5503" s="78"/>
      <c r="N5503" s="78"/>
      <c r="P5503" s="85"/>
    </row>
    <row r="5504" spans="11:16">
      <c r="K5504" s="85">
        <v>25</v>
      </c>
      <c r="L5504" s="78"/>
      <c r="M5504" s="78"/>
      <c r="N5504" s="78"/>
      <c r="P5504" s="85"/>
    </row>
    <row r="5505" spans="11:16">
      <c r="K5505" s="85">
        <v>26</v>
      </c>
      <c r="L5505" s="78"/>
      <c r="M5505" s="78"/>
      <c r="N5505" s="78"/>
      <c r="P5505" s="85"/>
    </row>
    <row r="5506" spans="11:16">
      <c r="K5506" s="85">
        <v>27</v>
      </c>
      <c r="L5506" s="78"/>
      <c r="M5506" s="78"/>
      <c r="N5506" s="78"/>
      <c r="P5506" s="85"/>
    </row>
    <row r="5507" spans="11:16">
      <c r="K5507" s="85">
        <v>28</v>
      </c>
      <c r="L5507" s="78"/>
      <c r="M5507" s="78"/>
      <c r="N5507" s="78"/>
      <c r="P5507" s="85"/>
    </row>
    <row r="5508" spans="11:16">
      <c r="K5508" s="85">
        <v>31</v>
      </c>
      <c r="L5508" s="78"/>
      <c r="M5508" s="78"/>
      <c r="N5508" s="78"/>
      <c r="P5508" s="85"/>
    </row>
    <row r="5509" spans="11:16">
      <c r="K5509" s="85">
        <v>32</v>
      </c>
      <c r="L5509" s="78"/>
      <c r="M5509" s="78"/>
      <c r="N5509" s="78"/>
      <c r="P5509" s="85"/>
    </row>
    <row r="5510" spans="11:16">
      <c r="K5510" s="85">
        <v>33</v>
      </c>
      <c r="L5510" s="78"/>
      <c r="M5510" s="78"/>
      <c r="N5510" s="78"/>
      <c r="P5510" s="85"/>
    </row>
    <row r="5511" spans="11:16">
      <c r="K5511" s="85">
        <v>34</v>
      </c>
      <c r="L5511" s="78"/>
      <c r="M5511" s="78"/>
      <c r="N5511" s="78"/>
      <c r="P5511" s="85"/>
    </row>
    <row r="5512" spans="11:16">
      <c r="K5512" s="85">
        <v>35</v>
      </c>
      <c r="L5512" s="78"/>
      <c r="M5512" s="78"/>
      <c r="N5512" s="78"/>
      <c r="P5512" s="85"/>
    </row>
    <row r="5513" spans="11:16">
      <c r="K5513" s="85">
        <v>25</v>
      </c>
      <c r="L5513" s="78"/>
      <c r="M5513" s="78"/>
      <c r="N5513" s="78"/>
      <c r="P5513" s="85"/>
    </row>
    <row r="5514" spans="11:16">
      <c r="K5514" s="85">
        <v>26</v>
      </c>
      <c r="L5514" s="78"/>
      <c r="M5514" s="78"/>
      <c r="N5514" s="78"/>
      <c r="P5514" s="85"/>
    </row>
    <row r="5515" spans="11:16">
      <c r="K5515" s="85">
        <v>27</v>
      </c>
      <c r="L5515" s="78"/>
      <c r="M5515" s="78"/>
      <c r="N5515" s="78"/>
      <c r="P5515" s="85"/>
    </row>
    <row r="5516" spans="11:16">
      <c r="K5516" s="85">
        <v>28</v>
      </c>
      <c r="L5516" s="78"/>
      <c r="M5516" s="78"/>
      <c r="N5516" s="78"/>
      <c r="P5516" s="85"/>
    </row>
    <row r="5517" spans="11:16">
      <c r="K5517" s="85">
        <v>30</v>
      </c>
      <c r="L5517" s="78"/>
      <c r="M5517" s="78"/>
      <c r="N5517" s="78"/>
      <c r="P5517" s="85"/>
    </row>
    <row r="5518" spans="11:16">
      <c r="K5518" s="85">
        <v>31</v>
      </c>
      <c r="L5518" s="78"/>
      <c r="M5518" s="78"/>
      <c r="N5518" s="78"/>
      <c r="P5518" s="85"/>
    </row>
    <row r="5519" spans="11:16">
      <c r="K5519" s="85">
        <v>34</v>
      </c>
      <c r="L5519" s="78"/>
      <c r="M5519" s="78"/>
      <c r="N5519" s="78"/>
      <c r="P5519" s="85"/>
    </row>
    <row r="5520" spans="11:16">
      <c r="K5520" s="85">
        <v>35</v>
      </c>
      <c r="L5520" s="78"/>
      <c r="M5520" s="78"/>
      <c r="N5520" s="78"/>
      <c r="P5520" s="85"/>
    </row>
    <row r="5521" spans="11:16">
      <c r="K5521" s="85">
        <v>25</v>
      </c>
      <c r="L5521" s="78"/>
      <c r="M5521" s="78"/>
      <c r="N5521" s="78"/>
      <c r="P5521" s="85"/>
    </row>
    <row r="5522" spans="11:16">
      <c r="K5522" s="85">
        <v>26</v>
      </c>
      <c r="L5522" s="78"/>
      <c r="M5522" s="78"/>
      <c r="N5522" s="78"/>
      <c r="P5522" s="85"/>
    </row>
    <row r="5523" spans="11:16">
      <c r="K5523" s="85">
        <v>27</v>
      </c>
      <c r="L5523" s="78"/>
      <c r="M5523" s="78"/>
      <c r="N5523" s="78"/>
      <c r="P5523" s="85"/>
    </row>
    <row r="5524" spans="11:16">
      <c r="K5524" s="85">
        <v>28</v>
      </c>
      <c r="L5524" s="78"/>
      <c r="M5524" s="78"/>
      <c r="N5524" s="78"/>
      <c r="P5524" s="85"/>
    </row>
    <row r="5525" spans="11:16">
      <c r="K5525" s="85">
        <v>29</v>
      </c>
      <c r="L5525" s="78"/>
      <c r="M5525" s="78"/>
      <c r="N5525" s="78"/>
      <c r="P5525" s="85"/>
    </row>
    <row r="5526" spans="11:16">
      <c r="K5526" s="85">
        <v>30</v>
      </c>
      <c r="L5526" s="78"/>
      <c r="M5526" s="78"/>
      <c r="N5526" s="78"/>
      <c r="P5526" s="85"/>
    </row>
    <row r="5527" spans="11:16">
      <c r="K5527" s="85">
        <v>31</v>
      </c>
      <c r="L5527" s="78"/>
      <c r="M5527" s="78"/>
      <c r="N5527" s="78"/>
      <c r="P5527" s="85"/>
    </row>
    <row r="5528" spans="11:16">
      <c r="K5528" s="85">
        <v>33</v>
      </c>
      <c r="L5528" s="78"/>
      <c r="M5528" s="78"/>
      <c r="N5528" s="78"/>
      <c r="P5528" s="85"/>
    </row>
    <row r="5529" spans="11:16">
      <c r="K5529" s="85">
        <v>34</v>
      </c>
      <c r="L5529" s="78"/>
      <c r="M5529" s="78"/>
      <c r="N5529" s="78"/>
      <c r="P5529" s="85"/>
    </row>
    <row r="5530" spans="11:16">
      <c r="K5530" s="85">
        <v>35</v>
      </c>
      <c r="L5530" s="78"/>
      <c r="M5530" s="78"/>
      <c r="N5530" s="78"/>
      <c r="P5530" s="85"/>
    </row>
    <row r="5531" spans="11:16">
      <c r="K5531" s="85">
        <v>25</v>
      </c>
      <c r="L5531" s="78"/>
      <c r="M5531" s="78"/>
      <c r="N5531" s="78"/>
      <c r="P5531" s="85"/>
    </row>
    <row r="5532" spans="11:16">
      <c r="K5532" s="85">
        <v>26</v>
      </c>
      <c r="L5532" s="78"/>
      <c r="M5532" s="78"/>
      <c r="N5532" s="78"/>
      <c r="P5532" s="85"/>
    </row>
    <row r="5533" spans="11:16">
      <c r="K5533" s="85">
        <v>27</v>
      </c>
      <c r="L5533" s="78"/>
      <c r="M5533" s="78"/>
      <c r="N5533" s="78"/>
      <c r="P5533" s="85"/>
    </row>
    <row r="5534" spans="11:16">
      <c r="K5534" s="85">
        <v>28</v>
      </c>
      <c r="L5534" s="78"/>
      <c r="M5534" s="78"/>
      <c r="N5534" s="78"/>
      <c r="P5534" s="85"/>
    </row>
    <row r="5535" spans="11:16">
      <c r="K5535" s="85">
        <v>30</v>
      </c>
      <c r="L5535" s="78"/>
      <c r="M5535" s="78"/>
      <c r="N5535" s="78"/>
      <c r="P5535" s="85"/>
    </row>
    <row r="5536" spans="11:16">
      <c r="K5536" s="85">
        <v>31</v>
      </c>
      <c r="L5536" s="78"/>
      <c r="M5536" s="78"/>
      <c r="N5536" s="78"/>
      <c r="P5536" s="85"/>
    </row>
    <row r="5537" spans="11:16">
      <c r="K5537" s="85">
        <v>32</v>
      </c>
      <c r="L5537" s="78"/>
      <c r="M5537" s="78"/>
      <c r="N5537" s="78"/>
      <c r="P5537" s="85"/>
    </row>
    <row r="5538" spans="11:16">
      <c r="K5538" s="85">
        <v>34</v>
      </c>
      <c r="L5538" s="78"/>
      <c r="M5538" s="78"/>
      <c r="N5538" s="78"/>
      <c r="P5538" s="85"/>
    </row>
    <row r="5539" spans="11:16">
      <c r="K5539" s="85">
        <v>35</v>
      </c>
      <c r="L5539" s="78"/>
      <c r="M5539" s="78"/>
      <c r="N5539" s="78"/>
      <c r="P5539" s="85"/>
    </row>
    <row r="5540" spans="11:16">
      <c r="K5540" s="85">
        <v>36</v>
      </c>
      <c r="L5540" s="78"/>
      <c r="M5540" s="78"/>
      <c r="N5540" s="78"/>
      <c r="P5540" s="85"/>
    </row>
    <row r="5541" spans="11:16">
      <c r="K5541" s="85">
        <v>25</v>
      </c>
      <c r="L5541" s="78"/>
      <c r="M5541" s="78"/>
      <c r="N5541" s="78"/>
      <c r="P5541" s="85"/>
    </row>
    <row r="5542" spans="11:16">
      <c r="K5542" s="85">
        <v>26</v>
      </c>
      <c r="L5542" s="78"/>
      <c r="M5542" s="78"/>
      <c r="N5542" s="78"/>
      <c r="P5542" s="85"/>
    </row>
    <row r="5543" spans="11:16">
      <c r="K5543" s="85">
        <v>27</v>
      </c>
      <c r="L5543" s="78"/>
      <c r="M5543" s="78"/>
      <c r="N5543" s="78"/>
      <c r="P5543" s="85"/>
    </row>
    <row r="5544" spans="11:16">
      <c r="K5544" s="85">
        <v>29</v>
      </c>
      <c r="L5544" s="78"/>
      <c r="M5544" s="78"/>
      <c r="N5544" s="78"/>
      <c r="P5544" s="85"/>
    </row>
    <row r="5545" spans="11:16">
      <c r="K5545" s="85">
        <v>30</v>
      </c>
      <c r="L5545" s="78"/>
      <c r="M5545" s="78"/>
      <c r="N5545" s="78"/>
      <c r="P5545" s="85"/>
    </row>
    <row r="5546" spans="11:16">
      <c r="K5546" s="85">
        <v>31</v>
      </c>
      <c r="L5546" s="78"/>
      <c r="M5546" s="78"/>
      <c r="N5546" s="78"/>
      <c r="P5546" s="85"/>
    </row>
    <row r="5547" spans="11:16">
      <c r="K5547" s="85">
        <v>32</v>
      </c>
      <c r="L5547" s="78"/>
      <c r="M5547" s="78"/>
      <c r="N5547" s="78"/>
      <c r="P5547" s="85"/>
    </row>
    <row r="5548" spans="11:16">
      <c r="K5548" s="85">
        <v>34</v>
      </c>
      <c r="L5548" s="78"/>
      <c r="M5548" s="78"/>
      <c r="N5548" s="78"/>
      <c r="P5548" s="85"/>
    </row>
    <row r="5549" spans="11:16">
      <c r="K5549" s="85">
        <v>35</v>
      </c>
      <c r="L5549" s="78"/>
      <c r="M5549" s="78"/>
      <c r="N5549" s="78"/>
      <c r="P5549" s="85"/>
    </row>
    <row r="5550" spans="11:16">
      <c r="K5550" s="85">
        <v>36</v>
      </c>
      <c r="L5550" s="78"/>
      <c r="M5550" s="78"/>
      <c r="N5550" s="78"/>
      <c r="P5550" s="85"/>
    </row>
    <row r="5551" spans="11:16">
      <c r="K5551" s="85">
        <v>25</v>
      </c>
      <c r="L5551" s="78"/>
      <c r="M5551" s="78"/>
      <c r="N5551" s="78"/>
      <c r="P5551" s="85"/>
    </row>
    <row r="5552" spans="11:16">
      <c r="K5552" s="85">
        <v>26</v>
      </c>
      <c r="L5552" s="78"/>
      <c r="M5552" s="78"/>
      <c r="N5552" s="78"/>
      <c r="P5552" s="85"/>
    </row>
    <row r="5553" spans="11:16">
      <c r="K5553" s="85">
        <v>27</v>
      </c>
      <c r="L5553" s="78"/>
      <c r="M5553" s="78"/>
      <c r="N5553" s="78"/>
      <c r="P5553" s="85"/>
    </row>
    <row r="5554" spans="11:16">
      <c r="K5554" s="85">
        <v>28</v>
      </c>
      <c r="L5554" s="78"/>
      <c r="M5554" s="78"/>
      <c r="N5554" s="78"/>
      <c r="P5554" s="85"/>
    </row>
    <row r="5555" spans="11:16">
      <c r="K5555" s="85">
        <v>29</v>
      </c>
      <c r="L5555" s="78"/>
      <c r="M5555" s="78"/>
      <c r="N5555" s="78"/>
      <c r="P5555" s="85"/>
    </row>
    <row r="5556" spans="11:16">
      <c r="K5556" s="85">
        <v>30</v>
      </c>
      <c r="L5556" s="78"/>
      <c r="M5556" s="78"/>
      <c r="N5556" s="78"/>
      <c r="P5556" s="85"/>
    </row>
    <row r="5557" spans="11:16">
      <c r="K5557" s="85">
        <v>31</v>
      </c>
      <c r="L5557" s="78"/>
      <c r="M5557" s="78"/>
      <c r="N5557" s="78"/>
      <c r="P5557" s="85"/>
    </row>
    <row r="5558" spans="11:16">
      <c r="K5558" s="85">
        <v>32</v>
      </c>
      <c r="L5558" s="78"/>
      <c r="M5558" s="78"/>
      <c r="N5558" s="78"/>
      <c r="P5558" s="85"/>
    </row>
    <row r="5559" spans="11:16">
      <c r="K5559" s="85">
        <v>34</v>
      </c>
      <c r="L5559" s="78"/>
      <c r="M5559" s="78"/>
      <c r="N5559" s="78"/>
      <c r="P5559" s="85"/>
    </row>
    <row r="5560" spans="11:16">
      <c r="K5560" s="85">
        <v>25</v>
      </c>
      <c r="L5560" s="78"/>
      <c r="M5560" s="78"/>
      <c r="N5560" s="78"/>
      <c r="P5560" s="85"/>
    </row>
    <row r="5561" spans="11:16">
      <c r="K5561" s="85">
        <v>26</v>
      </c>
      <c r="L5561" s="78"/>
      <c r="M5561" s="78"/>
      <c r="N5561" s="78"/>
      <c r="P5561" s="85"/>
    </row>
    <row r="5562" spans="11:16">
      <c r="K5562" s="85">
        <v>27</v>
      </c>
      <c r="L5562" s="78"/>
      <c r="M5562" s="78"/>
      <c r="N5562" s="78"/>
      <c r="P5562" s="85"/>
    </row>
    <row r="5563" spans="11:16">
      <c r="K5563" s="85">
        <v>28</v>
      </c>
      <c r="L5563" s="78"/>
      <c r="M5563" s="78"/>
      <c r="N5563" s="78"/>
      <c r="P5563" s="85"/>
    </row>
    <row r="5564" spans="11:16">
      <c r="K5564" s="85">
        <v>30</v>
      </c>
      <c r="L5564" s="78"/>
      <c r="M5564" s="78"/>
      <c r="N5564" s="78"/>
      <c r="P5564" s="85"/>
    </row>
    <row r="5565" spans="11:16">
      <c r="K5565" s="85">
        <v>31</v>
      </c>
      <c r="L5565" s="78"/>
      <c r="M5565" s="78"/>
      <c r="N5565" s="78"/>
      <c r="P5565" s="85"/>
    </row>
    <row r="5566" spans="11:16">
      <c r="K5566" s="85">
        <v>32</v>
      </c>
      <c r="L5566" s="78"/>
      <c r="M5566" s="78"/>
      <c r="N5566" s="78"/>
      <c r="P5566" s="85"/>
    </row>
    <row r="5567" spans="11:16">
      <c r="K5567" s="85">
        <v>33</v>
      </c>
      <c r="L5567" s="78"/>
      <c r="M5567" s="78"/>
      <c r="N5567" s="78"/>
      <c r="P5567" s="85"/>
    </row>
    <row r="5568" spans="11:16">
      <c r="K5568" s="85">
        <v>34</v>
      </c>
      <c r="L5568" s="78"/>
      <c r="M5568" s="78"/>
      <c r="N5568" s="78"/>
      <c r="P5568" s="85"/>
    </row>
    <row r="5569" spans="11:16">
      <c r="K5569" s="85">
        <v>35</v>
      </c>
      <c r="L5569" s="78"/>
      <c r="M5569" s="78"/>
      <c r="N5569" s="78"/>
      <c r="P5569" s="85"/>
    </row>
    <row r="5570" spans="11:16">
      <c r="K5570" s="85">
        <v>25</v>
      </c>
      <c r="L5570" s="78"/>
      <c r="M5570" s="78"/>
      <c r="N5570" s="78"/>
      <c r="P5570" s="85"/>
    </row>
    <row r="5571" spans="11:16">
      <c r="K5571" s="85">
        <v>26</v>
      </c>
      <c r="L5571" s="78"/>
      <c r="M5571" s="78"/>
      <c r="N5571" s="78"/>
      <c r="P5571" s="85"/>
    </row>
    <row r="5572" spans="11:16">
      <c r="K5572" s="85">
        <v>27</v>
      </c>
      <c r="L5572" s="78"/>
      <c r="M5572" s="78"/>
      <c r="N5572" s="78"/>
      <c r="P5572" s="85"/>
    </row>
    <row r="5573" spans="11:16">
      <c r="K5573" s="85">
        <v>28</v>
      </c>
      <c r="L5573" s="78"/>
      <c r="M5573" s="78"/>
      <c r="N5573" s="78"/>
      <c r="P5573" s="85"/>
    </row>
    <row r="5574" spans="11:16">
      <c r="K5574" s="85">
        <v>30</v>
      </c>
      <c r="L5574" s="78"/>
      <c r="M5574" s="78"/>
      <c r="N5574" s="78"/>
      <c r="P5574" s="85"/>
    </row>
    <row r="5575" spans="11:16">
      <c r="K5575" s="85">
        <v>31</v>
      </c>
      <c r="L5575" s="78"/>
      <c r="M5575" s="78"/>
      <c r="N5575" s="78"/>
      <c r="P5575" s="85"/>
    </row>
    <row r="5576" spans="11:16">
      <c r="K5576" s="85">
        <v>32</v>
      </c>
      <c r="L5576" s="78"/>
      <c r="M5576" s="78"/>
      <c r="N5576" s="78"/>
      <c r="P5576" s="85"/>
    </row>
    <row r="5577" spans="11:16">
      <c r="K5577" s="85">
        <v>33</v>
      </c>
      <c r="L5577" s="78"/>
      <c r="M5577" s="78"/>
      <c r="N5577" s="78"/>
      <c r="P5577" s="85"/>
    </row>
    <row r="5578" spans="11:16">
      <c r="K5578" s="85">
        <v>34</v>
      </c>
      <c r="L5578" s="78"/>
      <c r="M5578" s="78"/>
      <c r="N5578" s="78"/>
      <c r="P5578" s="85"/>
    </row>
    <row r="5579" spans="11:16">
      <c r="K5579" s="85">
        <v>35</v>
      </c>
      <c r="L5579" s="78"/>
      <c r="M5579" s="78"/>
      <c r="N5579" s="78"/>
      <c r="P5579" s="85"/>
    </row>
    <row r="5580" spans="11:16">
      <c r="K5580" s="85">
        <v>36</v>
      </c>
      <c r="L5580" s="78"/>
      <c r="M5580" s="78"/>
      <c r="N5580" s="78"/>
      <c r="P5580" s="85"/>
    </row>
    <row r="5581" spans="11:16">
      <c r="K5581" s="85">
        <v>26</v>
      </c>
      <c r="L5581" s="78"/>
      <c r="M5581" s="78"/>
      <c r="N5581" s="78"/>
      <c r="P5581" s="85"/>
    </row>
    <row r="5582" spans="11:16">
      <c r="K5582" s="85">
        <v>27</v>
      </c>
      <c r="L5582" s="78"/>
      <c r="M5582" s="78"/>
      <c r="N5582" s="78"/>
      <c r="P5582" s="85"/>
    </row>
    <row r="5583" spans="11:16">
      <c r="K5583" s="85">
        <v>32</v>
      </c>
      <c r="L5583" s="78"/>
      <c r="M5583" s="78"/>
      <c r="N5583" s="78"/>
      <c r="P5583" s="85"/>
    </row>
    <row r="5584" spans="11:16">
      <c r="K5584" s="85">
        <v>34</v>
      </c>
      <c r="L5584" s="78"/>
      <c r="M5584" s="78"/>
      <c r="N5584" s="78"/>
      <c r="P5584" s="85"/>
    </row>
    <row r="5585" spans="11:16">
      <c r="K5585" s="85">
        <v>35</v>
      </c>
      <c r="L5585" s="78"/>
      <c r="M5585" s="78"/>
      <c r="N5585" s="78"/>
      <c r="P5585" s="85"/>
    </row>
    <row r="5586" spans="11:16">
      <c r="K5586" s="85">
        <v>25</v>
      </c>
      <c r="L5586" s="78"/>
      <c r="M5586" s="78"/>
      <c r="N5586" s="78"/>
      <c r="P5586" s="85"/>
    </row>
    <row r="5587" spans="11:16">
      <c r="K5587" s="85">
        <v>26</v>
      </c>
      <c r="L5587" s="78"/>
      <c r="M5587" s="78"/>
      <c r="N5587" s="78"/>
      <c r="P5587" s="85"/>
    </row>
    <row r="5588" spans="11:16">
      <c r="K5588" s="85">
        <v>27</v>
      </c>
      <c r="L5588" s="78"/>
      <c r="M5588" s="78"/>
      <c r="N5588" s="78"/>
      <c r="P5588" s="85"/>
    </row>
    <row r="5589" spans="11:16">
      <c r="K5589" s="85">
        <v>28</v>
      </c>
      <c r="L5589" s="78"/>
      <c r="M5589" s="78"/>
      <c r="N5589" s="78"/>
      <c r="P5589" s="85"/>
    </row>
    <row r="5590" spans="11:16">
      <c r="K5590" s="85">
        <v>30</v>
      </c>
      <c r="L5590" s="78"/>
      <c r="M5590" s="78"/>
      <c r="N5590" s="78"/>
      <c r="P5590" s="85"/>
    </row>
    <row r="5591" spans="11:16">
      <c r="K5591" s="85">
        <v>31</v>
      </c>
      <c r="L5591" s="78"/>
      <c r="M5591" s="78"/>
      <c r="N5591" s="78"/>
      <c r="P5591" s="85"/>
    </row>
    <row r="5592" spans="11:16">
      <c r="K5592" s="85">
        <v>33</v>
      </c>
      <c r="L5592" s="78"/>
      <c r="M5592" s="78"/>
      <c r="N5592" s="78"/>
      <c r="P5592" s="85"/>
    </row>
    <row r="5593" spans="11:16">
      <c r="K5593" s="85">
        <v>34</v>
      </c>
      <c r="L5593" s="78"/>
      <c r="M5593" s="78"/>
      <c r="N5593" s="78"/>
      <c r="P5593" s="85"/>
    </row>
    <row r="5594" spans="11:16">
      <c r="K5594" s="85">
        <v>35</v>
      </c>
      <c r="L5594" s="78"/>
      <c r="M5594" s="78"/>
      <c r="N5594" s="78"/>
      <c r="P5594" s="85"/>
    </row>
    <row r="5595" spans="11:16">
      <c r="K5595" s="85">
        <v>36</v>
      </c>
      <c r="L5595" s="78"/>
      <c r="M5595" s="78"/>
      <c r="N5595" s="78"/>
      <c r="P5595" s="85"/>
    </row>
    <row r="5596" spans="11:16">
      <c r="K5596" s="85">
        <v>30</v>
      </c>
      <c r="L5596" s="78"/>
      <c r="M5596" s="78"/>
      <c r="N5596" s="78"/>
      <c r="P5596" s="85"/>
    </row>
    <row r="5597" spans="11:16">
      <c r="K5597" s="85">
        <v>31</v>
      </c>
      <c r="L5597" s="78"/>
      <c r="M5597" s="78"/>
      <c r="N5597" s="78"/>
      <c r="P5597" s="85"/>
    </row>
    <row r="5598" spans="11:16">
      <c r="K5598" s="85">
        <v>32</v>
      </c>
      <c r="L5598" s="78"/>
      <c r="M5598" s="78"/>
      <c r="N5598" s="78"/>
      <c r="P5598" s="85"/>
    </row>
    <row r="5599" spans="11:16">
      <c r="K5599" s="85">
        <v>25</v>
      </c>
      <c r="L5599" s="78"/>
      <c r="M5599" s="78"/>
      <c r="N5599" s="78"/>
      <c r="P5599" s="85"/>
    </row>
    <row r="5600" spans="11:16">
      <c r="K5600" s="85">
        <v>26</v>
      </c>
      <c r="L5600" s="78"/>
      <c r="M5600" s="78"/>
      <c r="N5600" s="78"/>
      <c r="P5600" s="85"/>
    </row>
    <row r="5601" spans="11:16">
      <c r="K5601" s="85">
        <v>27</v>
      </c>
      <c r="L5601" s="78"/>
      <c r="M5601" s="78"/>
      <c r="N5601" s="78"/>
      <c r="P5601" s="85"/>
    </row>
    <row r="5602" spans="11:16">
      <c r="K5602" s="85">
        <v>28</v>
      </c>
      <c r="L5602" s="78"/>
      <c r="M5602" s="78"/>
      <c r="N5602" s="78"/>
      <c r="P5602" s="85"/>
    </row>
    <row r="5603" spans="11:16">
      <c r="K5603" s="85">
        <v>29</v>
      </c>
      <c r="L5603" s="78"/>
      <c r="M5603" s="78"/>
      <c r="N5603" s="78"/>
      <c r="P5603" s="85"/>
    </row>
    <row r="5604" spans="11:16">
      <c r="K5604" s="85">
        <v>30</v>
      </c>
      <c r="L5604" s="78"/>
      <c r="M5604" s="78"/>
      <c r="N5604" s="78"/>
      <c r="P5604" s="85"/>
    </row>
    <row r="5605" spans="11:16">
      <c r="K5605" s="85">
        <v>31</v>
      </c>
      <c r="L5605" s="78"/>
      <c r="M5605" s="78"/>
      <c r="N5605" s="78"/>
      <c r="P5605" s="85"/>
    </row>
    <row r="5606" spans="11:16">
      <c r="K5606" s="85">
        <v>33</v>
      </c>
      <c r="L5606" s="78"/>
      <c r="M5606" s="78"/>
      <c r="N5606" s="78"/>
      <c r="P5606" s="85"/>
    </row>
    <row r="5607" spans="11:16">
      <c r="K5607" s="85">
        <v>34</v>
      </c>
      <c r="L5607" s="78"/>
      <c r="M5607" s="78"/>
      <c r="N5607" s="78"/>
      <c r="P5607" s="85"/>
    </row>
    <row r="5608" spans="11:16">
      <c r="K5608" s="85">
        <v>35</v>
      </c>
      <c r="L5608" s="78"/>
      <c r="M5608" s="78"/>
      <c r="N5608" s="78"/>
      <c r="P5608" s="85"/>
    </row>
    <row r="5609" spans="11:16">
      <c r="K5609" s="85">
        <v>36</v>
      </c>
      <c r="L5609" s="78"/>
      <c r="M5609" s="78"/>
      <c r="N5609" s="78"/>
      <c r="P5609" s="85"/>
    </row>
    <row r="5610" spans="11:16">
      <c r="K5610" s="85">
        <v>25</v>
      </c>
      <c r="L5610" s="78"/>
      <c r="M5610" s="78"/>
      <c r="N5610" s="78"/>
      <c r="P5610" s="85"/>
    </row>
    <row r="5611" spans="11:16">
      <c r="K5611" s="85">
        <v>26</v>
      </c>
      <c r="L5611" s="78"/>
      <c r="M5611" s="78"/>
      <c r="N5611" s="78"/>
      <c r="P5611" s="85"/>
    </row>
    <row r="5612" spans="11:16">
      <c r="K5612" s="85">
        <v>27</v>
      </c>
      <c r="L5612" s="78"/>
      <c r="M5612" s="78"/>
      <c r="N5612" s="78"/>
      <c r="P5612" s="85"/>
    </row>
    <row r="5613" spans="11:16">
      <c r="K5613" s="85">
        <v>28</v>
      </c>
      <c r="L5613" s="78"/>
      <c r="M5613" s="78"/>
      <c r="N5613" s="78"/>
      <c r="P5613" s="85"/>
    </row>
    <row r="5614" spans="11:16">
      <c r="K5614" s="85">
        <v>31</v>
      </c>
      <c r="L5614" s="78"/>
      <c r="M5614" s="78"/>
      <c r="N5614" s="78"/>
      <c r="P5614" s="85"/>
    </row>
    <row r="5615" spans="11:16">
      <c r="K5615" s="85">
        <v>32</v>
      </c>
      <c r="L5615" s="78"/>
      <c r="M5615" s="78"/>
      <c r="N5615" s="78"/>
      <c r="P5615" s="85"/>
    </row>
    <row r="5616" spans="11:16">
      <c r="K5616" s="85">
        <v>33</v>
      </c>
      <c r="L5616" s="78"/>
      <c r="M5616" s="78"/>
      <c r="N5616" s="78"/>
      <c r="P5616" s="85"/>
    </row>
    <row r="5617" spans="11:16">
      <c r="K5617" s="85">
        <v>34</v>
      </c>
      <c r="L5617" s="78"/>
      <c r="M5617" s="78"/>
      <c r="N5617" s="78"/>
      <c r="P5617" s="85"/>
    </row>
    <row r="5618" spans="11:16">
      <c r="K5618" s="85">
        <v>35</v>
      </c>
      <c r="L5618" s="78"/>
      <c r="M5618" s="78"/>
      <c r="N5618" s="78"/>
      <c r="P5618" s="85"/>
    </row>
    <row r="5619" spans="11:16">
      <c r="K5619" s="85">
        <v>25</v>
      </c>
      <c r="L5619" s="78"/>
      <c r="M5619" s="78"/>
      <c r="N5619" s="78"/>
      <c r="P5619" s="85"/>
    </row>
    <row r="5620" spans="11:16">
      <c r="K5620" s="85">
        <v>33</v>
      </c>
      <c r="L5620" s="78"/>
      <c r="M5620" s="78"/>
      <c r="N5620" s="78"/>
      <c r="P5620" s="85"/>
    </row>
    <row r="5621" spans="11:16">
      <c r="K5621" s="85">
        <v>35</v>
      </c>
      <c r="L5621" s="78"/>
      <c r="M5621" s="78"/>
      <c r="N5621" s="78"/>
      <c r="P5621" s="85"/>
    </row>
    <row r="5622" spans="11:16">
      <c r="K5622" s="85">
        <v>27</v>
      </c>
      <c r="L5622" s="78"/>
      <c r="M5622" s="78"/>
      <c r="N5622" s="78"/>
      <c r="P5622" s="85"/>
    </row>
    <row r="5623" spans="11:16">
      <c r="K5623" s="85">
        <v>31</v>
      </c>
      <c r="L5623" s="78"/>
      <c r="M5623" s="78"/>
      <c r="N5623" s="78"/>
      <c r="P5623" s="85"/>
    </row>
    <row r="5624" spans="11:16">
      <c r="K5624" s="85">
        <v>34</v>
      </c>
      <c r="L5624" s="78"/>
      <c r="M5624" s="78"/>
      <c r="N5624" s="78"/>
      <c r="P5624" s="85"/>
    </row>
    <row r="5625" spans="11:16">
      <c r="K5625" s="85">
        <v>25</v>
      </c>
      <c r="L5625" s="78"/>
      <c r="M5625" s="78"/>
      <c r="N5625" s="78"/>
      <c r="P5625" s="85"/>
    </row>
    <row r="5626" spans="11:16">
      <c r="K5626" s="85">
        <v>26</v>
      </c>
      <c r="L5626" s="78"/>
      <c r="M5626" s="78"/>
      <c r="N5626" s="78"/>
      <c r="P5626" s="85"/>
    </row>
    <row r="5627" spans="11:16">
      <c r="K5627" s="85">
        <v>27</v>
      </c>
      <c r="L5627" s="78"/>
      <c r="M5627" s="78"/>
      <c r="N5627" s="78"/>
      <c r="P5627" s="85"/>
    </row>
    <row r="5628" spans="11:16">
      <c r="K5628" s="85">
        <v>30</v>
      </c>
      <c r="L5628" s="78"/>
      <c r="M5628" s="78"/>
      <c r="N5628" s="78"/>
      <c r="P5628" s="85"/>
    </row>
    <row r="5629" spans="11:16">
      <c r="K5629" s="85">
        <v>31</v>
      </c>
      <c r="L5629" s="78"/>
      <c r="M5629" s="78"/>
      <c r="N5629" s="78"/>
      <c r="P5629" s="85"/>
    </row>
    <row r="5630" spans="11:16">
      <c r="K5630" s="85">
        <v>32</v>
      </c>
      <c r="L5630" s="78"/>
      <c r="M5630" s="78"/>
      <c r="N5630" s="78"/>
      <c r="P5630" s="85"/>
    </row>
    <row r="5631" spans="11:16">
      <c r="K5631" s="85">
        <v>33</v>
      </c>
      <c r="L5631" s="78"/>
      <c r="M5631" s="78"/>
      <c r="N5631" s="78"/>
      <c r="P5631" s="85"/>
    </row>
    <row r="5632" spans="11:16">
      <c r="K5632" s="85">
        <v>34</v>
      </c>
      <c r="L5632" s="78"/>
      <c r="M5632" s="78"/>
      <c r="N5632" s="78"/>
      <c r="P5632" s="85"/>
    </row>
    <row r="5633" spans="11:16">
      <c r="K5633" s="85">
        <v>35</v>
      </c>
      <c r="L5633" s="78"/>
      <c r="M5633" s="78"/>
      <c r="N5633" s="78"/>
      <c r="P5633" s="85"/>
    </row>
    <row r="5634" spans="11:16">
      <c r="K5634" s="85">
        <v>25</v>
      </c>
      <c r="L5634" s="78"/>
      <c r="M5634" s="78"/>
      <c r="N5634" s="78"/>
      <c r="P5634" s="85"/>
    </row>
    <row r="5635" spans="11:16">
      <c r="K5635" s="85">
        <v>26</v>
      </c>
      <c r="L5635" s="78"/>
      <c r="M5635" s="78"/>
      <c r="N5635" s="78"/>
      <c r="P5635" s="85"/>
    </row>
    <row r="5636" spans="11:16">
      <c r="K5636" s="85">
        <v>27</v>
      </c>
      <c r="L5636" s="78"/>
      <c r="M5636" s="78"/>
      <c r="N5636" s="78"/>
      <c r="P5636" s="85"/>
    </row>
    <row r="5637" spans="11:16">
      <c r="K5637" s="85">
        <v>28</v>
      </c>
      <c r="L5637" s="78"/>
      <c r="M5637" s="78"/>
      <c r="N5637" s="78"/>
      <c r="P5637" s="85"/>
    </row>
    <row r="5638" spans="11:16">
      <c r="K5638" s="85">
        <v>29</v>
      </c>
      <c r="L5638" s="78"/>
      <c r="M5638" s="78"/>
      <c r="N5638" s="78"/>
      <c r="P5638" s="85"/>
    </row>
    <row r="5639" spans="11:16">
      <c r="K5639" s="85">
        <v>30</v>
      </c>
      <c r="L5639" s="78"/>
      <c r="M5639" s="78"/>
      <c r="N5639" s="78"/>
      <c r="P5639" s="85"/>
    </row>
    <row r="5640" spans="11:16">
      <c r="K5640" s="85">
        <v>31</v>
      </c>
      <c r="L5640" s="78"/>
      <c r="M5640" s="78"/>
      <c r="N5640" s="78"/>
      <c r="P5640" s="85"/>
    </row>
    <row r="5641" spans="11:16">
      <c r="K5641" s="85">
        <v>32</v>
      </c>
      <c r="L5641" s="78"/>
      <c r="M5641" s="78"/>
      <c r="N5641" s="78"/>
      <c r="P5641" s="85"/>
    </row>
    <row r="5642" spans="11:16">
      <c r="K5642" s="85">
        <v>33</v>
      </c>
      <c r="L5642" s="78"/>
      <c r="M5642" s="78"/>
      <c r="N5642" s="78"/>
      <c r="P5642" s="85"/>
    </row>
    <row r="5643" spans="11:16">
      <c r="K5643" s="85">
        <v>34</v>
      </c>
      <c r="L5643" s="78"/>
      <c r="M5643" s="78"/>
      <c r="N5643" s="78"/>
      <c r="P5643" s="85"/>
    </row>
    <row r="5644" spans="11:16">
      <c r="K5644" s="85">
        <v>35</v>
      </c>
      <c r="L5644" s="78"/>
      <c r="M5644" s="78"/>
      <c r="N5644" s="78"/>
      <c r="P5644" s="85"/>
    </row>
    <row r="5645" spans="11:16">
      <c r="K5645" s="85">
        <v>36</v>
      </c>
      <c r="L5645" s="78"/>
      <c r="M5645" s="78"/>
      <c r="N5645" s="78"/>
      <c r="P5645" s="85"/>
    </row>
    <row r="5646" spans="11:16">
      <c r="K5646" s="85">
        <v>25</v>
      </c>
      <c r="L5646" s="78"/>
      <c r="M5646" s="78"/>
      <c r="N5646" s="78"/>
      <c r="P5646" s="85"/>
    </row>
    <row r="5647" spans="11:16">
      <c r="K5647" s="85">
        <v>26</v>
      </c>
      <c r="L5647" s="78"/>
      <c r="M5647" s="78"/>
      <c r="N5647" s="78"/>
      <c r="P5647" s="85"/>
    </row>
    <row r="5648" spans="11:16">
      <c r="K5648" s="85">
        <v>27</v>
      </c>
      <c r="L5648" s="78"/>
      <c r="M5648" s="78"/>
      <c r="N5648" s="78"/>
      <c r="P5648" s="85"/>
    </row>
    <row r="5649" spans="11:16">
      <c r="K5649" s="85">
        <v>28</v>
      </c>
      <c r="L5649" s="78"/>
      <c r="M5649" s="78"/>
      <c r="N5649" s="78"/>
      <c r="P5649" s="85"/>
    </row>
    <row r="5650" spans="11:16">
      <c r="K5650" s="85">
        <v>29</v>
      </c>
      <c r="L5650" s="78"/>
      <c r="M5650" s="78"/>
      <c r="N5650" s="78"/>
      <c r="P5650" s="85"/>
    </row>
    <row r="5651" spans="11:16">
      <c r="K5651" s="85">
        <v>30</v>
      </c>
      <c r="L5651" s="78"/>
      <c r="M5651" s="78"/>
      <c r="N5651" s="78"/>
      <c r="P5651" s="85"/>
    </row>
    <row r="5652" spans="11:16">
      <c r="K5652" s="85">
        <v>31</v>
      </c>
      <c r="L5652" s="78"/>
      <c r="M5652" s="78"/>
      <c r="N5652" s="78"/>
      <c r="P5652" s="85"/>
    </row>
    <row r="5653" spans="11:16">
      <c r="K5653" s="85">
        <v>32</v>
      </c>
      <c r="L5653" s="78"/>
      <c r="M5653" s="78"/>
      <c r="N5653" s="78"/>
      <c r="P5653" s="85"/>
    </row>
    <row r="5654" spans="11:16">
      <c r="K5654" s="85">
        <v>33</v>
      </c>
      <c r="L5654" s="78"/>
      <c r="M5654" s="78"/>
      <c r="N5654" s="78"/>
      <c r="P5654" s="85"/>
    </row>
    <row r="5655" spans="11:16">
      <c r="K5655" s="85">
        <v>34</v>
      </c>
      <c r="L5655" s="78"/>
      <c r="M5655" s="78"/>
      <c r="N5655" s="78"/>
      <c r="P5655" s="85"/>
    </row>
    <row r="5656" spans="11:16">
      <c r="K5656" s="85">
        <v>35</v>
      </c>
      <c r="L5656" s="78"/>
      <c r="M5656" s="78"/>
      <c r="N5656" s="78"/>
      <c r="P5656" s="85"/>
    </row>
    <row r="5657" spans="11:16">
      <c r="K5657" s="85">
        <v>36</v>
      </c>
      <c r="L5657" s="78"/>
      <c r="M5657" s="78"/>
      <c r="N5657" s="78"/>
      <c r="P5657" s="85"/>
    </row>
    <row r="5658" spans="11:16">
      <c r="K5658" s="85">
        <v>25</v>
      </c>
      <c r="L5658" s="78"/>
      <c r="M5658" s="78"/>
      <c r="N5658" s="78"/>
      <c r="P5658" s="85"/>
    </row>
    <row r="5659" spans="11:16">
      <c r="K5659" s="85">
        <v>26</v>
      </c>
      <c r="L5659" s="78"/>
      <c r="M5659" s="78"/>
      <c r="N5659" s="78"/>
      <c r="P5659" s="85"/>
    </row>
    <row r="5660" spans="11:16">
      <c r="K5660" s="85">
        <v>27</v>
      </c>
      <c r="L5660" s="78"/>
      <c r="M5660" s="78"/>
      <c r="N5660" s="78"/>
      <c r="P5660" s="85"/>
    </row>
    <row r="5661" spans="11:16">
      <c r="K5661" s="85">
        <v>31</v>
      </c>
      <c r="L5661" s="78"/>
      <c r="M5661" s="78"/>
      <c r="N5661" s="78"/>
      <c r="P5661" s="85"/>
    </row>
    <row r="5662" spans="11:16">
      <c r="K5662" s="85">
        <v>32</v>
      </c>
      <c r="L5662" s="78"/>
      <c r="M5662" s="78"/>
      <c r="N5662" s="78"/>
      <c r="P5662" s="85"/>
    </row>
    <row r="5663" spans="11:16">
      <c r="K5663" s="85">
        <v>33</v>
      </c>
      <c r="L5663" s="78"/>
      <c r="M5663" s="78"/>
      <c r="N5663" s="78"/>
      <c r="P5663" s="85"/>
    </row>
    <row r="5664" spans="11:16">
      <c r="K5664" s="85">
        <v>34</v>
      </c>
      <c r="L5664" s="78"/>
      <c r="M5664" s="78"/>
      <c r="N5664" s="78"/>
      <c r="P5664" s="85"/>
    </row>
    <row r="5665" spans="11:16">
      <c r="K5665" s="85">
        <v>35</v>
      </c>
      <c r="L5665" s="78"/>
      <c r="M5665" s="78"/>
      <c r="N5665" s="78"/>
      <c r="P5665" s="85"/>
    </row>
    <row r="5666" spans="11:16">
      <c r="K5666" s="85">
        <v>36</v>
      </c>
      <c r="L5666" s="78"/>
      <c r="M5666" s="78"/>
      <c r="N5666" s="78"/>
      <c r="P5666" s="85"/>
    </row>
    <row r="5667" spans="11:16">
      <c r="K5667" s="85">
        <v>25</v>
      </c>
      <c r="L5667" s="78"/>
      <c r="M5667" s="78"/>
      <c r="N5667" s="78"/>
      <c r="P5667" s="85"/>
    </row>
    <row r="5668" spans="11:16">
      <c r="K5668" s="85">
        <v>26</v>
      </c>
      <c r="L5668" s="78"/>
      <c r="M5668" s="78"/>
      <c r="N5668" s="78"/>
      <c r="P5668" s="85"/>
    </row>
    <row r="5669" spans="11:16">
      <c r="K5669" s="85">
        <v>27</v>
      </c>
      <c r="L5669" s="78"/>
      <c r="M5669" s="78"/>
      <c r="N5669" s="78"/>
      <c r="P5669" s="85"/>
    </row>
    <row r="5670" spans="11:16">
      <c r="K5670" s="85">
        <v>28</v>
      </c>
      <c r="L5670" s="78"/>
      <c r="M5670" s="78"/>
      <c r="N5670" s="78"/>
      <c r="P5670" s="85"/>
    </row>
    <row r="5671" spans="11:16">
      <c r="K5671" s="85">
        <v>29</v>
      </c>
      <c r="L5671" s="78"/>
      <c r="M5671" s="78"/>
      <c r="N5671" s="78"/>
      <c r="P5671" s="85"/>
    </row>
    <row r="5672" spans="11:16">
      <c r="K5672" s="85">
        <v>30</v>
      </c>
      <c r="L5672" s="78"/>
      <c r="M5672" s="78"/>
      <c r="N5672" s="78"/>
      <c r="P5672" s="85"/>
    </row>
    <row r="5673" spans="11:16">
      <c r="K5673" s="85">
        <v>31</v>
      </c>
      <c r="L5673" s="78"/>
      <c r="M5673" s="78"/>
      <c r="N5673" s="78"/>
      <c r="P5673" s="85"/>
    </row>
    <row r="5674" spans="11:16">
      <c r="K5674" s="85">
        <v>32</v>
      </c>
      <c r="L5674" s="78"/>
      <c r="M5674" s="78"/>
      <c r="N5674" s="78"/>
      <c r="P5674" s="85"/>
    </row>
    <row r="5675" spans="11:16">
      <c r="K5675" s="85">
        <v>34</v>
      </c>
      <c r="L5675" s="78"/>
      <c r="M5675" s="78"/>
      <c r="N5675" s="78"/>
      <c r="P5675" s="85"/>
    </row>
    <row r="5676" spans="11:16">
      <c r="K5676" s="85">
        <v>35</v>
      </c>
      <c r="L5676" s="78"/>
      <c r="M5676" s="78"/>
      <c r="N5676" s="78"/>
      <c r="P5676" s="85"/>
    </row>
    <row r="5677" spans="11:16">
      <c r="K5677" s="85">
        <v>25</v>
      </c>
      <c r="L5677" s="78"/>
      <c r="M5677" s="78"/>
      <c r="N5677" s="78"/>
      <c r="P5677" s="85"/>
    </row>
    <row r="5678" spans="11:16">
      <c r="K5678" s="85">
        <v>27</v>
      </c>
      <c r="L5678" s="78"/>
      <c r="M5678" s="78"/>
      <c r="N5678" s="78"/>
      <c r="P5678" s="85"/>
    </row>
    <row r="5679" spans="11:16">
      <c r="K5679" s="85">
        <v>28</v>
      </c>
      <c r="L5679" s="78"/>
      <c r="M5679" s="78"/>
      <c r="N5679" s="78"/>
      <c r="P5679" s="85"/>
    </row>
    <row r="5680" spans="11:16">
      <c r="K5680" s="85">
        <v>30</v>
      </c>
      <c r="L5680" s="78"/>
      <c r="M5680" s="78"/>
      <c r="N5680" s="78"/>
      <c r="P5680" s="85"/>
    </row>
    <row r="5681" spans="11:16">
      <c r="K5681" s="85">
        <v>31</v>
      </c>
      <c r="L5681" s="78"/>
      <c r="M5681" s="78"/>
      <c r="N5681" s="78"/>
      <c r="P5681" s="85"/>
    </row>
    <row r="5682" spans="11:16">
      <c r="K5682" s="85">
        <v>34</v>
      </c>
      <c r="L5682" s="78"/>
      <c r="M5682" s="78"/>
      <c r="N5682" s="78"/>
      <c r="P5682" s="85"/>
    </row>
    <row r="5683" spans="11:16">
      <c r="K5683" s="85">
        <v>35</v>
      </c>
      <c r="L5683" s="78"/>
      <c r="M5683" s="78"/>
      <c r="N5683" s="78"/>
      <c r="P5683" s="85"/>
    </row>
    <row r="5684" spans="11:16">
      <c r="K5684" s="85">
        <v>25</v>
      </c>
      <c r="L5684" s="78"/>
      <c r="M5684" s="78"/>
      <c r="N5684" s="78"/>
      <c r="P5684" s="85"/>
    </row>
    <row r="5685" spans="11:16">
      <c r="K5685" s="85">
        <v>26</v>
      </c>
      <c r="L5685" s="78"/>
      <c r="M5685" s="78"/>
      <c r="N5685" s="78"/>
      <c r="P5685" s="85"/>
    </row>
    <row r="5686" spans="11:16">
      <c r="K5686" s="85">
        <v>27</v>
      </c>
      <c r="L5686" s="78"/>
      <c r="M5686" s="78"/>
      <c r="N5686" s="78"/>
      <c r="P5686" s="85"/>
    </row>
    <row r="5687" spans="11:16">
      <c r="K5687" s="85">
        <v>28</v>
      </c>
      <c r="L5687" s="78"/>
      <c r="M5687" s="78"/>
      <c r="N5687" s="78"/>
      <c r="P5687" s="85"/>
    </row>
    <row r="5688" spans="11:16">
      <c r="K5688" s="85">
        <v>31</v>
      </c>
      <c r="L5688" s="78"/>
      <c r="M5688" s="78"/>
      <c r="N5688" s="78"/>
      <c r="P5688" s="85"/>
    </row>
    <row r="5689" spans="11:16">
      <c r="K5689" s="85">
        <v>34</v>
      </c>
      <c r="L5689" s="78"/>
      <c r="M5689" s="78"/>
      <c r="N5689" s="78"/>
      <c r="P5689" s="85"/>
    </row>
    <row r="5690" spans="11:16">
      <c r="K5690" s="85">
        <v>35</v>
      </c>
      <c r="L5690" s="78"/>
      <c r="M5690" s="78"/>
      <c r="N5690" s="78"/>
      <c r="P5690" s="85"/>
    </row>
    <row r="5691" spans="11:16">
      <c r="K5691" s="85">
        <v>36</v>
      </c>
      <c r="L5691" s="78"/>
      <c r="M5691" s="78"/>
      <c r="N5691" s="78"/>
      <c r="P5691" s="85"/>
    </row>
    <row r="5692" spans="11:16">
      <c r="K5692" s="85">
        <v>25</v>
      </c>
      <c r="L5692" s="78"/>
      <c r="M5692" s="78"/>
      <c r="N5692" s="78"/>
      <c r="P5692" s="85"/>
    </row>
    <row r="5693" spans="11:16">
      <c r="K5693" s="85">
        <v>26</v>
      </c>
      <c r="L5693" s="78"/>
      <c r="M5693" s="78"/>
      <c r="N5693" s="78"/>
      <c r="P5693" s="85"/>
    </row>
    <row r="5694" spans="11:16">
      <c r="K5694" s="85">
        <v>27</v>
      </c>
      <c r="L5694" s="78"/>
      <c r="M5694" s="78"/>
      <c r="N5694" s="78"/>
      <c r="P5694" s="85"/>
    </row>
    <row r="5695" spans="11:16">
      <c r="K5695" s="85">
        <v>29</v>
      </c>
      <c r="L5695" s="78"/>
      <c r="M5695" s="78"/>
      <c r="N5695" s="78"/>
      <c r="P5695" s="85"/>
    </row>
    <row r="5696" spans="11:16">
      <c r="K5696" s="85">
        <v>30</v>
      </c>
      <c r="L5696" s="78"/>
      <c r="M5696" s="78"/>
      <c r="N5696" s="78"/>
      <c r="P5696" s="85"/>
    </row>
    <row r="5697" spans="11:16">
      <c r="K5697" s="85">
        <v>32</v>
      </c>
      <c r="L5697" s="78"/>
      <c r="M5697" s="78"/>
      <c r="N5697" s="78"/>
      <c r="P5697" s="85"/>
    </row>
    <row r="5698" spans="11:16">
      <c r="K5698" s="85">
        <v>33</v>
      </c>
      <c r="L5698" s="78"/>
      <c r="M5698" s="78"/>
      <c r="N5698" s="78"/>
      <c r="P5698" s="85"/>
    </row>
    <row r="5699" spans="11:16">
      <c r="K5699" s="85">
        <v>36</v>
      </c>
      <c r="L5699" s="78"/>
      <c r="M5699" s="78"/>
      <c r="N5699" s="78"/>
      <c r="P5699" s="85"/>
    </row>
    <row r="5700" spans="11:16">
      <c r="K5700" s="85">
        <v>27</v>
      </c>
      <c r="L5700" s="78"/>
      <c r="M5700" s="78"/>
      <c r="N5700" s="78"/>
      <c r="P5700" s="85"/>
    </row>
    <row r="5701" spans="11:16">
      <c r="K5701" s="85">
        <v>31</v>
      </c>
      <c r="L5701" s="78"/>
      <c r="M5701" s="78"/>
      <c r="N5701" s="78"/>
      <c r="P5701" s="85"/>
    </row>
    <row r="5702" spans="11:16">
      <c r="K5702" s="85">
        <v>25</v>
      </c>
      <c r="L5702" s="78"/>
      <c r="M5702" s="78"/>
      <c r="N5702" s="78"/>
      <c r="P5702" s="85"/>
    </row>
    <row r="5703" spans="11:16">
      <c r="K5703" s="85">
        <v>26</v>
      </c>
      <c r="L5703" s="78"/>
      <c r="M5703" s="78"/>
      <c r="N5703" s="78"/>
      <c r="P5703" s="85"/>
    </row>
    <row r="5704" spans="11:16">
      <c r="K5704" s="85">
        <v>27</v>
      </c>
      <c r="L5704" s="78"/>
      <c r="M5704" s="78"/>
      <c r="N5704" s="78"/>
      <c r="P5704" s="85"/>
    </row>
    <row r="5705" spans="11:16">
      <c r="K5705" s="85">
        <v>28</v>
      </c>
      <c r="L5705" s="78"/>
      <c r="M5705" s="78"/>
      <c r="N5705" s="78"/>
      <c r="P5705" s="85"/>
    </row>
    <row r="5706" spans="11:16">
      <c r="K5706" s="85">
        <v>30</v>
      </c>
      <c r="L5706" s="78"/>
      <c r="M5706" s="78"/>
      <c r="N5706" s="78"/>
      <c r="P5706" s="85"/>
    </row>
    <row r="5707" spans="11:16">
      <c r="K5707" s="85">
        <v>31</v>
      </c>
      <c r="L5707" s="78"/>
      <c r="M5707" s="78"/>
      <c r="N5707" s="78"/>
      <c r="P5707" s="85"/>
    </row>
    <row r="5708" spans="11:16">
      <c r="K5708" s="85">
        <v>33</v>
      </c>
      <c r="L5708" s="78"/>
      <c r="M5708" s="78"/>
      <c r="N5708" s="78"/>
      <c r="P5708" s="85"/>
    </row>
    <row r="5709" spans="11:16">
      <c r="K5709" s="85">
        <v>34</v>
      </c>
      <c r="L5709" s="78"/>
      <c r="M5709" s="78"/>
      <c r="N5709" s="78"/>
      <c r="P5709" s="85"/>
    </row>
    <row r="5710" spans="11:16">
      <c r="K5710" s="85">
        <v>35</v>
      </c>
      <c r="L5710" s="78"/>
      <c r="M5710" s="78"/>
      <c r="N5710" s="78"/>
      <c r="P5710" s="85"/>
    </row>
    <row r="5711" spans="11:16">
      <c r="K5711" s="85">
        <v>25</v>
      </c>
      <c r="L5711" s="78"/>
      <c r="M5711" s="78"/>
      <c r="N5711" s="78"/>
      <c r="P5711" s="85"/>
    </row>
    <row r="5712" spans="11:16">
      <c r="K5712" s="85">
        <v>26</v>
      </c>
      <c r="L5712" s="78"/>
      <c r="M5712" s="78"/>
      <c r="N5712" s="78"/>
      <c r="P5712" s="85"/>
    </row>
    <row r="5713" spans="11:16">
      <c r="K5713" s="85">
        <v>27</v>
      </c>
      <c r="L5713" s="78"/>
      <c r="M5713" s="78"/>
      <c r="N5713" s="78"/>
      <c r="P5713" s="85"/>
    </row>
    <row r="5714" spans="11:16">
      <c r="K5714" s="85">
        <v>28</v>
      </c>
      <c r="L5714" s="78"/>
      <c r="M5714" s="78"/>
      <c r="N5714" s="78"/>
      <c r="P5714" s="85"/>
    </row>
    <row r="5715" spans="11:16">
      <c r="K5715" s="85">
        <v>29</v>
      </c>
      <c r="L5715" s="78"/>
      <c r="M5715" s="78"/>
      <c r="N5715" s="78"/>
      <c r="P5715" s="85"/>
    </row>
    <row r="5716" spans="11:16">
      <c r="K5716" s="85">
        <v>30</v>
      </c>
      <c r="L5716" s="78"/>
      <c r="M5716" s="78"/>
      <c r="N5716" s="78"/>
      <c r="P5716" s="85"/>
    </row>
    <row r="5717" spans="11:16">
      <c r="K5717" s="85">
        <v>31</v>
      </c>
      <c r="L5717" s="78"/>
      <c r="M5717" s="78"/>
      <c r="N5717" s="78"/>
      <c r="P5717" s="85"/>
    </row>
    <row r="5718" spans="11:16">
      <c r="K5718" s="85">
        <v>32</v>
      </c>
      <c r="L5718" s="78"/>
      <c r="M5718" s="78"/>
      <c r="N5718" s="78"/>
      <c r="P5718" s="85"/>
    </row>
    <row r="5719" spans="11:16">
      <c r="K5719" s="85">
        <v>33</v>
      </c>
      <c r="L5719" s="78"/>
      <c r="M5719" s="78"/>
      <c r="N5719" s="78"/>
      <c r="P5719" s="85"/>
    </row>
    <row r="5720" spans="11:16">
      <c r="K5720" s="85">
        <v>34</v>
      </c>
      <c r="L5720" s="78"/>
      <c r="M5720" s="78"/>
      <c r="N5720" s="78"/>
      <c r="P5720" s="85"/>
    </row>
    <row r="5721" spans="11:16">
      <c r="K5721" s="85">
        <v>35</v>
      </c>
      <c r="L5721" s="78"/>
      <c r="M5721" s="78"/>
      <c r="N5721" s="78"/>
      <c r="P5721" s="85"/>
    </row>
    <row r="5722" spans="11:16">
      <c r="K5722" s="85">
        <v>36</v>
      </c>
      <c r="L5722" s="78"/>
      <c r="M5722" s="78"/>
      <c r="N5722" s="78"/>
      <c r="P5722" s="85"/>
    </row>
    <row r="5723" spans="11:16">
      <c r="K5723" s="85">
        <v>31</v>
      </c>
      <c r="L5723" s="78"/>
      <c r="M5723" s="78"/>
      <c r="N5723" s="78"/>
      <c r="P5723" s="85"/>
    </row>
    <row r="5724" spans="11:16">
      <c r="K5724" s="85">
        <v>32</v>
      </c>
      <c r="L5724" s="78"/>
      <c r="M5724" s="78"/>
      <c r="N5724" s="78"/>
      <c r="P5724" s="85"/>
    </row>
    <row r="5725" spans="11:16">
      <c r="K5725" s="85">
        <v>35</v>
      </c>
      <c r="L5725" s="78"/>
      <c r="M5725" s="78"/>
      <c r="N5725" s="78"/>
      <c r="P5725" s="85"/>
    </row>
    <row r="5726" spans="11:16">
      <c r="K5726" s="85">
        <v>25</v>
      </c>
      <c r="L5726" s="78"/>
      <c r="M5726" s="78"/>
      <c r="N5726" s="78"/>
      <c r="P5726" s="85"/>
    </row>
    <row r="5727" spans="11:16">
      <c r="K5727" s="85">
        <v>26</v>
      </c>
      <c r="L5727" s="78"/>
      <c r="M5727" s="78"/>
      <c r="N5727" s="78"/>
      <c r="P5727" s="85"/>
    </row>
    <row r="5728" spans="11:16">
      <c r="K5728" s="85">
        <v>27</v>
      </c>
      <c r="L5728" s="78"/>
      <c r="M5728" s="78"/>
      <c r="N5728" s="78"/>
      <c r="P5728" s="85"/>
    </row>
    <row r="5729" spans="11:16">
      <c r="K5729" s="85">
        <v>28</v>
      </c>
      <c r="L5729" s="78"/>
      <c r="M5729" s="78"/>
      <c r="N5729" s="78"/>
      <c r="P5729" s="85"/>
    </row>
    <row r="5730" spans="11:16">
      <c r="K5730" s="85">
        <v>29</v>
      </c>
      <c r="L5730" s="78"/>
      <c r="M5730" s="78"/>
      <c r="N5730" s="78"/>
      <c r="P5730" s="85"/>
    </row>
    <row r="5731" spans="11:16">
      <c r="K5731" s="85">
        <v>30</v>
      </c>
      <c r="L5731" s="78"/>
      <c r="M5731" s="78"/>
      <c r="N5731" s="78"/>
      <c r="P5731" s="85"/>
    </row>
    <row r="5732" spans="11:16">
      <c r="K5732" s="85">
        <v>31</v>
      </c>
      <c r="L5732" s="78"/>
      <c r="M5732" s="78"/>
      <c r="N5732" s="78"/>
      <c r="P5732" s="85"/>
    </row>
    <row r="5733" spans="11:16">
      <c r="K5733" s="85">
        <v>32</v>
      </c>
      <c r="L5733" s="78"/>
      <c r="M5733" s="78"/>
      <c r="N5733" s="78"/>
      <c r="P5733" s="85"/>
    </row>
    <row r="5734" spans="11:16">
      <c r="K5734" s="85">
        <v>33</v>
      </c>
      <c r="L5734" s="78"/>
      <c r="M5734" s="78"/>
      <c r="N5734" s="78"/>
      <c r="P5734" s="85"/>
    </row>
    <row r="5735" spans="11:16">
      <c r="K5735" s="85">
        <v>34</v>
      </c>
      <c r="L5735" s="78"/>
      <c r="M5735" s="78"/>
      <c r="N5735" s="78"/>
      <c r="P5735" s="85"/>
    </row>
    <row r="5736" spans="11:16">
      <c r="K5736" s="85">
        <v>35</v>
      </c>
      <c r="L5736" s="78"/>
      <c r="M5736" s="78"/>
      <c r="N5736" s="78"/>
      <c r="P5736" s="85"/>
    </row>
    <row r="5737" spans="11:16">
      <c r="K5737" s="85">
        <v>36</v>
      </c>
      <c r="L5737" s="78"/>
      <c r="M5737" s="78"/>
      <c r="N5737" s="78"/>
      <c r="P5737" s="85"/>
    </row>
    <row r="5738" spans="11:16">
      <c r="K5738" s="85">
        <v>26</v>
      </c>
      <c r="L5738" s="78"/>
      <c r="M5738" s="78"/>
      <c r="N5738" s="78"/>
      <c r="P5738" s="85"/>
    </row>
    <row r="5739" spans="11:16">
      <c r="K5739" s="85">
        <v>27</v>
      </c>
      <c r="L5739" s="78"/>
      <c r="M5739" s="78"/>
      <c r="N5739" s="78"/>
      <c r="P5739" s="85"/>
    </row>
    <row r="5740" spans="11:16">
      <c r="K5740" s="85">
        <v>28</v>
      </c>
      <c r="L5740" s="78"/>
      <c r="M5740" s="78"/>
      <c r="N5740" s="78"/>
      <c r="P5740" s="85"/>
    </row>
    <row r="5741" spans="11:16">
      <c r="K5741" s="85">
        <v>30</v>
      </c>
      <c r="L5741" s="78"/>
      <c r="M5741" s="78"/>
      <c r="N5741" s="78"/>
      <c r="P5741" s="85"/>
    </row>
    <row r="5742" spans="11:16">
      <c r="K5742" s="85">
        <v>32</v>
      </c>
      <c r="L5742" s="78"/>
      <c r="M5742" s="78"/>
      <c r="N5742" s="78"/>
      <c r="P5742" s="85"/>
    </row>
    <row r="5743" spans="11:16">
      <c r="K5743" s="85">
        <v>33</v>
      </c>
      <c r="L5743" s="78"/>
      <c r="M5743" s="78"/>
      <c r="N5743" s="78"/>
      <c r="P5743" s="85"/>
    </row>
    <row r="5744" spans="11:16">
      <c r="K5744" s="85">
        <v>34</v>
      </c>
      <c r="L5744" s="78"/>
      <c r="M5744" s="78"/>
      <c r="N5744" s="78"/>
      <c r="P5744" s="85"/>
    </row>
    <row r="5745" spans="11:16">
      <c r="K5745" s="85">
        <v>25</v>
      </c>
      <c r="L5745" s="78"/>
      <c r="M5745" s="78"/>
      <c r="N5745" s="78"/>
      <c r="P5745" s="85"/>
    </row>
    <row r="5746" spans="11:16">
      <c r="K5746" s="85">
        <v>26</v>
      </c>
      <c r="L5746" s="78"/>
      <c r="M5746" s="78"/>
      <c r="N5746" s="78"/>
      <c r="P5746" s="85"/>
    </row>
    <row r="5747" spans="11:16">
      <c r="K5747" s="85">
        <v>27</v>
      </c>
      <c r="L5747" s="78"/>
      <c r="M5747" s="78"/>
      <c r="N5747" s="78"/>
      <c r="P5747" s="85"/>
    </row>
    <row r="5748" spans="11:16">
      <c r="K5748" s="85">
        <v>28</v>
      </c>
      <c r="L5748" s="78"/>
      <c r="M5748" s="78"/>
      <c r="N5748" s="78"/>
      <c r="P5748" s="85"/>
    </row>
    <row r="5749" spans="11:16">
      <c r="K5749" s="85">
        <v>29</v>
      </c>
      <c r="L5749" s="78"/>
      <c r="M5749" s="78"/>
      <c r="N5749" s="78"/>
      <c r="P5749" s="85"/>
    </row>
    <row r="5750" spans="11:16">
      <c r="K5750" s="85">
        <v>30</v>
      </c>
      <c r="L5750" s="78"/>
      <c r="M5750" s="78"/>
      <c r="N5750" s="78"/>
      <c r="P5750" s="85"/>
    </row>
    <row r="5751" spans="11:16">
      <c r="K5751" s="85">
        <v>31</v>
      </c>
      <c r="L5751" s="78"/>
      <c r="M5751" s="78"/>
      <c r="N5751" s="78"/>
      <c r="P5751" s="85"/>
    </row>
    <row r="5752" spans="11:16">
      <c r="K5752" s="85">
        <v>32</v>
      </c>
      <c r="L5752" s="78"/>
      <c r="M5752" s="78"/>
      <c r="N5752" s="78"/>
      <c r="P5752" s="85"/>
    </row>
    <row r="5753" spans="11:16">
      <c r="K5753" s="85">
        <v>33</v>
      </c>
      <c r="L5753" s="78"/>
      <c r="M5753" s="78"/>
      <c r="N5753" s="78"/>
      <c r="P5753" s="85"/>
    </row>
    <row r="5754" spans="11:16">
      <c r="K5754" s="85">
        <v>34</v>
      </c>
      <c r="L5754" s="78"/>
      <c r="M5754" s="78"/>
      <c r="N5754" s="78"/>
      <c r="P5754" s="85"/>
    </row>
    <row r="5755" spans="11:16">
      <c r="K5755" s="85">
        <v>35</v>
      </c>
      <c r="L5755" s="78"/>
      <c r="M5755" s="78"/>
      <c r="N5755" s="78"/>
      <c r="P5755" s="85"/>
    </row>
    <row r="5756" spans="11:16">
      <c r="K5756" s="85">
        <v>25</v>
      </c>
      <c r="L5756" s="78"/>
      <c r="M5756" s="78"/>
      <c r="N5756" s="78"/>
      <c r="P5756" s="85"/>
    </row>
    <row r="5757" spans="11:16">
      <c r="K5757" s="85">
        <v>26</v>
      </c>
      <c r="L5757" s="78"/>
      <c r="M5757" s="78"/>
      <c r="N5757" s="78"/>
      <c r="P5757" s="85"/>
    </row>
    <row r="5758" spans="11:16">
      <c r="K5758" s="85">
        <v>27</v>
      </c>
      <c r="L5758" s="78"/>
      <c r="M5758" s="78"/>
      <c r="N5758" s="78"/>
      <c r="P5758" s="85"/>
    </row>
    <row r="5759" spans="11:16">
      <c r="K5759" s="85">
        <v>28</v>
      </c>
      <c r="L5759" s="78"/>
      <c r="M5759" s="78"/>
      <c r="N5759" s="78"/>
      <c r="P5759" s="85"/>
    </row>
    <row r="5760" spans="11:16">
      <c r="K5760" s="85">
        <v>29</v>
      </c>
      <c r="L5760" s="78"/>
      <c r="M5760" s="78"/>
      <c r="N5760" s="78"/>
      <c r="P5760" s="85"/>
    </row>
    <row r="5761" spans="11:16">
      <c r="K5761" s="85">
        <v>30</v>
      </c>
      <c r="L5761" s="78"/>
      <c r="M5761" s="78"/>
      <c r="N5761" s="78"/>
      <c r="P5761" s="85"/>
    </row>
    <row r="5762" spans="11:16">
      <c r="K5762" s="85">
        <v>31</v>
      </c>
      <c r="L5762" s="78"/>
      <c r="M5762" s="78"/>
      <c r="N5762" s="78"/>
      <c r="P5762" s="85"/>
    </row>
    <row r="5763" spans="11:16">
      <c r="K5763" s="85">
        <v>32</v>
      </c>
      <c r="L5763" s="78"/>
      <c r="M5763" s="78"/>
      <c r="N5763" s="78"/>
      <c r="P5763" s="85"/>
    </row>
    <row r="5764" spans="11:16">
      <c r="K5764" s="85">
        <v>33</v>
      </c>
      <c r="L5764" s="78"/>
      <c r="M5764" s="78"/>
      <c r="N5764" s="78"/>
      <c r="P5764" s="85"/>
    </row>
    <row r="5765" spans="11:16">
      <c r="K5765" s="85">
        <v>34</v>
      </c>
      <c r="L5765" s="78"/>
      <c r="M5765" s="78"/>
      <c r="N5765" s="78"/>
      <c r="P5765" s="85"/>
    </row>
    <row r="5766" spans="11:16">
      <c r="K5766" s="85">
        <v>35</v>
      </c>
      <c r="L5766" s="78"/>
      <c r="M5766" s="78"/>
      <c r="N5766" s="78"/>
      <c r="P5766" s="85"/>
    </row>
    <row r="5767" spans="11:16">
      <c r="K5767" s="85">
        <v>36</v>
      </c>
      <c r="L5767" s="78"/>
      <c r="M5767" s="78"/>
      <c r="N5767" s="78"/>
      <c r="P5767" s="85"/>
    </row>
    <row r="5768" spans="11:16">
      <c r="K5768" s="85">
        <v>26</v>
      </c>
      <c r="L5768" s="78"/>
      <c r="M5768" s="78"/>
      <c r="N5768" s="78"/>
      <c r="P5768" s="85"/>
    </row>
    <row r="5769" spans="11:16">
      <c r="K5769" s="85">
        <v>27</v>
      </c>
      <c r="L5769" s="78"/>
      <c r="M5769" s="78"/>
      <c r="N5769" s="78"/>
      <c r="P5769" s="85"/>
    </row>
    <row r="5770" spans="11:16">
      <c r="K5770" s="85">
        <v>28</v>
      </c>
      <c r="L5770" s="78"/>
      <c r="M5770" s="78"/>
      <c r="N5770" s="78"/>
      <c r="P5770" s="85"/>
    </row>
    <row r="5771" spans="11:16">
      <c r="K5771" s="85">
        <v>29</v>
      </c>
      <c r="L5771" s="78"/>
      <c r="M5771" s="78"/>
      <c r="N5771" s="78"/>
      <c r="P5771" s="85"/>
    </row>
    <row r="5772" spans="11:16">
      <c r="K5772" s="85">
        <v>30</v>
      </c>
      <c r="L5772" s="78"/>
      <c r="M5772" s="78"/>
      <c r="N5772" s="78"/>
      <c r="P5772" s="85"/>
    </row>
    <row r="5773" spans="11:16">
      <c r="K5773" s="85">
        <v>31</v>
      </c>
      <c r="L5773" s="78"/>
      <c r="M5773" s="78"/>
      <c r="N5773" s="78"/>
      <c r="P5773" s="85"/>
    </row>
    <row r="5774" spans="11:16">
      <c r="K5774" s="85">
        <v>32</v>
      </c>
      <c r="L5774" s="78"/>
      <c r="M5774" s="78"/>
      <c r="N5774" s="78"/>
      <c r="P5774" s="85"/>
    </row>
    <row r="5775" spans="11:16">
      <c r="K5775" s="85">
        <v>33</v>
      </c>
      <c r="L5775" s="78"/>
      <c r="M5775" s="78"/>
      <c r="N5775" s="78"/>
      <c r="P5775" s="85"/>
    </row>
    <row r="5776" spans="11:16">
      <c r="K5776" s="85">
        <v>34</v>
      </c>
      <c r="L5776" s="78"/>
      <c r="M5776" s="78"/>
      <c r="N5776" s="78"/>
      <c r="P5776" s="85"/>
    </row>
    <row r="5777" spans="11:16">
      <c r="K5777" s="85">
        <v>35</v>
      </c>
      <c r="L5777" s="78"/>
      <c r="M5777" s="78"/>
      <c r="N5777" s="78"/>
      <c r="P5777" s="85"/>
    </row>
    <row r="5778" spans="11:16">
      <c r="K5778" s="85">
        <v>27</v>
      </c>
      <c r="L5778" s="78"/>
      <c r="M5778" s="78"/>
      <c r="N5778" s="78"/>
      <c r="P5778" s="85"/>
    </row>
    <row r="5779" spans="11:16">
      <c r="K5779" s="85">
        <v>35</v>
      </c>
      <c r="L5779" s="78"/>
      <c r="M5779" s="78"/>
      <c r="N5779" s="78"/>
      <c r="P5779" s="85"/>
    </row>
    <row r="5780" spans="11:16">
      <c r="K5780" s="85">
        <v>26</v>
      </c>
      <c r="L5780" s="78"/>
      <c r="M5780" s="78"/>
      <c r="N5780" s="78"/>
      <c r="P5780" s="85"/>
    </row>
    <row r="5781" spans="11:16">
      <c r="K5781" s="85">
        <v>27</v>
      </c>
      <c r="L5781" s="78"/>
      <c r="M5781" s="78"/>
      <c r="N5781" s="78"/>
      <c r="P5781" s="85"/>
    </row>
    <row r="5782" spans="11:16">
      <c r="K5782" s="85">
        <v>28</v>
      </c>
      <c r="L5782" s="78"/>
      <c r="M5782" s="78"/>
      <c r="N5782" s="78"/>
      <c r="P5782" s="85"/>
    </row>
    <row r="5783" spans="11:16">
      <c r="K5783" s="85">
        <v>30</v>
      </c>
      <c r="L5783" s="78"/>
      <c r="M5783" s="78"/>
      <c r="N5783" s="78"/>
      <c r="P5783" s="85"/>
    </row>
    <row r="5784" spans="11:16">
      <c r="K5784" s="85">
        <v>31</v>
      </c>
      <c r="L5784" s="78"/>
      <c r="M5784" s="78"/>
      <c r="N5784" s="78"/>
      <c r="P5784" s="85"/>
    </row>
    <row r="5785" spans="11:16">
      <c r="K5785" s="85">
        <v>32</v>
      </c>
      <c r="L5785" s="78"/>
      <c r="M5785" s="78"/>
      <c r="N5785" s="78"/>
      <c r="P5785" s="85"/>
    </row>
    <row r="5786" spans="11:16">
      <c r="K5786" s="85">
        <v>34</v>
      </c>
      <c r="L5786" s="78"/>
      <c r="M5786" s="78"/>
      <c r="N5786" s="78"/>
      <c r="P5786" s="85"/>
    </row>
    <row r="5787" spans="11:16">
      <c r="K5787" s="85">
        <v>35</v>
      </c>
      <c r="L5787" s="78"/>
      <c r="M5787" s="78"/>
      <c r="N5787" s="78"/>
      <c r="P5787" s="85"/>
    </row>
    <row r="5788" spans="11:16">
      <c r="K5788" s="85">
        <v>36</v>
      </c>
      <c r="L5788" s="78"/>
      <c r="M5788" s="78"/>
      <c r="N5788" s="78"/>
      <c r="P5788" s="85"/>
    </row>
    <row r="5789" spans="11:16">
      <c r="K5789" s="85">
        <v>27</v>
      </c>
      <c r="L5789" s="78"/>
      <c r="M5789" s="78"/>
      <c r="N5789" s="78"/>
      <c r="P5789" s="85"/>
    </row>
    <row r="5790" spans="11:16">
      <c r="K5790" s="85">
        <v>31</v>
      </c>
      <c r="L5790" s="78"/>
      <c r="M5790" s="78"/>
      <c r="N5790" s="78"/>
      <c r="P5790" s="85"/>
    </row>
    <row r="5791" spans="11:16">
      <c r="K5791" s="85">
        <v>35</v>
      </c>
      <c r="L5791" s="78"/>
      <c r="M5791" s="78"/>
      <c r="N5791" s="78"/>
      <c r="P5791" s="85"/>
    </row>
    <row r="5792" spans="11:16">
      <c r="K5792" s="85">
        <v>25</v>
      </c>
      <c r="L5792" s="78"/>
      <c r="M5792" s="78"/>
      <c r="N5792" s="78"/>
      <c r="P5792" s="85"/>
    </row>
    <row r="5793" spans="11:16">
      <c r="K5793" s="85">
        <v>26</v>
      </c>
      <c r="L5793" s="78"/>
      <c r="M5793" s="78"/>
      <c r="N5793" s="78"/>
      <c r="P5793" s="85"/>
    </row>
    <row r="5794" spans="11:16">
      <c r="K5794" s="85">
        <v>27</v>
      </c>
      <c r="L5794" s="78"/>
      <c r="M5794" s="78"/>
      <c r="N5794" s="78"/>
      <c r="P5794" s="85"/>
    </row>
    <row r="5795" spans="11:16">
      <c r="K5795" s="85">
        <v>28</v>
      </c>
      <c r="L5795" s="78"/>
      <c r="M5795" s="78"/>
      <c r="N5795" s="78"/>
      <c r="P5795" s="85"/>
    </row>
    <row r="5796" spans="11:16">
      <c r="K5796" s="85">
        <v>30</v>
      </c>
      <c r="L5796" s="78"/>
      <c r="M5796" s="78"/>
      <c r="N5796" s="78"/>
      <c r="P5796" s="85"/>
    </row>
    <row r="5797" spans="11:16">
      <c r="K5797" s="85">
        <v>31</v>
      </c>
      <c r="L5797" s="78"/>
      <c r="M5797" s="78"/>
      <c r="N5797" s="78"/>
      <c r="P5797" s="85"/>
    </row>
    <row r="5798" spans="11:16">
      <c r="K5798" s="85">
        <v>35</v>
      </c>
      <c r="L5798" s="78"/>
      <c r="M5798" s="78"/>
      <c r="N5798" s="78"/>
      <c r="P5798" s="85"/>
    </row>
    <row r="5799" spans="11:16">
      <c r="K5799" s="85">
        <v>27</v>
      </c>
      <c r="L5799" s="78"/>
      <c r="M5799" s="78"/>
      <c r="N5799" s="78"/>
      <c r="P5799" s="85"/>
    </row>
    <row r="5800" spans="11:16">
      <c r="K5800" s="85">
        <v>28</v>
      </c>
      <c r="L5800" s="78"/>
      <c r="M5800" s="78"/>
      <c r="N5800" s="78"/>
      <c r="P5800" s="85"/>
    </row>
    <row r="5801" spans="11:16">
      <c r="K5801" s="85">
        <v>32</v>
      </c>
      <c r="L5801" s="78"/>
      <c r="M5801" s="78"/>
      <c r="N5801" s="78"/>
      <c r="P5801" s="85"/>
    </row>
    <row r="5802" spans="11:16">
      <c r="K5802" s="85">
        <v>33</v>
      </c>
      <c r="L5802" s="78"/>
      <c r="M5802" s="78"/>
      <c r="N5802" s="78"/>
      <c r="P5802" s="85"/>
    </row>
    <row r="5803" spans="11:16">
      <c r="K5803" s="85">
        <v>34</v>
      </c>
      <c r="L5803" s="78"/>
      <c r="M5803" s="78"/>
      <c r="N5803" s="78"/>
      <c r="P5803" s="85"/>
    </row>
    <row r="5804" spans="11:16">
      <c r="K5804" s="85">
        <v>35</v>
      </c>
      <c r="L5804" s="78"/>
      <c r="M5804" s="78"/>
      <c r="N5804" s="78"/>
      <c r="P5804" s="85"/>
    </row>
    <row r="5805" spans="11:16">
      <c r="K5805" s="85">
        <v>26</v>
      </c>
      <c r="L5805" s="78"/>
      <c r="M5805" s="78"/>
      <c r="N5805" s="78"/>
      <c r="P5805" s="85"/>
    </row>
    <row r="5806" spans="11:16">
      <c r="K5806" s="85">
        <v>27</v>
      </c>
      <c r="L5806" s="78"/>
      <c r="M5806" s="78"/>
      <c r="N5806" s="78"/>
      <c r="P5806" s="85"/>
    </row>
    <row r="5807" spans="11:16">
      <c r="K5807" s="85">
        <v>31</v>
      </c>
      <c r="L5807" s="78"/>
      <c r="M5807" s="78"/>
      <c r="N5807" s="78"/>
      <c r="P5807" s="85"/>
    </row>
    <row r="5808" spans="11:16">
      <c r="K5808" s="85">
        <v>32</v>
      </c>
      <c r="L5808" s="78"/>
      <c r="M5808" s="78"/>
      <c r="N5808" s="78"/>
      <c r="P5808" s="85"/>
    </row>
    <row r="5809" spans="11:16">
      <c r="K5809" s="85">
        <v>34</v>
      </c>
      <c r="L5809" s="78"/>
      <c r="M5809" s="78"/>
      <c r="N5809" s="78"/>
      <c r="P5809" s="85"/>
    </row>
    <row r="5810" spans="11:16">
      <c r="K5810" s="85">
        <v>35</v>
      </c>
      <c r="L5810" s="78"/>
      <c r="M5810" s="78"/>
      <c r="N5810" s="78"/>
      <c r="P5810" s="85"/>
    </row>
    <row r="5811" spans="11:16">
      <c r="K5811" s="85">
        <v>26</v>
      </c>
      <c r="L5811" s="78"/>
      <c r="M5811" s="78"/>
      <c r="N5811" s="78"/>
      <c r="P5811" s="85"/>
    </row>
    <row r="5812" spans="11:16">
      <c r="K5812" s="85">
        <v>27</v>
      </c>
      <c r="L5812" s="78"/>
      <c r="M5812" s="78"/>
      <c r="N5812" s="78"/>
      <c r="P5812" s="85"/>
    </row>
    <row r="5813" spans="11:16">
      <c r="K5813" s="85">
        <v>31</v>
      </c>
      <c r="L5813" s="78"/>
      <c r="M5813" s="78"/>
      <c r="N5813" s="78"/>
      <c r="P5813" s="85"/>
    </row>
    <row r="5814" spans="11:16">
      <c r="K5814" s="85">
        <v>25</v>
      </c>
      <c r="L5814" s="78"/>
      <c r="M5814" s="78"/>
      <c r="N5814" s="78"/>
      <c r="P5814" s="85"/>
    </row>
    <row r="5815" spans="11:16">
      <c r="K5815" s="85">
        <v>26</v>
      </c>
      <c r="L5815" s="78"/>
      <c r="M5815" s="78"/>
      <c r="N5815" s="78"/>
      <c r="P5815" s="85"/>
    </row>
    <row r="5816" spans="11:16">
      <c r="K5816" s="85">
        <v>27</v>
      </c>
      <c r="L5816" s="78"/>
      <c r="M5816" s="78"/>
      <c r="N5816" s="78"/>
      <c r="P5816" s="85"/>
    </row>
    <row r="5817" spans="11:16">
      <c r="K5817" s="85">
        <v>34</v>
      </c>
      <c r="L5817" s="78"/>
      <c r="M5817" s="78"/>
      <c r="N5817" s="78"/>
      <c r="P5817" s="85"/>
    </row>
    <row r="5818" spans="11:16">
      <c r="K5818" s="85">
        <v>35</v>
      </c>
      <c r="L5818" s="78"/>
      <c r="M5818" s="78"/>
      <c r="N5818" s="78"/>
      <c r="P5818" s="85"/>
    </row>
    <row r="5819" spans="11:16">
      <c r="K5819" s="85">
        <v>25</v>
      </c>
      <c r="L5819" s="78"/>
      <c r="M5819" s="78"/>
      <c r="N5819" s="78"/>
      <c r="P5819" s="85"/>
    </row>
    <row r="5820" spans="11:16">
      <c r="K5820" s="85">
        <v>26</v>
      </c>
      <c r="L5820" s="78"/>
      <c r="M5820" s="78"/>
      <c r="N5820" s="78"/>
      <c r="P5820" s="85"/>
    </row>
    <row r="5821" spans="11:16">
      <c r="K5821" s="85">
        <v>27</v>
      </c>
      <c r="L5821" s="78"/>
      <c r="M5821" s="78"/>
      <c r="N5821" s="78"/>
      <c r="P5821" s="85"/>
    </row>
    <row r="5822" spans="11:16">
      <c r="K5822" s="85">
        <v>28</v>
      </c>
      <c r="L5822" s="78"/>
      <c r="M5822" s="78"/>
      <c r="N5822" s="78"/>
      <c r="P5822" s="85"/>
    </row>
    <row r="5823" spans="11:16">
      <c r="K5823" s="85">
        <v>31</v>
      </c>
      <c r="L5823" s="78"/>
      <c r="M5823" s="78"/>
      <c r="N5823" s="78"/>
      <c r="P5823" s="85"/>
    </row>
    <row r="5824" spans="11:16">
      <c r="K5824" s="85">
        <v>32</v>
      </c>
      <c r="L5824" s="78"/>
      <c r="M5824" s="78"/>
      <c r="N5824" s="78"/>
      <c r="P5824" s="85"/>
    </row>
    <row r="5825" spans="11:16">
      <c r="K5825" s="85">
        <v>33</v>
      </c>
      <c r="L5825" s="78"/>
      <c r="M5825" s="78"/>
      <c r="N5825" s="78"/>
      <c r="P5825" s="85"/>
    </row>
    <row r="5826" spans="11:16">
      <c r="K5826" s="85">
        <v>34</v>
      </c>
      <c r="L5826" s="78"/>
      <c r="M5826" s="78"/>
      <c r="N5826" s="78"/>
      <c r="P5826" s="85"/>
    </row>
    <row r="5827" spans="11:16">
      <c r="K5827" s="85">
        <v>35</v>
      </c>
      <c r="L5827" s="78"/>
      <c r="M5827" s="78"/>
      <c r="N5827" s="78"/>
      <c r="P5827" s="85"/>
    </row>
    <row r="5828" spans="11:16">
      <c r="K5828" s="85">
        <v>25</v>
      </c>
      <c r="L5828" s="78"/>
      <c r="M5828" s="78"/>
      <c r="N5828" s="78"/>
      <c r="P5828" s="85"/>
    </row>
    <row r="5829" spans="11:16">
      <c r="K5829" s="85">
        <v>31</v>
      </c>
      <c r="L5829" s="78"/>
      <c r="M5829" s="78"/>
      <c r="N5829" s="78"/>
      <c r="P5829" s="85"/>
    </row>
    <row r="5830" spans="11:16">
      <c r="K5830" s="85">
        <v>33</v>
      </c>
      <c r="L5830" s="78"/>
      <c r="M5830" s="78"/>
      <c r="N5830" s="78"/>
      <c r="P5830" s="85"/>
    </row>
    <row r="5831" spans="11:16">
      <c r="K5831" s="85">
        <v>36</v>
      </c>
      <c r="L5831" s="78"/>
      <c r="M5831" s="78"/>
      <c r="N5831" s="78"/>
      <c r="P5831" s="85"/>
    </row>
    <row r="5832" spans="11:16">
      <c r="K5832" s="85">
        <v>25</v>
      </c>
      <c r="L5832" s="78"/>
      <c r="M5832" s="78"/>
      <c r="N5832" s="78"/>
      <c r="P5832" s="85"/>
    </row>
    <row r="5833" spans="11:16">
      <c r="K5833" s="85">
        <v>26</v>
      </c>
      <c r="L5833" s="78"/>
      <c r="M5833" s="78"/>
      <c r="N5833" s="78"/>
      <c r="P5833" s="85"/>
    </row>
    <row r="5834" spans="11:16">
      <c r="K5834" s="85">
        <v>27</v>
      </c>
      <c r="L5834" s="78"/>
      <c r="M5834" s="78"/>
      <c r="N5834" s="78"/>
      <c r="P5834" s="85"/>
    </row>
    <row r="5835" spans="11:16">
      <c r="K5835" s="85">
        <v>28</v>
      </c>
      <c r="L5835" s="78"/>
      <c r="M5835" s="78"/>
      <c r="N5835" s="78"/>
      <c r="P5835" s="85"/>
    </row>
    <row r="5836" spans="11:16">
      <c r="K5836" s="85">
        <v>29</v>
      </c>
      <c r="L5836" s="78"/>
      <c r="M5836" s="78"/>
      <c r="N5836" s="78"/>
      <c r="P5836" s="85"/>
    </row>
    <row r="5837" spans="11:16">
      <c r="K5837" s="85">
        <v>30</v>
      </c>
      <c r="L5837" s="78"/>
      <c r="M5837" s="78"/>
      <c r="N5837" s="78"/>
      <c r="P5837" s="85"/>
    </row>
    <row r="5838" spans="11:16">
      <c r="K5838" s="85">
        <v>31</v>
      </c>
      <c r="L5838" s="78"/>
      <c r="M5838" s="78"/>
      <c r="N5838" s="78"/>
      <c r="P5838" s="85"/>
    </row>
    <row r="5839" spans="11:16">
      <c r="K5839" s="85">
        <v>32</v>
      </c>
      <c r="L5839" s="78"/>
      <c r="M5839" s="78"/>
      <c r="N5839" s="78"/>
      <c r="P5839" s="85"/>
    </row>
    <row r="5840" spans="11:16">
      <c r="K5840" s="85">
        <v>33</v>
      </c>
      <c r="L5840" s="78"/>
      <c r="M5840" s="78"/>
      <c r="N5840" s="78"/>
      <c r="P5840" s="85"/>
    </row>
    <row r="5841" spans="11:16">
      <c r="K5841" s="85">
        <v>34</v>
      </c>
      <c r="L5841" s="78"/>
      <c r="M5841" s="78"/>
      <c r="N5841" s="78"/>
      <c r="P5841" s="85"/>
    </row>
    <row r="5842" spans="11:16">
      <c r="K5842" s="85">
        <v>35</v>
      </c>
      <c r="L5842" s="78"/>
      <c r="M5842" s="78"/>
      <c r="N5842" s="78"/>
      <c r="P5842" s="85"/>
    </row>
    <row r="5843" spans="11:16">
      <c r="K5843" s="85">
        <v>36</v>
      </c>
      <c r="L5843" s="78"/>
      <c r="M5843" s="78"/>
      <c r="N5843" s="78"/>
      <c r="P5843" s="85"/>
    </row>
    <row r="5844" spans="11:16">
      <c r="K5844" s="85">
        <v>25</v>
      </c>
      <c r="L5844" s="78"/>
      <c r="M5844" s="78"/>
      <c r="N5844" s="78"/>
      <c r="P5844" s="85"/>
    </row>
    <row r="5845" spans="11:16">
      <c r="K5845" s="85">
        <v>26</v>
      </c>
      <c r="L5845" s="78"/>
      <c r="M5845" s="78"/>
      <c r="N5845" s="78"/>
      <c r="P5845" s="85"/>
    </row>
    <row r="5846" spans="11:16">
      <c r="K5846" s="85">
        <v>27</v>
      </c>
      <c r="L5846" s="78"/>
      <c r="M5846" s="78"/>
      <c r="N5846" s="78"/>
      <c r="P5846" s="85"/>
    </row>
    <row r="5847" spans="11:16">
      <c r="K5847" s="85">
        <v>28</v>
      </c>
      <c r="L5847" s="78"/>
      <c r="M5847" s="78"/>
      <c r="N5847" s="78"/>
      <c r="P5847" s="85"/>
    </row>
    <row r="5848" spans="11:16">
      <c r="K5848" s="85">
        <v>29</v>
      </c>
      <c r="L5848" s="78"/>
      <c r="M5848" s="78"/>
      <c r="N5848" s="78"/>
      <c r="P5848" s="85"/>
    </row>
    <row r="5849" spans="11:16">
      <c r="K5849" s="85">
        <v>30</v>
      </c>
      <c r="L5849" s="78"/>
      <c r="M5849" s="78"/>
      <c r="N5849" s="78"/>
      <c r="P5849" s="85"/>
    </row>
    <row r="5850" spans="11:16">
      <c r="K5850" s="85">
        <v>31</v>
      </c>
      <c r="L5850" s="78"/>
      <c r="M5850" s="78"/>
      <c r="N5850" s="78"/>
      <c r="P5850" s="85"/>
    </row>
    <row r="5851" spans="11:16">
      <c r="K5851" s="85">
        <v>32</v>
      </c>
      <c r="L5851" s="78"/>
      <c r="M5851" s="78"/>
      <c r="N5851" s="78"/>
      <c r="P5851" s="85"/>
    </row>
    <row r="5852" spans="11:16">
      <c r="K5852" s="85">
        <v>33</v>
      </c>
      <c r="L5852" s="78"/>
      <c r="M5852" s="78"/>
      <c r="N5852" s="78"/>
      <c r="P5852" s="85"/>
    </row>
    <row r="5853" spans="11:16">
      <c r="K5853" s="85">
        <v>34</v>
      </c>
      <c r="L5853" s="78"/>
      <c r="M5853" s="78"/>
      <c r="N5853" s="78"/>
      <c r="P5853" s="85"/>
    </row>
    <row r="5854" spans="11:16">
      <c r="K5854" s="85">
        <v>35</v>
      </c>
      <c r="L5854" s="78"/>
      <c r="M5854" s="78"/>
      <c r="N5854" s="78"/>
      <c r="P5854" s="85"/>
    </row>
    <row r="5855" spans="11:16">
      <c r="K5855" s="85">
        <v>25</v>
      </c>
      <c r="L5855" s="78"/>
      <c r="M5855" s="78"/>
      <c r="N5855" s="78"/>
      <c r="P5855" s="85"/>
    </row>
    <row r="5856" spans="11:16">
      <c r="K5856" s="85">
        <v>26</v>
      </c>
      <c r="L5856" s="78"/>
      <c r="M5856" s="78"/>
      <c r="N5856" s="78"/>
      <c r="P5856" s="85"/>
    </row>
    <row r="5857" spans="11:16">
      <c r="K5857" s="85">
        <v>27</v>
      </c>
      <c r="L5857" s="78"/>
      <c r="M5857" s="78"/>
      <c r="N5857" s="78"/>
      <c r="P5857" s="85"/>
    </row>
    <row r="5858" spans="11:16">
      <c r="K5858" s="85">
        <v>28</v>
      </c>
      <c r="L5858" s="78"/>
      <c r="M5858" s="78"/>
      <c r="N5858" s="78"/>
      <c r="P5858" s="85"/>
    </row>
    <row r="5859" spans="11:16">
      <c r="K5859" s="85">
        <v>30</v>
      </c>
      <c r="L5859" s="78"/>
      <c r="M5859" s="78"/>
      <c r="N5859" s="78"/>
      <c r="P5859" s="85"/>
    </row>
    <row r="5860" spans="11:16">
      <c r="K5860" s="85">
        <v>31</v>
      </c>
      <c r="L5860" s="78"/>
      <c r="M5860" s="78"/>
      <c r="N5860" s="78"/>
      <c r="P5860" s="85"/>
    </row>
    <row r="5861" spans="11:16">
      <c r="K5861" s="85">
        <v>32</v>
      </c>
      <c r="L5861" s="78"/>
      <c r="M5861" s="78"/>
      <c r="N5861" s="78"/>
      <c r="P5861" s="85"/>
    </row>
    <row r="5862" spans="11:16">
      <c r="K5862" s="85">
        <v>34</v>
      </c>
      <c r="L5862" s="78"/>
      <c r="M5862" s="78"/>
      <c r="N5862" s="78"/>
      <c r="P5862" s="85"/>
    </row>
    <row r="5863" spans="11:16">
      <c r="K5863" s="85">
        <v>35</v>
      </c>
      <c r="L5863" s="78"/>
      <c r="M5863" s="78"/>
      <c r="N5863" s="78"/>
      <c r="P5863" s="85"/>
    </row>
    <row r="5864" spans="11:16">
      <c r="K5864" s="85">
        <v>25</v>
      </c>
      <c r="L5864" s="78"/>
      <c r="M5864" s="78"/>
      <c r="N5864" s="78"/>
      <c r="P5864" s="85"/>
    </row>
    <row r="5865" spans="11:16">
      <c r="K5865" s="85">
        <v>26</v>
      </c>
      <c r="L5865" s="78"/>
      <c r="M5865" s="78"/>
      <c r="N5865" s="78"/>
      <c r="P5865" s="85"/>
    </row>
    <row r="5866" spans="11:16">
      <c r="K5866" s="85">
        <v>27</v>
      </c>
      <c r="L5866" s="78"/>
      <c r="M5866" s="78"/>
      <c r="N5866" s="78"/>
      <c r="P5866" s="85"/>
    </row>
    <row r="5867" spans="11:16">
      <c r="K5867" s="85">
        <v>29</v>
      </c>
      <c r="L5867" s="78"/>
      <c r="M5867" s="78"/>
      <c r="N5867" s="78"/>
      <c r="P5867" s="85"/>
    </row>
    <row r="5868" spans="11:16">
      <c r="K5868" s="85">
        <v>30</v>
      </c>
      <c r="L5868" s="78"/>
      <c r="M5868" s="78"/>
      <c r="N5868" s="78"/>
      <c r="P5868" s="85"/>
    </row>
    <row r="5869" spans="11:16">
      <c r="K5869" s="85">
        <v>31</v>
      </c>
      <c r="L5869" s="78"/>
      <c r="M5869" s="78"/>
      <c r="N5869" s="78"/>
      <c r="P5869" s="85"/>
    </row>
    <row r="5870" spans="11:16">
      <c r="K5870" s="85">
        <v>32</v>
      </c>
      <c r="L5870" s="78"/>
      <c r="M5870" s="78"/>
      <c r="N5870" s="78"/>
      <c r="P5870" s="85"/>
    </row>
    <row r="5871" spans="11:16">
      <c r="K5871" s="85">
        <v>33</v>
      </c>
      <c r="L5871" s="78"/>
      <c r="M5871" s="78"/>
      <c r="N5871" s="78"/>
      <c r="P5871" s="85"/>
    </row>
    <row r="5872" spans="11:16">
      <c r="K5872" s="85">
        <v>34</v>
      </c>
      <c r="L5872" s="78"/>
      <c r="M5872" s="78"/>
      <c r="N5872" s="78"/>
      <c r="P5872" s="85"/>
    </row>
    <row r="5873" spans="11:16">
      <c r="K5873" s="85">
        <v>35</v>
      </c>
      <c r="L5873" s="78"/>
      <c r="M5873" s="78"/>
      <c r="N5873" s="78"/>
      <c r="P5873" s="85"/>
    </row>
    <row r="5874" spans="11:16">
      <c r="K5874" s="85">
        <v>36</v>
      </c>
      <c r="L5874" s="78"/>
      <c r="M5874" s="78"/>
      <c r="N5874" s="78"/>
      <c r="P5874" s="85"/>
    </row>
    <row r="5875" spans="11:16">
      <c r="K5875" s="85">
        <v>25</v>
      </c>
      <c r="L5875" s="78"/>
      <c r="M5875" s="78"/>
      <c r="N5875" s="78"/>
      <c r="P5875" s="85"/>
    </row>
    <row r="5876" spans="11:16">
      <c r="K5876" s="85">
        <v>27</v>
      </c>
      <c r="L5876" s="78"/>
      <c r="M5876" s="78"/>
      <c r="N5876" s="78"/>
      <c r="P5876" s="85"/>
    </row>
    <row r="5877" spans="11:16">
      <c r="K5877" s="85">
        <v>31</v>
      </c>
      <c r="L5877" s="78"/>
      <c r="M5877" s="78"/>
      <c r="N5877" s="78"/>
      <c r="P5877" s="85"/>
    </row>
    <row r="5878" spans="11:16">
      <c r="K5878" s="85">
        <v>35</v>
      </c>
      <c r="L5878" s="78"/>
      <c r="M5878" s="78"/>
      <c r="N5878" s="78"/>
      <c r="P5878" s="85"/>
    </row>
    <row r="5879" spans="11:16">
      <c r="K5879" s="85">
        <v>26</v>
      </c>
      <c r="L5879" s="78"/>
      <c r="M5879" s="78"/>
      <c r="N5879" s="78"/>
      <c r="P5879" s="85"/>
    </row>
    <row r="5880" spans="11:16">
      <c r="K5880" s="85">
        <v>27</v>
      </c>
      <c r="L5880" s="78"/>
      <c r="M5880" s="78"/>
      <c r="N5880" s="78"/>
      <c r="P5880" s="85"/>
    </row>
    <row r="5881" spans="11:16">
      <c r="K5881" s="85">
        <v>28</v>
      </c>
      <c r="L5881" s="78"/>
      <c r="M5881" s="78"/>
      <c r="N5881" s="78"/>
      <c r="P5881" s="85"/>
    </row>
    <row r="5882" spans="11:16">
      <c r="K5882" s="85">
        <v>31</v>
      </c>
      <c r="L5882" s="78"/>
      <c r="M5882" s="78"/>
      <c r="N5882" s="78"/>
      <c r="P5882" s="85"/>
    </row>
    <row r="5883" spans="11:16">
      <c r="K5883" s="85">
        <v>32</v>
      </c>
      <c r="L5883" s="78"/>
      <c r="M5883" s="78"/>
      <c r="N5883" s="78"/>
      <c r="P5883" s="85"/>
    </row>
    <row r="5884" spans="11:16">
      <c r="K5884" s="85">
        <v>33</v>
      </c>
      <c r="L5884" s="78"/>
      <c r="M5884" s="78"/>
      <c r="N5884" s="78"/>
      <c r="P5884" s="85"/>
    </row>
    <row r="5885" spans="11:16">
      <c r="K5885" s="85">
        <v>34</v>
      </c>
      <c r="L5885" s="78"/>
      <c r="M5885" s="78"/>
      <c r="N5885" s="78"/>
      <c r="P5885" s="85"/>
    </row>
    <row r="5886" spans="11:16">
      <c r="K5886" s="85">
        <v>35</v>
      </c>
      <c r="L5886" s="78"/>
      <c r="M5886" s="78"/>
      <c r="N5886" s="78"/>
      <c r="P5886" s="85"/>
    </row>
    <row r="5887" spans="11:16">
      <c r="K5887" s="85">
        <v>25</v>
      </c>
      <c r="L5887" s="78"/>
      <c r="M5887" s="78"/>
      <c r="N5887" s="78"/>
      <c r="P5887" s="85"/>
    </row>
    <row r="5888" spans="11:16">
      <c r="K5888" s="85">
        <v>26</v>
      </c>
      <c r="L5888" s="78"/>
      <c r="M5888" s="78"/>
      <c r="N5888" s="78"/>
      <c r="P5888" s="85"/>
    </row>
    <row r="5889" spans="11:16">
      <c r="K5889" s="85">
        <v>28</v>
      </c>
      <c r="L5889" s="78"/>
      <c r="M5889" s="78"/>
      <c r="N5889" s="78"/>
      <c r="P5889" s="85"/>
    </row>
    <row r="5890" spans="11:16">
      <c r="K5890" s="85">
        <v>32</v>
      </c>
      <c r="L5890" s="78"/>
      <c r="M5890" s="78"/>
      <c r="N5890" s="78"/>
      <c r="P5890" s="85"/>
    </row>
    <row r="5891" spans="11:16">
      <c r="K5891" s="85">
        <v>34</v>
      </c>
      <c r="L5891" s="78"/>
      <c r="M5891" s="78"/>
      <c r="N5891" s="78"/>
      <c r="P5891" s="85"/>
    </row>
    <row r="5892" spans="11:16">
      <c r="K5892" s="85">
        <v>35</v>
      </c>
      <c r="L5892" s="78"/>
      <c r="M5892" s="78"/>
      <c r="N5892" s="78"/>
      <c r="P5892" s="85"/>
    </row>
    <row r="5893" spans="11:16">
      <c r="K5893" s="85">
        <v>25</v>
      </c>
      <c r="L5893" s="78"/>
      <c r="M5893" s="78"/>
      <c r="N5893" s="78"/>
      <c r="P5893" s="85"/>
    </row>
    <row r="5894" spans="11:16">
      <c r="K5894" s="85">
        <v>26</v>
      </c>
      <c r="L5894" s="78"/>
      <c r="M5894" s="78"/>
      <c r="N5894" s="78"/>
      <c r="P5894" s="85"/>
    </row>
    <row r="5895" spans="11:16">
      <c r="K5895" s="85">
        <v>27</v>
      </c>
      <c r="L5895" s="78"/>
      <c r="M5895" s="78"/>
      <c r="N5895" s="78"/>
      <c r="P5895" s="85"/>
    </row>
    <row r="5896" spans="11:16">
      <c r="K5896" s="85">
        <v>28</v>
      </c>
      <c r="L5896" s="78"/>
      <c r="M5896" s="78"/>
      <c r="N5896" s="78"/>
      <c r="P5896" s="85"/>
    </row>
    <row r="5897" spans="11:16">
      <c r="K5897" s="85">
        <v>29</v>
      </c>
      <c r="L5897" s="78"/>
      <c r="M5897" s="78"/>
      <c r="N5897" s="78"/>
      <c r="P5897" s="85"/>
    </row>
    <row r="5898" spans="11:16">
      <c r="K5898" s="85">
        <v>30</v>
      </c>
      <c r="L5898" s="78"/>
      <c r="M5898" s="78"/>
      <c r="N5898" s="78"/>
      <c r="P5898" s="85"/>
    </row>
    <row r="5899" spans="11:16">
      <c r="K5899" s="85">
        <v>31</v>
      </c>
      <c r="L5899" s="78"/>
      <c r="M5899" s="78"/>
      <c r="N5899" s="78"/>
      <c r="P5899" s="85"/>
    </row>
    <row r="5900" spans="11:16">
      <c r="K5900" s="85">
        <v>25</v>
      </c>
      <c r="L5900" s="78"/>
      <c r="M5900" s="78"/>
      <c r="N5900" s="78"/>
      <c r="P5900" s="85"/>
    </row>
    <row r="5901" spans="11:16">
      <c r="K5901" s="85">
        <v>26</v>
      </c>
      <c r="L5901" s="78"/>
      <c r="M5901" s="78"/>
      <c r="N5901" s="78"/>
      <c r="P5901" s="85"/>
    </row>
    <row r="5902" spans="11:16">
      <c r="K5902" s="85">
        <v>27</v>
      </c>
      <c r="L5902" s="78"/>
      <c r="M5902" s="78"/>
      <c r="N5902" s="78"/>
      <c r="P5902" s="85"/>
    </row>
    <row r="5903" spans="11:16">
      <c r="K5903" s="85">
        <v>28</v>
      </c>
      <c r="L5903" s="78"/>
      <c r="M5903" s="78"/>
      <c r="N5903" s="78"/>
      <c r="P5903" s="85"/>
    </row>
    <row r="5904" spans="11:16">
      <c r="K5904" s="85">
        <v>29</v>
      </c>
      <c r="L5904" s="78"/>
      <c r="M5904" s="78"/>
      <c r="N5904" s="78"/>
      <c r="P5904" s="85"/>
    </row>
    <row r="5905" spans="11:16">
      <c r="K5905" s="85">
        <v>30</v>
      </c>
      <c r="L5905" s="78"/>
      <c r="M5905" s="78"/>
      <c r="N5905" s="78"/>
      <c r="P5905" s="85"/>
    </row>
    <row r="5906" spans="11:16">
      <c r="K5906" s="85">
        <v>31</v>
      </c>
      <c r="L5906" s="78"/>
      <c r="M5906" s="78"/>
      <c r="N5906" s="78"/>
      <c r="P5906" s="85"/>
    </row>
    <row r="5907" spans="11:16">
      <c r="K5907" s="85">
        <v>32</v>
      </c>
      <c r="L5907" s="78"/>
      <c r="M5907" s="78"/>
      <c r="N5907" s="78"/>
      <c r="P5907" s="85"/>
    </row>
    <row r="5908" spans="11:16">
      <c r="K5908" s="85">
        <v>34</v>
      </c>
      <c r="L5908" s="78"/>
      <c r="M5908" s="78"/>
      <c r="N5908" s="78"/>
      <c r="P5908" s="85"/>
    </row>
    <row r="5909" spans="11:16">
      <c r="K5909" s="85">
        <v>35</v>
      </c>
      <c r="L5909" s="78"/>
      <c r="M5909" s="78"/>
      <c r="N5909" s="78"/>
      <c r="P5909" s="85"/>
    </row>
    <row r="5910" spans="11:16">
      <c r="K5910" s="85">
        <v>36</v>
      </c>
      <c r="L5910" s="78"/>
      <c r="M5910" s="78"/>
      <c r="N5910" s="78"/>
      <c r="P5910" s="85"/>
    </row>
    <row r="5911" spans="11:16">
      <c r="K5911" s="85">
        <v>25</v>
      </c>
      <c r="L5911" s="78"/>
      <c r="M5911" s="78"/>
      <c r="N5911" s="78"/>
      <c r="P5911" s="85"/>
    </row>
    <row r="5912" spans="11:16">
      <c r="K5912" s="85">
        <v>26</v>
      </c>
      <c r="L5912" s="78"/>
      <c r="M5912" s="78"/>
      <c r="N5912" s="78"/>
      <c r="P5912" s="85"/>
    </row>
    <row r="5913" spans="11:16">
      <c r="K5913" s="85">
        <v>27</v>
      </c>
      <c r="L5913" s="78"/>
      <c r="M5913" s="78"/>
      <c r="N5913" s="78"/>
      <c r="P5913" s="85"/>
    </row>
    <row r="5914" spans="11:16">
      <c r="K5914" s="85">
        <v>28</v>
      </c>
      <c r="L5914" s="78"/>
      <c r="M5914" s="78"/>
      <c r="N5914" s="78"/>
      <c r="P5914" s="85"/>
    </row>
    <row r="5915" spans="11:16">
      <c r="K5915" s="85">
        <v>29</v>
      </c>
      <c r="L5915" s="78"/>
      <c r="M5915" s="78"/>
      <c r="N5915" s="78"/>
      <c r="P5915" s="85"/>
    </row>
    <row r="5916" spans="11:16">
      <c r="K5916" s="85">
        <v>30</v>
      </c>
      <c r="L5916" s="78"/>
      <c r="M5916" s="78"/>
      <c r="N5916" s="78"/>
      <c r="P5916" s="85"/>
    </row>
    <row r="5917" spans="11:16">
      <c r="K5917" s="85">
        <v>31</v>
      </c>
      <c r="L5917" s="78"/>
      <c r="M5917" s="78"/>
      <c r="N5917" s="78"/>
      <c r="P5917" s="85"/>
    </row>
    <row r="5918" spans="11:16">
      <c r="K5918" s="85">
        <v>32</v>
      </c>
      <c r="L5918" s="78"/>
      <c r="M5918" s="78"/>
      <c r="N5918" s="78"/>
      <c r="P5918" s="85"/>
    </row>
    <row r="5919" spans="11:16">
      <c r="K5919" s="85">
        <v>25</v>
      </c>
      <c r="L5919" s="78"/>
      <c r="M5919" s="78"/>
      <c r="N5919" s="78"/>
      <c r="P5919" s="85"/>
    </row>
    <row r="5920" spans="11:16">
      <c r="K5920" s="85">
        <v>26</v>
      </c>
      <c r="L5920" s="78"/>
      <c r="M5920" s="78"/>
      <c r="N5920" s="78"/>
      <c r="P5920" s="85"/>
    </row>
    <row r="5921" spans="11:16">
      <c r="K5921" s="85">
        <v>27</v>
      </c>
      <c r="L5921" s="78"/>
      <c r="M5921" s="78"/>
      <c r="N5921" s="78"/>
      <c r="P5921" s="85"/>
    </row>
    <row r="5922" spans="11:16">
      <c r="K5922" s="85">
        <v>29</v>
      </c>
      <c r="L5922" s="78"/>
      <c r="M5922" s="78"/>
      <c r="N5922" s="78"/>
      <c r="P5922" s="85"/>
    </row>
    <row r="5923" spans="11:16">
      <c r="K5923" s="85">
        <v>30</v>
      </c>
      <c r="L5923" s="78"/>
      <c r="M5923" s="78"/>
      <c r="N5923" s="78"/>
      <c r="P5923" s="85"/>
    </row>
    <row r="5924" spans="11:16">
      <c r="K5924" s="85">
        <v>31</v>
      </c>
      <c r="L5924" s="78"/>
      <c r="M5924" s="78"/>
      <c r="N5924" s="78"/>
      <c r="P5924" s="85"/>
    </row>
    <row r="5925" spans="11:16">
      <c r="K5925" s="85">
        <v>32</v>
      </c>
      <c r="L5925" s="78"/>
      <c r="M5925" s="78"/>
      <c r="N5925" s="78"/>
      <c r="P5925" s="85"/>
    </row>
    <row r="5926" spans="11:16">
      <c r="K5926" s="85">
        <v>33</v>
      </c>
      <c r="L5926" s="78"/>
      <c r="M5926" s="78"/>
      <c r="N5926" s="78"/>
      <c r="P5926" s="85"/>
    </row>
    <row r="5927" spans="11:16">
      <c r="K5927" s="85">
        <v>34</v>
      </c>
      <c r="L5927" s="78"/>
      <c r="M5927" s="78"/>
      <c r="N5927" s="78"/>
      <c r="P5927" s="85"/>
    </row>
    <row r="5928" spans="11:16">
      <c r="K5928" s="85">
        <v>35</v>
      </c>
      <c r="L5928" s="78"/>
      <c r="M5928" s="78"/>
      <c r="N5928" s="78"/>
      <c r="P5928" s="85"/>
    </row>
    <row r="5929" spans="11:16">
      <c r="K5929" s="85">
        <v>25</v>
      </c>
      <c r="L5929" s="78"/>
      <c r="M5929" s="78"/>
      <c r="N5929" s="78"/>
      <c r="P5929" s="85"/>
    </row>
    <row r="5930" spans="11:16">
      <c r="K5930" s="85">
        <v>27</v>
      </c>
      <c r="L5930" s="78"/>
      <c r="M5930" s="78"/>
      <c r="N5930" s="78"/>
      <c r="P5930" s="85"/>
    </row>
    <row r="5931" spans="11:16">
      <c r="K5931" s="85">
        <v>28</v>
      </c>
      <c r="L5931" s="78"/>
      <c r="M5931" s="78"/>
      <c r="N5931" s="78"/>
      <c r="P5931" s="85"/>
    </row>
    <row r="5932" spans="11:16">
      <c r="K5932" s="85">
        <v>31</v>
      </c>
      <c r="L5932" s="78"/>
      <c r="M5932" s="78"/>
      <c r="N5932" s="78"/>
      <c r="P5932" s="85"/>
    </row>
    <row r="5933" spans="11:16">
      <c r="K5933" s="85">
        <v>32</v>
      </c>
      <c r="L5933" s="78"/>
      <c r="M5933" s="78"/>
      <c r="N5933" s="78"/>
      <c r="P5933" s="85"/>
    </row>
    <row r="5934" spans="11:16">
      <c r="K5934" s="85">
        <v>35</v>
      </c>
      <c r="L5934" s="78"/>
      <c r="M5934" s="78"/>
      <c r="N5934" s="78"/>
      <c r="P5934" s="85"/>
    </row>
    <row r="5935" spans="11:16">
      <c r="K5935" s="85">
        <v>27</v>
      </c>
      <c r="L5935" s="78"/>
      <c r="M5935" s="78"/>
      <c r="N5935" s="78"/>
      <c r="P5935" s="85"/>
    </row>
    <row r="5936" spans="11:16">
      <c r="K5936" s="85">
        <v>32</v>
      </c>
      <c r="L5936" s="78"/>
      <c r="M5936" s="78"/>
      <c r="N5936" s="78"/>
      <c r="P5936" s="85"/>
    </row>
    <row r="5937" spans="11:16">
      <c r="K5937" s="85">
        <v>33</v>
      </c>
      <c r="L5937" s="78"/>
      <c r="M5937" s="78"/>
      <c r="N5937" s="78"/>
      <c r="P5937" s="85"/>
    </row>
    <row r="5938" spans="11:16">
      <c r="K5938" s="85">
        <v>35</v>
      </c>
      <c r="L5938" s="78"/>
      <c r="M5938" s="78"/>
      <c r="N5938" s="78"/>
      <c r="P5938" s="85"/>
    </row>
    <row r="5939" spans="11:16">
      <c r="K5939" s="85">
        <v>25</v>
      </c>
      <c r="L5939" s="78"/>
      <c r="M5939" s="78"/>
      <c r="N5939" s="78"/>
      <c r="P5939" s="85"/>
    </row>
    <row r="5940" spans="11:16">
      <c r="K5940" s="85">
        <v>27</v>
      </c>
      <c r="L5940" s="78"/>
      <c r="M5940" s="78"/>
      <c r="N5940" s="78"/>
      <c r="P5940" s="85"/>
    </row>
    <row r="5941" spans="11:16">
      <c r="K5941" s="85">
        <v>28</v>
      </c>
      <c r="L5941" s="78"/>
      <c r="M5941" s="78"/>
      <c r="N5941" s="78"/>
      <c r="P5941" s="85"/>
    </row>
    <row r="5942" spans="11:16">
      <c r="K5942" s="85">
        <v>30</v>
      </c>
      <c r="L5942" s="78"/>
      <c r="M5942" s="78"/>
      <c r="N5942" s="78"/>
      <c r="P5942" s="85"/>
    </row>
    <row r="5943" spans="11:16">
      <c r="K5943" s="85">
        <v>31</v>
      </c>
      <c r="L5943" s="78"/>
      <c r="M5943" s="78"/>
      <c r="N5943" s="78"/>
      <c r="P5943" s="85"/>
    </row>
    <row r="5944" spans="11:16">
      <c r="K5944" s="85">
        <v>32</v>
      </c>
      <c r="L5944" s="78"/>
      <c r="M5944" s="78"/>
      <c r="N5944" s="78"/>
      <c r="P5944" s="85"/>
    </row>
    <row r="5945" spans="11:16">
      <c r="K5945" s="85">
        <v>34</v>
      </c>
      <c r="L5945" s="78"/>
      <c r="M5945" s="78"/>
      <c r="N5945" s="78"/>
      <c r="P5945" s="85"/>
    </row>
    <row r="5946" spans="11:16">
      <c r="K5946" s="85">
        <v>35</v>
      </c>
      <c r="L5946" s="78"/>
      <c r="M5946" s="78"/>
      <c r="N5946" s="78"/>
      <c r="P5946" s="85"/>
    </row>
    <row r="5947" spans="11:16">
      <c r="K5947" s="85">
        <v>36</v>
      </c>
      <c r="L5947" s="78"/>
      <c r="M5947" s="78"/>
      <c r="N5947" s="78"/>
      <c r="P5947" s="85"/>
    </row>
    <row r="5948" spans="11:16">
      <c r="K5948" s="85">
        <v>25</v>
      </c>
      <c r="L5948" s="78"/>
      <c r="M5948" s="78"/>
      <c r="N5948" s="78"/>
      <c r="P5948" s="85"/>
    </row>
    <row r="5949" spans="11:16">
      <c r="K5949" s="85">
        <v>26</v>
      </c>
      <c r="L5949" s="78"/>
      <c r="M5949" s="78"/>
      <c r="N5949" s="78"/>
      <c r="P5949" s="85"/>
    </row>
    <row r="5950" spans="11:16">
      <c r="K5950" s="85">
        <v>27</v>
      </c>
      <c r="L5950" s="78"/>
      <c r="M5950" s="78"/>
      <c r="N5950" s="78"/>
      <c r="P5950" s="85"/>
    </row>
    <row r="5951" spans="11:16">
      <c r="K5951" s="85">
        <v>28</v>
      </c>
      <c r="L5951" s="78"/>
      <c r="M5951" s="78"/>
      <c r="N5951" s="78"/>
      <c r="P5951" s="85"/>
    </row>
    <row r="5952" spans="11:16">
      <c r="K5952" s="85">
        <v>29</v>
      </c>
      <c r="L5952" s="78"/>
      <c r="M5952" s="78"/>
      <c r="N5952" s="78"/>
      <c r="P5952" s="85"/>
    </row>
    <row r="5953" spans="11:16">
      <c r="K5953" s="85">
        <v>30</v>
      </c>
      <c r="L5953" s="78"/>
      <c r="M5953" s="78"/>
      <c r="N5953" s="78"/>
      <c r="P5953" s="85"/>
    </row>
    <row r="5954" spans="11:16">
      <c r="K5954" s="85">
        <v>31</v>
      </c>
      <c r="L5954" s="78"/>
      <c r="M5954" s="78"/>
      <c r="N5954" s="78"/>
      <c r="P5954" s="85"/>
    </row>
    <row r="5955" spans="11:16">
      <c r="K5955" s="85">
        <v>32</v>
      </c>
      <c r="L5955" s="78"/>
      <c r="M5955" s="78"/>
      <c r="N5955" s="78"/>
      <c r="P5955" s="85"/>
    </row>
    <row r="5956" spans="11:16">
      <c r="K5956" s="85">
        <v>33</v>
      </c>
      <c r="L5956" s="78"/>
      <c r="M5956" s="78"/>
      <c r="N5956" s="78"/>
      <c r="P5956" s="85"/>
    </row>
    <row r="5957" spans="11:16">
      <c r="K5957" s="85">
        <v>34</v>
      </c>
      <c r="L5957" s="78"/>
      <c r="M5957" s="78"/>
      <c r="N5957" s="78"/>
      <c r="P5957" s="85"/>
    </row>
    <row r="5958" spans="11:16">
      <c r="K5958" s="85">
        <v>35</v>
      </c>
      <c r="L5958" s="78"/>
      <c r="M5958" s="78"/>
      <c r="N5958" s="78"/>
      <c r="P5958" s="85"/>
    </row>
    <row r="5959" spans="11:16">
      <c r="K5959" s="85">
        <v>36</v>
      </c>
      <c r="L5959" s="78"/>
      <c r="M5959" s="78"/>
      <c r="N5959" s="78"/>
      <c r="P5959" s="85"/>
    </row>
    <row r="5960" spans="11:16">
      <c r="K5960" s="85">
        <v>25</v>
      </c>
      <c r="L5960" s="78"/>
      <c r="M5960" s="78"/>
      <c r="N5960" s="78"/>
      <c r="P5960" s="85"/>
    </row>
    <row r="5961" spans="11:16">
      <c r="K5961" s="85">
        <v>27</v>
      </c>
      <c r="L5961" s="78"/>
      <c r="M5961" s="78"/>
      <c r="N5961" s="78"/>
      <c r="P5961" s="85"/>
    </row>
    <row r="5962" spans="11:16">
      <c r="K5962" s="85">
        <v>28</v>
      </c>
      <c r="L5962" s="78"/>
      <c r="M5962" s="78"/>
      <c r="N5962" s="78"/>
      <c r="P5962" s="85"/>
    </row>
    <row r="5963" spans="11:16">
      <c r="K5963" s="85">
        <v>29</v>
      </c>
      <c r="L5963" s="78"/>
      <c r="M5963" s="78"/>
      <c r="N5963" s="78"/>
      <c r="P5963" s="85"/>
    </row>
    <row r="5964" spans="11:16">
      <c r="K5964" s="85">
        <v>30</v>
      </c>
      <c r="L5964" s="78"/>
      <c r="M5964" s="78"/>
      <c r="N5964" s="78"/>
      <c r="P5964" s="85"/>
    </row>
    <row r="5965" spans="11:16">
      <c r="K5965" s="85">
        <v>31</v>
      </c>
      <c r="L5965" s="78"/>
      <c r="M5965" s="78"/>
      <c r="N5965" s="78"/>
      <c r="P5965" s="85"/>
    </row>
    <row r="5966" spans="11:16">
      <c r="K5966" s="85">
        <v>32</v>
      </c>
      <c r="L5966" s="78"/>
      <c r="M5966" s="78"/>
      <c r="N5966" s="78"/>
      <c r="P5966" s="85"/>
    </row>
    <row r="5967" spans="11:16">
      <c r="K5967" s="85">
        <v>34</v>
      </c>
      <c r="L5967" s="78"/>
      <c r="M5967" s="78"/>
      <c r="N5967" s="78"/>
      <c r="P5967" s="85"/>
    </row>
    <row r="5968" spans="11:16">
      <c r="K5968" s="85">
        <v>35</v>
      </c>
      <c r="L5968" s="78"/>
      <c r="M5968" s="78"/>
      <c r="N5968" s="78"/>
      <c r="P5968" s="85"/>
    </row>
    <row r="5969" spans="11:16">
      <c r="K5969" s="85">
        <v>25</v>
      </c>
      <c r="L5969" s="78"/>
      <c r="M5969" s="78"/>
      <c r="N5969" s="78"/>
      <c r="P5969" s="85"/>
    </row>
    <row r="5970" spans="11:16">
      <c r="K5970" s="85">
        <v>26</v>
      </c>
      <c r="L5970" s="78"/>
      <c r="M5970" s="78"/>
      <c r="N5970" s="78"/>
      <c r="P5970" s="85"/>
    </row>
    <row r="5971" spans="11:16">
      <c r="K5971" s="85">
        <v>27</v>
      </c>
      <c r="L5971" s="78"/>
      <c r="M5971" s="78"/>
      <c r="N5971" s="78"/>
      <c r="P5971" s="85"/>
    </row>
    <row r="5972" spans="11:16">
      <c r="K5972" s="85">
        <v>28</v>
      </c>
      <c r="L5972" s="78"/>
      <c r="M5972" s="78"/>
      <c r="N5972" s="78"/>
      <c r="P5972" s="85"/>
    </row>
    <row r="5973" spans="11:16">
      <c r="K5973" s="85">
        <v>29</v>
      </c>
      <c r="L5973" s="78"/>
      <c r="M5973" s="78"/>
      <c r="N5973" s="78"/>
      <c r="P5973" s="85"/>
    </row>
    <row r="5974" spans="11:16">
      <c r="K5974" s="85">
        <v>30</v>
      </c>
      <c r="L5974" s="78"/>
      <c r="M5974" s="78"/>
      <c r="N5974" s="78"/>
      <c r="P5974" s="85"/>
    </row>
    <row r="5975" spans="11:16">
      <c r="K5975" s="85">
        <v>31</v>
      </c>
      <c r="L5975" s="78"/>
      <c r="M5975" s="78"/>
      <c r="N5975" s="78"/>
      <c r="P5975" s="85"/>
    </row>
    <row r="5976" spans="11:16">
      <c r="K5976" s="85">
        <v>32</v>
      </c>
      <c r="L5976" s="78"/>
      <c r="M5976" s="78"/>
      <c r="N5976" s="78"/>
      <c r="P5976" s="85"/>
    </row>
    <row r="5977" spans="11:16">
      <c r="K5977" s="85">
        <v>33</v>
      </c>
      <c r="L5977" s="78"/>
      <c r="M5977" s="78"/>
      <c r="N5977" s="78"/>
      <c r="P5977" s="85"/>
    </row>
    <row r="5978" spans="11:16">
      <c r="K5978" s="85">
        <v>34</v>
      </c>
      <c r="L5978" s="78"/>
      <c r="M5978" s="78"/>
      <c r="N5978" s="78"/>
      <c r="P5978" s="85"/>
    </row>
    <row r="5979" spans="11:16">
      <c r="K5979" s="85">
        <v>35</v>
      </c>
      <c r="L5979" s="78"/>
      <c r="M5979" s="78"/>
      <c r="N5979" s="78"/>
      <c r="P5979" s="85"/>
    </row>
    <row r="5980" spans="11:16">
      <c r="K5980" s="85">
        <v>36</v>
      </c>
      <c r="L5980" s="78"/>
      <c r="M5980" s="78"/>
      <c r="N5980" s="78"/>
      <c r="P5980" s="85"/>
    </row>
    <row r="5981" spans="11:16">
      <c r="K5981" s="85">
        <v>25</v>
      </c>
      <c r="L5981" s="78"/>
      <c r="M5981" s="78"/>
      <c r="N5981" s="78"/>
      <c r="P5981" s="85"/>
    </row>
    <row r="5982" spans="11:16">
      <c r="K5982" s="85">
        <v>26</v>
      </c>
      <c r="L5982" s="78"/>
      <c r="M5982" s="78"/>
      <c r="N5982" s="78"/>
      <c r="P5982" s="85"/>
    </row>
    <row r="5983" spans="11:16">
      <c r="K5983" s="85">
        <v>27</v>
      </c>
      <c r="L5983" s="78"/>
      <c r="M5983" s="78"/>
      <c r="N5983" s="78"/>
      <c r="P5983" s="85"/>
    </row>
    <row r="5984" spans="11:16">
      <c r="K5984" s="85">
        <v>28</v>
      </c>
      <c r="L5984" s="78"/>
      <c r="M5984" s="78"/>
      <c r="N5984" s="78"/>
      <c r="P5984" s="85"/>
    </row>
    <row r="5985" spans="11:16">
      <c r="K5985" s="85">
        <v>29</v>
      </c>
      <c r="L5985" s="78"/>
      <c r="M5985" s="78"/>
      <c r="N5985" s="78"/>
      <c r="P5985" s="85"/>
    </row>
    <row r="5986" spans="11:16">
      <c r="K5986" s="85">
        <v>30</v>
      </c>
      <c r="L5986" s="78"/>
      <c r="M5986" s="78"/>
      <c r="N5986" s="78"/>
      <c r="P5986" s="85"/>
    </row>
    <row r="5987" spans="11:16">
      <c r="K5987" s="85">
        <v>31</v>
      </c>
      <c r="L5987" s="78"/>
      <c r="M5987" s="78"/>
      <c r="N5987" s="78"/>
      <c r="P5987" s="85"/>
    </row>
    <row r="5988" spans="11:16">
      <c r="K5988" s="85">
        <v>32</v>
      </c>
      <c r="L5988" s="78"/>
      <c r="M5988" s="78"/>
      <c r="N5988" s="78"/>
      <c r="P5988" s="85"/>
    </row>
    <row r="5989" spans="11:16">
      <c r="K5989" s="85">
        <v>34</v>
      </c>
      <c r="L5989" s="78"/>
      <c r="M5989" s="78"/>
      <c r="N5989" s="78"/>
      <c r="P5989" s="85"/>
    </row>
    <row r="5990" spans="11:16">
      <c r="K5990" s="85">
        <v>35</v>
      </c>
      <c r="L5990" s="78"/>
      <c r="M5990" s="78"/>
      <c r="N5990" s="78"/>
      <c r="P5990" s="85"/>
    </row>
    <row r="5991" spans="11:16">
      <c r="K5991" s="85">
        <v>36</v>
      </c>
      <c r="L5991" s="78"/>
      <c r="M5991" s="78"/>
      <c r="N5991" s="78"/>
      <c r="P5991" s="85"/>
    </row>
    <row r="5992" spans="11:16">
      <c r="K5992" s="85">
        <v>25</v>
      </c>
      <c r="L5992" s="78"/>
      <c r="M5992" s="78"/>
      <c r="N5992" s="78"/>
      <c r="P5992" s="85"/>
    </row>
    <row r="5993" spans="11:16">
      <c r="K5993" s="85">
        <v>26</v>
      </c>
      <c r="L5993" s="78"/>
      <c r="M5993" s="78"/>
      <c r="N5993" s="78"/>
      <c r="P5993" s="85"/>
    </row>
    <row r="5994" spans="11:16">
      <c r="K5994" s="85">
        <v>27</v>
      </c>
      <c r="L5994" s="78"/>
      <c r="M5994" s="78"/>
      <c r="N5994" s="78"/>
      <c r="P5994" s="85"/>
    </row>
    <row r="5995" spans="11:16">
      <c r="K5995" s="85">
        <v>28</v>
      </c>
      <c r="L5995" s="78"/>
      <c r="M5995" s="78"/>
      <c r="N5995" s="78"/>
      <c r="P5995" s="85"/>
    </row>
    <row r="5996" spans="11:16">
      <c r="K5996" s="85">
        <v>35</v>
      </c>
      <c r="L5996" s="78"/>
      <c r="M5996" s="78"/>
      <c r="N5996" s="78"/>
      <c r="P5996" s="85"/>
    </row>
    <row r="5997" spans="11:16">
      <c r="K5997" s="85">
        <v>27</v>
      </c>
      <c r="L5997" s="78"/>
      <c r="M5997" s="78"/>
      <c r="N5997" s="78"/>
      <c r="P5997" s="85"/>
    </row>
    <row r="5998" spans="11:16">
      <c r="K5998" s="85">
        <v>28</v>
      </c>
      <c r="L5998" s="78"/>
      <c r="M5998" s="78"/>
      <c r="N5998" s="78"/>
      <c r="P5998" s="85"/>
    </row>
    <row r="5999" spans="11:16">
      <c r="K5999" s="85">
        <v>31</v>
      </c>
      <c r="L5999" s="78"/>
      <c r="M5999" s="78"/>
      <c r="N5999" s="78"/>
      <c r="P5999" s="85"/>
    </row>
    <row r="6000" spans="11:16">
      <c r="K6000" s="85">
        <v>32</v>
      </c>
      <c r="L6000" s="78"/>
      <c r="M6000" s="78"/>
      <c r="N6000" s="78"/>
      <c r="P6000" s="85"/>
    </row>
    <row r="6001" spans="11:16">
      <c r="K6001" s="85">
        <v>31</v>
      </c>
      <c r="L6001" s="78"/>
      <c r="M6001" s="78"/>
      <c r="N6001" s="78"/>
      <c r="P6001" s="85"/>
    </row>
    <row r="6002" spans="11:16">
      <c r="K6002" s="85">
        <v>25</v>
      </c>
      <c r="L6002" s="78"/>
      <c r="M6002" s="78"/>
      <c r="N6002" s="78"/>
      <c r="P6002" s="85"/>
    </row>
    <row r="6003" spans="11:16">
      <c r="K6003" s="85">
        <v>26</v>
      </c>
      <c r="L6003" s="78"/>
      <c r="M6003" s="78"/>
      <c r="N6003" s="78"/>
      <c r="P6003" s="85"/>
    </row>
    <row r="6004" spans="11:16">
      <c r="K6004" s="85">
        <v>27</v>
      </c>
      <c r="L6004" s="78"/>
      <c r="M6004" s="78"/>
      <c r="N6004" s="78"/>
      <c r="P6004" s="85"/>
    </row>
    <row r="6005" spans="11:16">
      <c r="K6005" s="85">
        <v>28</v>
      </c>
      <c r="L6005" s="78"/>
      <c r="M6005" s="78"/>
      <c r="N6005" s="78"/>
      <c r="P6005" s="85"/>
    </row>
    <row r="6006" spans="11:16">
      <c r="K6006" s="85">
        <v>30</v>
      </c>
      <c r="L6006" s="78"/>
      <c r="M6006" s="78"/>
      <c r="N6006" s="78"/>
      <c r="P6006" s="85"/>
    </row>
    <row r="6007" spans="11:16">
      <c r="K6007" s="85">
        <v>31</v>
      </c>
      <c r="L6007" s="78"/>
      <c r="M6007" s="78"/>
      <c r="N6007" s="78"/>
      <c r="P6007" s="85"/>
    </row>
    <row r="6008" spans="11:16">
      <c r="K6008" s="85">
        <v>33</v>
      </c>
      <c r="L6008" s="78"/>
      <c r="M6008" s="78"/>
      <c r="N6008" s="78"/>
      <c r="P6008" s="85"/>
    </row>
    <row r="6009" spans="11:16">
      <c r="K6009" s="85">
        <v>34</v>
      </c>
      <c r="L6009" s="78"/>
      <c r="M6009" s="78"/>
      <c r="N6009" s="78"/>
      <c r="P6009" s="85"/>
    </row>
    <row r="6010" spans="11:16">
      <c r="K6010" s="85">
        <v>35</v>
      </c>
      <c r="L6010" s="78"/>
      <c r="M6010" s="78"/>
      <c r="N6010" s="78"/>
      <c r="P6010" s="85"/>
    </row>
    <row r="6011" spans="11:16">
      <c r="K6011" s="85">
        <v>26</v>
      </c>
      <c r="L6011" s="78"/>
      <c r="M6011" s="78"/>
      <c r="N6011" s="78"/>
      <c r="P6011" s="85"/>
    </row>
    <row r="6012" spans="11:16">
      <c r="K6012" s="85">
        <v>27</v>
      </c>
      <c r="L6012" s="78"/>
      <c r="M6012" s="78"/>
      <c r="N6012" s="78"/>
      <c r="P6012" s="85"/>
    </row>
    <row r="6013" spans="11:16">
      <c r="K6013" s="85">
        <v>31</v>
      </c>
      <c r="L6013" s="78"/>
      <c r="M6013" s="78"/>
      <c r="N6013" s="78"/>
      <c r="P6013" s="85"/>
    </row>
    <row r="6014" spans="11:16">
      <c r="K6014" s="85">
        <v>35</v>
      </c>
      <c r="L6014" s="78"/>
      <c r="M6014" s="78"/>
      <c r="N6014" s="78"/>
      <c r="P6014" s="85"/>
    </row>
    <row r="6015" spans="11:16">
      <c r="K6015" s="85">
        <v>25</v>
      </c>
      <c r="L6015" s="78"/>
      <c r="M6015" s="78"/>
      <c r="N6015" s="78"/>
      <c r="P6015" s="85"/>
    </row>
    <row r="6016" spans="11:16">
      <c r="K6016" s="85">
        <v>26</v>
      </c>
      <c r="L6016" s="78"/>
      <c r="M6016" s="78"/>
      <c r="N6016" s="78"/>
      <c r="P6016" s="85"/>
    </row>
    <row r="6017" spans="11:16">
      <c r="K6017" s="85">
        <v>27</v>
      </c>
      <c r="L6017" s="78"/>
      <c r="M6017" s="78"/>
      <c r="N6017" s="78"/>
      <c r="P6017" s="85"/>
    </row>
    <row r="6018" spans="11:16">
      <c r="K6018" s="85">
        <v>29</v>
      </c>
      <c r="L6018" s="78"/>
      <c r="M6018" s="78"/>
      <c r="N6018" s="78"/>
      <c r="P6018" s="85"/>
    </row>
    <row r="6019" spans="11:16">
      <c r="K6019" s="85">
        <v>30</v>
      </c>
      <c r="L6019" s="78"/>
      <c r="M6019" s="78"/>
      <c r="N6019" s="78"/>
      <c r="P6019" s="85"/>
    </row>
    <row r="6020" spans="11:16">
      <c r="K6020" s="85">
        <v>31</v>
      </c>
      <c r="L6020" s="78"/>
      <c r="M6020" s="78"/>
      <c r="N6020" s="78"/>
      <c r="P6020" s="85"/>
    </row>
    <row r="6021" spans="11:16">
      <c r="K6021" s="85">
        <v>32</v>
      </c>
      <c r="L6021" s="78"/>
      <c r="M6021" s="78"/>
      <c r="N6021" s="78"/>
      <c r="P6021" s="85"/>
    </row>
    <row r="6022" spans="11:16">
      <c r="K6022" s="85">
        <v>34</v>
      </c>
      <c r="L6022" s="78"/>
      <c r="M6022" s="78"/>
      <c r="N6022" s="78"/>
      <c r="P6022" s="85"/>
    </row>
    <row r="6023" spans="11:16">
      <c r="K6023" s="85">
        <v>35</v>
      </c>
      <c r="L6023" s="78"/>
      <c r="M6023" s="78"/>
      <c r="N6023" s="78"/>
      <c r="P6023" s="85"/>
    </row>
    <row r="6024" spans="11:16">
      <c r="K6024" s="85">
        <v>36</v>
      </c>
      <c r="L6024" s="78"/>
      <c r="M6024" s="78"/>
      <c r="N6024" s="78"/>
      <c r="P6024" s="85"/>
    </row>
    <row r="6025" spans="11:16">
      <c r="K6025" s="85">
        <v>25</v>
      </c>
      <c r="L6025" s="78"/>
      <c r="M6025" s="78"/>
      <c r="N6025" s="78"/>
      <c r="P6025" s="85"/>
    </row>
    <row r="6026" spans="11:16">
      <c r="K6026" s="85">
        <v>26</v>
      </c>
      <c r="L6026" s="78"/>
      <c r="M6026" s="78"/>
      <c r="N6026" s="78"/>
      <c r="P6026" s="85"/>
    </row>
    <row r="6027" spans="11:16">
      <c r="K6027" s="85">
        <v>27</v>
      </c>
      <c r="L6027" s="78"/>
      <c r="M6027" s="78"/>
      <c r="N6027" s="78"/>
      <c r="P6027" s="85"/>
    </row>
    <row r="6028" spans="11:16">
      <c r="K6028" s="85">
        <v>30</v>
      </c>
      <c r="L6028" s="78"/>
      <c r="M6028" s="78"/>
      <c r="N6028" s="78"/>
      <c r="P6028" s="85"/>
    </row>
    <row r="6029" spans="11:16">
      <c r="K6029" s="85">
        <v>31</v>
      </c>
      <c r="L6029" s="78"/>
      <c r="M6029" s="78"/>
      <c r="N6029" s="78"/>
      <c r="P6029" s="85"/>
    </row>
    <row r="6030" spans="11:16">
      <c r="K6030" s="85">
        <v>32</v>
      </c>
      <c r="L6030" s="78"/>
      <c r="M6030" s="78"/>
      <c r="N6030" s="78"/>
      <c r="P6030" s="85"/>
    </row>
    <row r="6031" spans="11:16">
      <c r="K6031" s="85">
        <v>33</v>
      </c>
      <c r="L6031" s="78"/>
      <c r="M6031" s="78"/>
      <c r="N6031" s="78"/>
      <c r="P6031" s="85"/>
    </row>
    <row r="6032" spans="11:16">
      <c r="K6032" s="85">
        <v>34</v>
      </c>
      <c r="L6032" s="78"/>
      <c r="M6032" s="78"/>
      <c r="N6032" s="78"/>
      <c r="P6032" s="85"/>
    </row>
    <row r="6033" spans="11:16">
      <c r="K6033" s="85">
        <v>35</v>
      </c>
      <c r="L6033" s="78"/>
      <c r="M6033" s="78"/>
      <c r="N6033" s="78"/>
      <c r="P6033" s="85"/>
    </row>
    <row r="6034" spans="11:16">
      <c r="K6034" s="85">
        <v>36</v>
      </c>
      <c r="L6034" s="78"/>
      <c r="M6034" s="78"/>
      <c r="N6034" s="78"/>
      <c r="P6034" s="85"/>
    </row>
    <row r="6035" spans="11:16">
      <c r="K6035" s="85">
        <v>25</v>
      </c>
      <c r="L6035" s="78"/>
      <c r="M6035" s="78"/>
      <c r="N6035" s="78"/>
      <c r="P6035" s="85"/>
    </row>
    <row r="6036" spans="11:16">
      <c r="K6036" s="85">
        <v>26</v>
      </c>
      <c r="L6036" s="78"/>
      <c r="M6036" s="78"/>
      <c r="N6036" s="78"/>
      <c r="P6036" s="85"/>
    </row>
    <row r="6037" spans="11:16">
      <c r="K6037" s="85">
        <v>27</v>
      </c>
      <c r="L6037" s="78"/>
      <c r="M6037" s="78"/>
      <c r="N6037" s="78"/>
      <c r="P6037" s="85"/>
    </row>
    <row r="6038" spans="11:16">
      <c r="K6038" s="85">
        <v>28</v>
      </c>
      <c r="L6038" s="78"/>
      <c r="M6038" s="78"/>
      <c r="N6038" s="78"/>
      <c r="P6038" s="85"/>
    </row>
    <row r="6039" spans="11:16">
      <c r="K6039" s="85">
        <v>30</v>
      </c>
      <c r="L6039" s="78"/>
      <c r="M6039" s="78"/>
      <c r="N6039" s="78"/>
      <c r="P6039" s="85"/>
    </row>
    <row r="6040" spans="11:16">
      <c r="K6040" s="85">
        <v>31</v>
      </c>
      <c r="L6040" s="78"/>
      <c r="M6040" s="78"/>
      <c r="N6040" s="78"/>
      <c r="P6040" s="85"/>
    </row>
    <row r="6041" spans="11:16">
      <c r="K6041" s="85">
        <v>32</v>
      </c>
      <c r="L6041" s="78"/>
      <c r="M6041" s="78"/>
      <c r="N6041" s="78"/>
      <c r="P6041" s="85"/>
    </row>
    <row r="6042" spans="11:16">
      <c r="K6042" s="85">
        <v>34</v>
      </c>
      <c r="L6042" s="78"/>
      <c r="M6042" s="78"/>
      <c r="N6042" s="78"/>
      <c r="P6042" s="85"/>
    </row>
    <row r="6043" spans="11:16">
      <c r="K6043" s="85">
        <v>25</v>
      </c>
      <c r="L6043" s="78"/>
      <c r="M6043" s="78"/>
      <c r="N6043" s="78"/>
      <c r="P6043" s="85"/>
    </row>
    <row r="6044" spans="11:16">
      <c r="K6044" s="85">
        <v>26</v>
      </c>
      <c r="L6044" s="78"/>
      <c r="M6044" s="78"/>
      <c r="N6044" s="78"/>
      <c r="P6044" s="85"/>
    </row>
    <row r="6045" spans="11:16">
      <c r="K6045" s="85">
        <v>27</v>
      </c>
      <c r="L6045" s="78"/>
      <c r="M6045" s="78"/>
      <c r="N6045" s="78"/>
      <c r="P6045" s="85"/>
    </row>
    <row r="6046" spans="11:16">
      <c r="K6046" s="85">
        <v>28</v>
      </c>
      <c r="L6046" s="78"/>
      <c r="M6046" s="78"/>
      <c r="N6046" s="78"/>
      <c r="P6046" s="85"/>
    </row>
    <row r="6047" spans="11:16">
      <c r="K6047" s="85">
        <v>29</v>
      </c>
      <c r="L6047" s="78"/>
      <c r="M6047" s="78"/>
      <c r="N6047" s="78"/>
      <c r="P6047" s="85"/>
    </row>
    <row r="6048" spans="11:16">
      <c r="K6048" s="85">
        <v>30</v>
      </c>
      <c r="L6048" s="78"/>
      <c r="M6048" s="78"/>
      <c r="N6048" s="78"/>
      <c r="P6048" s="85"/>
    </row>
    <row r="6049" spans="11:16">
      <c r="K6049" s="85">
        <v>31</v>
      </c>
      <c r="L6049" s="78"/>
      <c r="M6049" s="78"/>
      <c r="N6049" s="78"/>
      <c r="P6049" s="85"/>
    </row>
    <row r="6050" spans="11:16">
      <c r="K6050" s="85">
        <v>32</v>
      </c>
      <c r="L6050" s="78"/>
      <c r="M6050" s="78"/>
      <c r="N6050" s="78"/>
      <c r="P6050" s="85"/>
    </row>
    <row r="6051" spans="11:16">
      <c r="K6051" s="85">
        <v>33</v>
      </c>
      <c r="L6051" s="78"/>
      <c r="M6051" s="78"/>
      <c r="N6051" s="78"/>
      <c r="P6051" s="85"/>
    </row>
    <row r="6052" spans="11:16">
      <c r="K6052" s="85">
        <v>34</v>
      </c>
      <c r="L6052" s="78"/>
      <c r="M6052" s="78"/>
      <c r="N6052" s="78"/>
      <c r="P6052" s="85"/>
    </row>
    <row r="6053" spans="11:16">
      <c r="K6053" s="85">
        <v>35</v>
      </c>
      <c r="L6053" s="78"/>
      <c r="M6053" s="78"/>
      <c r="N6053" s="78"/>
      <c r="P6053" s="85"/>
    </row>
    <row r="6054" spans="11:16">
      <c r="K6054" s="85">
        <v>36</v>
      </c>
      <c r="L6054" s="78"/>
      <c r="M6054" s="78"/>
      <c r="N6054" s="78"/>
      <c r="P6054" s="85"/>
    </row>
    <row r="6055" spans="11:16">
      <c r="K6055" s="85">
        <v>25</v>
      </c>
      <c r="L6055" s="78"/>
      <c r="M6055" s="78"/>
      <c r="N6055" s="78"/>
      <c r="P6055" s="85"/>
    </row>
    <row r="6056" spans="11:16">
      <c r="K6056" s="85">
        <v>27</v>
      </c>
      <c r="L6056" s="78"/>
      <c r="M6056" s="78"/>
      <c r="N6056" s="78"/>
      <c r="P6056" s="85"/>
    </row>
    <row r="6057" spans="11:16">
      <c r="K6057" s="85">
        <v>31</v>
      </c>
      <c r="L6057" s="78"/>
      <c r="M6057" s="78"/>
      <c r="N6057" s="78"/>
      <c r="P6057" s="85"/>
    </row>
    <row r="6058" spans="11:16">
      <c r="K6058" s="85">
        <v>33</v>
      </c>
      <c r="L6058" s="78"/>
      <c r="M6058" s="78"/>
      <c r="N6058" s="78"/>
      <c r="P6058" s="85"/>
    </row>
    <row r="6059" spans="11:16">
      <c r="K6059" s="85">
        <v>25</v>
      </c>
      <c r="L6059" s="78"/>
      <c r="M6059" s="78"/>
      <c r="N6059" s="78"/>
      <c r="P6059" s="85"/>
    </row>
    <row r="6060" spans="11:16">
      <c r="K6060" s="85">
        <v>26</v>
      </c>
      <c r="L6060" s="78"/>
      <c r="M6060" s="78"/>
      <c r="N6060" s="78"/>
      <c r="P6060" s="85"/>
    </row>
    <row r="6061" spans="11:16">
      <c r="K6061" s="85">
        <v>27</v>
      </c>
      <c r="L6061" s="78"/>
      <c r="M6061" s="78"/>
      <c r="N6061" s="78"/>
      <c r="P6061" s="85"/>
    </row>
    <row r="6062" spans="11:16">
      <c r="K6062" s="85">
        <v>28</v>
      </c>
      <c r="L6062" s="78"/>
      <c r="M6062" s="78"/>
      <c r="N6062" s="78"/>
      <c r="P6062" s="85"/>
    </row>
    <row r="6063" spans="11:16">
      <c r="K6063" s="85">
        <v>30</v>
      </c>
      <c r="L6063" s="78"/>
      <c r="M6063" s="78"/>
      <c r="N6063" s="78"/>
      <c r="P6063" s="85"/>
    </row>
    <row r="6064" spans="11:16">
      <c r="K6064" s="85">
        <v>31</v>
      </c>
      <c r="L6064" s="78"/>
      <c r="M6064" s="78"/>
      <c r="N6064" s="78"/>
      <c r="P6064" s="85"/>
    </row>
    <row r="6065" spans="11:16">
      <c r="K6065" s="85">
        <v>32</v>
      </c>
      <c r="L6065" s="78"/>
      <c r="M6065" s="78"/>
      <c r="N6065" s="78"/>
      <c r="P6065" s="85"/>
    </row>
    <row r="6066" spans="11:16">
      <c r="K6066" s="85">
        <v>34</v>
      </c>
      <c r="L6066" s="78"/>
      <c r="M6066" s="78"/>
      <c r="N6066" s="78"/>
      <c r="P6066" s="85"/>
    </row>
    <row r="6067" spans="11:16">
      <c r="K6067" s="85">
        <v>35</v>
      </c>
      <c r="L6067" s="78"/>
      <c r="M6067" s="78"/>
      <c r="N6067" s="78"/>
      <c r="P6067" s="85"/>
    </row>
    <row r="6068" spans="11:16">
      <c r="K6068" s="85">
        <v>36</v>
      </c>
      <c r="L6068" s="78"/>
      <c r="M6068" s="78"/>
      <c r="N6068" s="78"/>
      <c r="P6068" s="85"/>
    </row>
    <row r="6069" spans="11:16">
      <c r="K6069" s="85">
        <v>27</v>
      </c>
      <c r="L6069" s="78"/>
      <c r="M6069" s="78"/>
      <c r="N6069" s="78"/>
      <c r="P6069" s="85"/>
    </row>
    <row r="6070" spans="11:16">
      <c r="K6070" s="85">
        <v>28</v>
      </c>
      <c r="L6070" s="78"/>
      <c r="M6070" s="78"/>
      <c r="N6070" s="78"/>
      <c r="P6070" s="85"/>
    </row>
    <row r="6071" spans="11:16">
      <c r="K6071" s="85">
        <v>35</v>
      </c>
      <c r="L6071" s="78"/>
      <c r="M6071" s="78"/>
      <c r="N6071" s="78"/>
      <c r="P6071" s="85"/>
    </row>
    <row r="6072" spans="11:16">
      <c r="K6072" s="85">
        <v>25</v>
      </c>
      <c r="L6072" s="78"/>
      <c r="M6072" s="78"/>
      <c r="N6072" s="78"/>
      <c r="P6072" s="85"/>
    </row>
    <row r="6073" spans="11:16">
      <c r="K6073" s="85">
        <v>26</v>
      </c>
      <c r="L6073" s="78"/>
      <c r="M6073" s="78"/>
      <c r="N6073" s="78"/>
      <c r="P6073" s="85"/>
    </row>
    <row r="6074" spans="11:16">
      <c r="K6074" s="85">
        <v>27</v>
      </c>
      <c r="L6074" s="78"/>
      <c r="M6074" s="78"/>
      <c r="N6074" s="78"/>
      <c r="P6074" s="85"/>
    </row>
    <row r="6075" spans="11:16">
      <c r="K6075" s="85">
        <v>28</v>
      </c>
      <c r="L6075" s="78"/>
      <c r="M6075" s="78"/>
      <c r="N6075" s="78"/>
      <c r="P6075" s="85"/>
    </row>
    <row r="6076" spans="11:16">
      <c r="K6076" s="85">
        <v>29</v>
      </c>
      <c r="L6076" s="78"/>
      <c r="M6076" s="78"/>
      <c r="N6076" s="78"/>
      <c r="P6076" s="85"/>
    </row>
    <row r="6077" spans="11:16">
      <c r="K6077" s="85">
        <v>30</v>
      </c>
      <c r="L6077" s="78"/>
      <c r="M6077" s="78"/>
      <c r="N6077" s="78"/>
      <c r="P6077" s="85"/>
    </row>
    <row r="6078" spans="11:16">
      <c r="K6078" s="85">
        <v>31</v>
      </c>
      <c r="L6078" s="78"/>
      <c r="M6078" s="78"/>
      <c r="N6078" s="78"/>
      <c r="P6078" s="85"/>
    </row>
    <row r="6079" spans="11:16">
      <c r="K6079" s="85">
        <v>32</v>
      </c>
      <c r="L6079" s="78"/>
      <c r="M6079" s="78"/>
      <c r="N6079" s="78"/>
      <c r="P6079" s="85"/>
    </row>
    <row r="6080" spans="11:16">
      <c r="K6080" s="85">
        <v>33</v>
      </c>
      <c r="L6080" s="78"/>
      <c r="M6080" s="78"/>
      <c r="N6080" s="78"/>
      <c r="P6080" s="85"/>
    </row>
    <row r="6081" spans="11:16">
      <c r="K6081" s="85">
        <v>34</v>
      </c>
      <c r="L6081" s="78"/>
      <c r="M6081" s="78"/>
      <c r="N6081" s="78"/>
      <c r="P6081" s="85"/>
    </row>
    <row r="6082" spans="11:16">
      <c r="K6082" s="85">
        <v>35</v>
      </c>
      <c r="L6082" s="78"/>
      <c r="M6082" s="78"/>
      <c r="N6082" s="78"/>
      <c r="P6082" s="85"/>
    </row>
    <row r="6083" spans="11:16">
      <c r="K6083" s="85">
        <v>36</v>
      </c>
      <c r="L6083" s="78"/>
      <c r="M6083" s="78"/>
      <c r="N6083" s="78"/>
      <c r="P6083" s="85"/>
    </row>
    <row r="6084" spans="11:16">
      <c r="K6084" s="85">
        <v>25</v>
      </c>
      <c r="L6084" s="78"/>
      <c r="M6084" s="78"/>
      <c r="N6084" s="78"/>
      <c r="P6084" s="85"/>
    </row>
    <row r="6085" spans="11:16">
      <c r="K6085" s="85">
        <v>26</v>
      </c>
      <c r="L6085" s="78"/>
      <c r="M6085" s="78"/>
      <c r="N6085" s="78"/>
      <c r="P6085" s="85"/>
    </row>
    <row r="6086" spans="11:16">
      <c r="K6086" s="85">
        <v>27</v>
      </c>
      <c r="L6086" s="78"/>
      <c r="M6086" s="78"/>
      <c r="N6086" s="78"/>
      <c r="P6086" s="85"/>
    </row>
    <row r="6087" spans="11:16">
      <c r="K6087" s="85">
        <v>28</v>
      </c>
      <c r="L6087" s="78"/>
      <c r="M6087" s="78"/>
      <c r="N6087" s="78"/>
      <c r="P6087" s="85"/>
    </row>
    <row r="6088" spans="11:16">
      <c r="K6088" s="85">
        <v>30</v>
      </c>
      <c r="L6088" s="78"/>
      <c r="M6088" s="78"/>
      <c r="N6088" s="78"/>
      <c r="P6088" s="85"/>
    </row>
    <row r="6089" spans="11:16">
      <c r="K6089" s="85">
        <v>34</v>
      </c>
      <c r="L6089" s="78"/>
      <c r="M6089" s="78"/>
      <c r="N6089" s="78"/>
      <c r="P6089" s="85"/>
    </row>
    <row r="6090" spans="11:16">
      <c r="K6090" s="85">
        <v>35</v>
      </c>
      <c r="L6090" s="78"/>
      <c r="M6090" s="78"/>
      <c r="N6090" s="78"/>
      <c r="P6090" s="85"/>
    </row>
    <row r="6091" spans="11:16">
      <c r="K6091" s="85">
        <v>36</v>
      </c>
      <c r="L6091" s="78"/>
      <c r="M6091" s="78"/>
      <c r="N6091" s="78"/>
      <c r="P6091" s="85"/>
    </row>
    <row r="6092" spans="11:16">
      <c r="K6092" s="85">
        <v>25</v>
      </c>
      <c r="L6092" s="78"/>
      <c r="M6092" s="78"/>
      <c r="N6092" s="78"/>
      <c r="P6092" s="85"/>
    </row>
    <row r="6093" spans="11:16">
      <c r="K6093" s="85">
        <v>26</v>
      </c>
      <c r="L6093" s="78"/>
      <c r="M6093" s="78"/>
      <c r="N6093" s="78"/>
      <c r="P6093" s="85"/>
    </row>
    <row r="6094" spans="11:16">
      <c r="K6094" s="85">
        <v>27</v>
      </c>
      <c r="L6094" s="78"/>
      <c r="M6094" s="78"/>
      <c r="N6094" s="78"/>
      <c r="P6094" s="85"/>
    </row>
    <row r="6095" spans="11:16">
      <c r="K6095" s="85">
        <v>29</v>
      </c>
      <c r="L6095" s="78"/>
      <c r="M6095" s="78"/>
      <c r="N6095" s="78"/>
      <c r="P6095" s="85"/>
    </row>
    <row r="6096" spans="11:16">
      <c r="K6096" s="85">
        <v>30</v>
      </c>
      <c r="L6096" s="78"/>
      <c r="M6096" s="78"/>
      <c r="N6096" s="78"/>
      <c r="P6096" s="85"/>
    </row>
    <row r="6097" spans="11:16">
      <c r="K6097" s="85">
        <v>31</v>
      </c>
      <c r="L6097" s="78"/>
      <c r="M6097" s="78"/>
      <c r="N6097" s="78"/>
      <c r="P6097" s="85"/>
    </row>
    <row r="6098" spans="11:16">
      <c r="K6098" s="85">
        <v>33</v>
      </c>
      <c r="L6098" s="78"/>
      <c r="M6098" s="78"/>
      <c r="N6098" s="78"/>
      <c r="P6098" s="85"/>
    </row>
    <row r="6099" spans="11:16">
      <c r="K6099" s="85">
        <v>34</v>
      </c>
      <c r="L6099" s="78"/>
      <c r="M6099" s="78"/>
      <c r="N6099" s="78"/>
      <c r="P6099" s="85"/>
    </row>
    <row r="6100" spans="11:16">
      <c r="K6100" s="85">
        <v>35</v>
      </c>
      <c r="L6100" s="78"/>
      <c r="M6100" s="78"/>
      <c r="N6100" s="78"/>
      <c r="P6100" s="85"/>
    </row>
    <row r="6101" spans="11:16">
      <c r="K6101" s="85">
        <v>25</v>
      </c>
      <c r="L6101" s="78"/>
      <c r="M6101" s="78"/>
      <c r="N6101" s="78"/>
      <c r="P6101" s="85"/>
    </row>
    <row r="6102" spans="11:16">
      <c r="K6102" s="85">
        <v>27</v>
      </c>
      <c r="L6102" s="78"/>
      <c r="M6102" s="78"/>
      <c r="N6102" s="78"/>
      <c r="P6102" s="85"/>
    </row>
    <row r="6103" spans="11:16">
      <c r="K6103" s="85">
        <v>30</v>
      </c>
      <c r="L6103" s="78"/>
      <c r="M6103" s="78"/>
      <c r="N6103" s="78"/>
      <c r="P6103" s="85"/>
    </row>
    <row r="6104" spans="11:16">
      <c r="K6104" s="85">
        <v>31</v>
      </c>
      <c r="L6104" s="78"/>
      <c r="M6104" s="78"/>
      <c r="N6104" s="78"/>
      <c r="P6104" s="85"/>
    </row>
    <row r="6105" spans="11:16">
      <c r="K6105" s="85">
        <v>32</v>
      </c>
      <c r="L6105" s="78"/>
      <c r="M6105" s="78"/>
      <c r="N6105" s="78"/>
      <c r="P6105" s="85"/>
    </row>
    <row r="6106" spans="11:16">
      <c r="K6106" s="85">
        <v>33</v>
      </c>
      <c r="L6106" s="78"/>
      <c r="M6106" s="78"/>
      <c r="N6106" s="78"/>
      <c r="P6106" s="85"/>
    </row>
    <row r="6107" spans="11:16">
      <c r="K6107" s="85">
        <v>34</v>
      </c>
      <c r="L6107" s="78"/>
      <c r="M6107" s="78"/>
      <c r="N6107" s="78"/>
      <c r="P6107" s="85"/>
    </row>
    <row r="6108" spans="11:16">
      <c r="K6108" s="85">
        <v>35</v>
      </c>
      <c r="L6108" s="78"/>
      <c r="M6108" s="78"/>
      <c r="N6108" s="78"/>
      <c r="P6108" s="85"/>
    </row>
    <row r="6109" spans="11:16">
      <c r="K6109" s="85">
        <v>36</v>
      </c>
      <c r="L6109" s="78"/>
      <c r="M6109" s="78"/>
      <c r="N6109" s="78"/>
      <c r="P6109" s="85"/>
    </row>
    <row r="6110" spans="11:16">
      <c r="K6110" s="85">
        <v>25</v>
      </c>
      <c r="L6110" s="78"/>
      <c r="M6110" s="78"/>
      <c r="N6110" s="78"/>
      <c r="P6110" s="85"/>
    </row>
    <row r="6111" spans="11:16">
      <c r="K6111" s="85">
        <v>27</v>
      </c>
      <c r="L6111" s="78"/>
      <c r="M6111" s="78"/>
      <c r="N6111" s="78"/>
      <c r="P6111" s="85"/>
    </row>
    <row r="6112" spans="11:16">
      <c r="K6112" s="85">
        <v>28</v>
      </c>
      <c r="L6112" s="78"/>
      <c r="M6112" s="78"/>
      <c r="N6112" s="78"/>
      <c r="P6112" s="85"/>
    </row>
    <row r="6113" spans="11:16">
      <c r="K6113" s="85">
        <v>30</v>
      </c>
      <c r="L6113" s="78"/>
      <c r="M6113" s="78"/>
      <c r="N6113" s="78"/>
      <c r="P6113" s="85"/>
    </row>
    <row r="6114" spans="11:16">
      <c r="K6114" s="85">
        <v>31</v>
      </c>
      <c r="L6114" s="78"/>
      <c r="M6114" s="78"/>
      <c r="N6114" s="78"/>
      <c r="P6114" s="85"/>
    </row>
    <row r="6115" spans="11:16">
      <c r="K6115" s="85">
        <v>32</v>
      </c>
      <c r="L6115" s="78"/>
      <c r="M6115" s="78"/>
      <c r="N6115" s="78"/>
      <c r="P6115" s="85"/>
    </row>
    <row r="6116" spans="11:16">
      <c r="K6116" s="85">
        <v>34</v>
      </c>
      <c r="L6116" s="78"/>
      <c r="M6116" s="78"/>
      <c r="N6116" s="78"/>
      <c r="P6116" s="85"/>
    </row>
    <row r="6117" spans="11:16">
      <c r="K6117" s="85">
        <v>35</v>
      </c>
      <c r="L6117" s="78"/>
      <c r="M6117" s="78"/>
      <c r="N6117" s="78"/>
      <c r="P6117" s="85"/>
    </row>
    <row r="6118" spans="11:16">
      <c r="K6118" s="85">
        <v>27</v>
      </c>
      <c r="L6118" s="78"/>
      <c r="M6118" s="78"/>
      <c r="N6118" s="78"/>
      <c r="P6118" s="85"/>
    </row>
    <row r="6119" spans="11:16">
      <c r="K6119" s="85">
        <v>28</v>
      </c>
      <c r="L6119" s="78"/>
      <c r="M6119" s="78"/>
      <c r="N6119" s="78"/>
      <c r="P6119" s="85"/>
    </row>
    <row r="6120" spans="11:16">
      <c r="K6120" s="85">
        <v>30</v>
      </c>
      <c r="L6120" s="78"/>
      <c r="M6120" s="78"/>
      <c r="N6120" s="78"/>
      <c r="P6120" s="85"/>
    </row>
    <row r="6121" spans="11:16">
      <c r="K6121" s="85">
        <v>31</v>
      </c>
      <c r="L6121" s="78"/>
      <c r="M6121" s="78"/>
      <c r="N6121" s="78"/>
      <c r="P6121" s="85"/>
    </row>
    <row r="6122" spans="11:16">
      <c r="K6122" s="85">
        <v>32</v>
      </c>
      <c r="L6122" s="78"/>
      <c r="M6122" s="78"/>
      <c r="N6122" s="78"/>
      <c r="P6122" s="85"/>
    </row>
    <row r="6123" spans="11:16">
      <c r="K6123" s="85">
        <v>34</v>
      </c>
      <c r="L6123" s="78"/>
      <c r="M6123" s="78"/>
      <c r="N6123" s="78"/>
      <c r="P6123" s="85"/>
    </row>
    <row r="6124" spans="11:16">
      <c r="K6124" s="85">
        <v>35</v>
      </c>
      <c r="L6124" s="78"/>
      <c r="M6124" s="78"/>
      <c r="N6124" s="78"/>
      <c r="P6124" s="85"/>
    </row>
    <row r="6125" spans="11:16">
      <c r="K6125" s="85">
        <v>36</v>
      </c>
      <c r="L6125" s="78"/>
      <c r="M6125" s="78"/>
      <c r="N6125" s="78"/>
      <c r="P6125" s="85"/>
    </row>
    <row r="6126" spans="11:16">
      <c r="K6126" s="85">
        <v>25</v>
      </c>
      <c r="L6126" s="78"/>
      <c r="M6126" s="78"/>
      <c r="N6126" s="78"/>
      <c r="P6126" s="85"/>
    </row>
    <row r="6127" spans="11:16">
      <c r="K6127" s="85">
        <v>26</v>
      </c>
      <c r="L6127" s="78"/>
      <c r="M6127" s="78"/>
      <c r="N6127" s="78"/>
      <c r="P6127" s="85"/>
    </row>
    <row r="6128" spans="11:16">
      <c r="K6128" s="85">
        <v>27</v>
      </c>
      <c r="L6128" s="78"/>
      <c r="M6128" s="78"/>
      <c r="N6128" s="78"/>
      <c r="P6128" s="85"/>
    </row>
    <row r="6129" spans="11:16">
      <c r="K6129" s="85">
        <v>28</v>
      </c>
      <c r="L6129" s="78"/>
      <c r="M6129" s="78"/>
      <c r="N6129" s="78"/>
      <c r="P6129" s="85"/>
    </row>
    <row r="6130" spans="11:16">
      <c r="K6130" s="85">
        <v>29</v>
      </c>
      <c r="L6130" s="78"/>
      <c r="M6130" s="78"/>
      <c r="N6130" s="78"/>
      <c r="P6130" s="85"/>
    </row>
    <row r="6131" spans="11:16">
      <c r="K6131" s="85">
        <v>30</v>
      </c>
      <c r="L6131" s="78"/>
      <c r="M6131" s="78"/>
      <c r="N6131" s="78"/>
      <c r="P6131" s="85"/>
    </row>
    <row r="6132" spans="11:16">
      <c r="K6132" s="85">
        <v>31</v>
      </c>
      <c r="L6132" s="78"/>
      <c r="M6132" s="78"/>
      <c r="N6132" s="78"/>
      <c r="P6132" s="85"/>
    </row>
    <row r="6133" spans="11:16">
      <c r="K6133" s="85">
        <v>32</v>
      </c>
      <c r="L6133" s="78"/>
      <c r="M6133" s="78"/>
      <c r="N6133" s="78"/>
      <c r="P6133" s="85"/>
    </row>
    <row r="6134" spans="11:16">
      <c r="K6134" s="85">
        <v>33</v>
      </c>
      <c r="L6134" s="78"/>
      <c r="M6134" s="78"/>
      <c r="N6134" s="78"/>
      <c r="P6134" s="85"/>
    </row>
    <row r="6135" spans="11:16">
      <c r="K6135" s="85">
        <v>34</v>
      </c>
      <c r="L6135" s="78"/>
      <c r="M6135" s="78"/>
      <c r="N6135" s="78"/>
      <c r="P6135" s="85"/>
    </row>
    <row r="6136" spans="11:16">
      <c r="K6136" s="85">
        <v>35</v>
      </c>
      <c r="L6136" s="78"/>
      <c r="M6136" s="78"/>
      <c r="N6136" s="78"/>
      <c r="P6136" s="85"/>
    </row>
    <row r="6137" spans="11:16">
      <c r="K6137" s="85">
        <v>36</v>
      </c>
      <c r="L6137" s="78"/>
      <c r="M6137" s="78"/>
      <c r="N6137" s="78"/>
      <c r="P6137" s="85"/>
    </row>
    <row r="6138" spans="11:16">
      <c r="K6138" s="85">
        <v>25</v>
      </c>
      <c r="L6138" s="78"/>
      <c r="M6138" s="78"/>
      <c r="N6138" s="78"/>
      <c r="P6138" s="85"/>
    </row>
    <row r="6139" spans="11:16">
      <c r="K6139" s="85">
        <v>27</v>
      </c>
      <c r="L6139" s="78"/>
      <c r="M6139" s="78"/>
      <c r="N6139" s="78"/>
      <c r="P6139" s="85"/>
    </row>
    <row r="6140" spans="11:16">
      <c r="K6140" s="85">
        <v>31</v>
      </c>
      <c r="L6140" s="78"/>
      <c r="M6140" s="78"/>
      <c r="N6140" s="78"/>
      <c r="P6140" s="85"/>
    </row>
    <row r="6141" spans="11:16">
      <c r="K6141" s="85">
        <v>25</v>
      </c>
      <c r="L6141" s="78"/>
      <c r="M6141" s="78"/>
      <c r="N6141" s="78"/>
      <c r="P6141" s="85"/>
    </row>
    <row r="6142" spans="11:16">
      <c r="K6142" s="85">
        <v>26</v>
      </c>
      <c r="L6142" s="78"/>
      <c r="M6142" s="78"/>
      <c r="N6142" s="78"/>
      <c r="P6142" s="85"/>
    </row>
    <row r="6143" spans="11:16">
      <c r="K6143" s="85">
        <v>27</v>
      </c>
      <c r="L6143" s="78"/>
      <c r="M6143" s="78"/>
      <c r="N6143" s="78"/>
      <c r="P6143" s="85"/>
    </row>
    <row r="6144" spans="11:16">
      <c r="K6144" s="85">
        <v>30</v>
      </c>
      <c r="L6144" s="78"/>
      <c r="M6144" s="78"/>
      <c r="N6144" s="78"/>
      <c r="P6144" s="85"/>
    </row>
    <row r="6145" spans="11:16">
      <c r="K6145" s="85">
        <v>31</v>
      </c>
      <c r="L6145" s="78"/>
      <c r="M6145" s="78"/>
      <c r="N6145" s="78"/>
      <c r="P6145" s="85"/>
    </row>
    <row r="6146" spans="11:16">
      <c r="K6146" s="85">
        <v>35</v>
      </c>
      <c r="L6146" s="78"/>
      <c r="M6146" s="78"/>
      <c r="N6146" s="78"/>
      <c r="P6146" s="85"/>
    </row>
    <row r="6147" spans="11:16">
      <c r="K6147" s="85">
        <v>28</v>
      </c>
      <c r="L6147" s="78"/>
      <c r="M6147" s="78"/>
      <c r="N6147" s="78"/>
      <c r="P6147" s="85"/>
    </row>
    <row r="6148" spans="11:16">
      <c r="K6148" s="85">
        <v>31</v>
      </c>
      <c r="L6148" s="78"/>
      <c r="M6148" s="78"/>
      <c r="N6148" s="78"/>
      <c r="P6148" s="85"/>
    </row>
    <row r="6149" spans="11:16">
      <c r="K6149" s="85">
        <v>25</v>
      </c>
      <c r="L6149" s="78"/>
      <c r="M6149" s="78"/>
      <c r="N6149" s="78"/>
      <c r="P6149" s="85"/>
    </row>
    <row r="6150" spans="11:16">
      <c r="K6150" s="85">
        <v>26</v>
      </c>
      <c r="L6150" s="78"/>
      <c r="M6150" s="78"/>
      <c r="N6150" s="78"/>
      <c r="P6150" s="85"/>
    </row>
    <row r="6151" spans="11:16">
      <c r="K6151" s="85">
        <v>27</v>
      </c>
      <c r="L6151" s="78"/>
      <c r="M6151" s="78"/>
      <c r="N6151" s="78"/>
      <c r="P6151" s="85"/>
    </row>
    <row r="6152" spans="11:16">
      <c r="K6152" s="85">
        <v>28</v>
      </c>
      <c r="L6152" s="78"/>
      <c r="M6152" s="78"/>
      <c r="N6152" s="78"/>
      <c r="P6152" s="85"/>
    </row>
    <row r="6153" spans="11:16">
      <c r="K6153" s="85">
        <v>29</v>
      </c>
      <c r="L6153" s="78"/>
      <c r="M6153" s="78"/>
      <c r="N6153" s="78"/>
      <c r="P6153" s="85"/>
    </row>
    <row r="6154" spans="11:16">
      <c r="K6154" s="85">
        <v>30</v>
      </c>
      <c r="L6154" s="78"/>
      <c r="M6154" s="78"/>
      <c r="N6154" s="78"/>
      <c r="P6154" s="85"/>
    </row>
    <row r="6155" spans="11:16">
      <c r="K6155" s="85">
        <v>31</v>
      </c>
      <c r="L6155" s="78"/>
      <c r="M6155" s="78"/>
      <c r="N6155" s="78"/>
      <c r="P6155" s="85"/>
    </row>
    <row r="6156" spans="11:16">
      <c r="K6156" s="85">
        <v>32</v>
      </c>
      <c r="L6156" s="78"/>
      <c r="M6156" s="78"/>
      <c r="N6156" s="78"/>
      <c r="P6156" s="85"/>
    </row>
    <row r="6157" spans="11:16">
      <c r="K6157" s="85">
        <v>33</v>
      </c>
      <c r="L6157" s="78"/>
      <c r="M6157" s="78"/>
      <c r="N6157" s="78"/>
      <c r="P6157" s="85"/>
    </row>
    <row r="6158" spans="11:16">
      <c r="K6158" s="85">
        <v>34</v>
      </c>
      <c r="L6158" s="78"/>
      <c r="M6158" s="78"/>
      <c r="N6158" s="78"/>
      <c r="P6158" s="85"/>
    </row>
    <row r="6159" spans="11:16">
      <c r="K6159" s="85">
        <v>35</v>
      </c>
      <c r="L6159" s="78"/>
      <c r="M6159" s="78"/>
      <c r="N6159" s="78"/>
      <c r="P6159" s="85"/>
    </row>
    <row r="6160" spans="11:16">
      <c r="K6160" s="85">
        <v>36</v>
      </c>
      <c r="L6160" s="78"/>
      <c r="M6160" s="78"/>
      <c r="N6160" s="78"/>
      <c r="P6160" s="85"/>
    </row>
    <row r="6161" spans="11:16">
      <c r="K6161" s="85">
        <v>25</v>
      </c>
      <c r="L6161" s="78"/>
      <c r="M6161" s="78"/>
      <c r="N6161" s="78"/>
      <c r="P6161" s="85"/>
    </row>
    <row r="6162" spans="11:16">
      <c r="K6162" s="85">
        <v>27</v>
      </c>
      <c r="L6162" s="78"/>
      <c r="M6162" s="78"/>
      <c r="N6162" s="78"/>
      <c r="P6162" s="85"/>
    </row>
    <row r="6163" spans="11:16">
      <c r="K6163" s="85">
        <v>30</v>
      </c>
      <c r="L6163" s="78"/>
      <c r="M6163" s="78"/>
      <c r="N6163" s="78"/>
      <c r="P6163" s="85"/>
    </row>
    <row r="6164" spans="11:16">
      <c r="K6164" s="85">
        <v>31</v>
      </c>
      <c r="L6164" s="78"/>
      <c r="M6164" s="78"/>
      <c r="N6164" s="78"/>
      <c r="P6164" s="85"/>
    </row>
    <row r="6165" spans="11:16">
      <c r="K6165" s="85">
        <v>32</v>
      </c>
      <c r="L6165" s="78"/>
      <c r="M6165" s="78"/>
      <c r="N6165" s="78"/>
      <c r="P6165" s="85"/>
    </row>
    <row r="6166" spans="11:16">
      <c r="K6166" s="85">
        <v>33</v>
      </c>
      <c r="L6166" s="78"/>
      <c r="M6166" s="78"/>
      <c r="N6166" s="78"/>
      <c r="P6166" s="85"/>
    </row>
    <row r="6167" spans="11:16">
      <c r="K6167" s="85">
        <v>34</v>
      </c>
      <c r="L6167" s="78"/>
      <c r="M6167" s="78"/>
      <c r="N6167" s="78"/>
      <c r="P6167" s="85"/>
    </row>
    <row r="6168" spans="11:16">
      <c r="K6168" s="85">
        <v>35</v>
      </c>
      <c r="L6168" s="78"/>
      <c r="M6168" s="78"/>
      <c r="N6168" s="78"/>
      <c r="P6168" s="85"/>
    </row>
    <row r="6169" spans="11:16">
      <c r="K6169" s="85">
        <v>25</v>
      </c>
      <c r="L6169" s="78"/>
      <c r="M6169" s="78"/>
      <c r="N6169" s="78"/>
      <c r="P6169" s="85"/>
    </row>
    <row r="6170" spans="11:16">
      <c r="K6170" s="85">
        <v>27</v>
      </c>
      <c r="L6170" s="78"/>
      <c r="M6170" s="78"/>
      <c r="N6170" s="78"/>
      <c r="P6170" s="85"/>
    </row>
    <row r="6171" spans="11:16">
      <c r="K6171" s="85">
        <v>31</v>
      </c>
      <c r="L6171" s="78"/>
      <c r="M6171" s="78"/>
      <c r="N6171" s="78"/>
      <c r="P6171" s="85"/>
    </row>
    <row r="6172" spans="11:16">
      <c r="K6172" s="85">
        <v>32</v>
      </c>
      <c r="L6172" s="78"/>
      <c r="M6172" s="78"/>
      <c r="N6172" s="78"/>
      <c r="P6172" s="85"/>
    </row>
    <row r="6173" spans="11:16">
      <c r="K6173" s="85">
        <v>35</v>
      </c>
      <c r="L6173" s="78"/>
      <c r="M6173" s="78"/>
      <c r="N6173" s="78"/>
      <c r="P6173" s="85"/>
    </row>
    <row r="6174" spans="11:16">
      <c r="K6174" s="85">
        <v>26</v>
      </c>
      <c r="L6174" s="78"/>
      <c r="M6174" s="78"/>
      <c r="N6174" s="78"/>
      <c r="P6174" s="85"/>
    </row>
    <row r="6175" spans="11:16">
      <c r="K6175" s="85">
        <v>27</v>
      </c>
      <c r="L6175" s="78"/>
      <c r="M6175" s="78"/>
      <c r="N6175" s="78"/>
      <c r="P6175" s="85"/>
    </row>
    <row r="6176" spans="11:16">
      <c r="K6176" s="85">
        <v>28</v>
      </c>
      <c r="L6176" s="78"/>
      <c r="M6176" s="78"/>
      <c r="N6176" s="78"/>
      <c r="P6176" s="85"/>
    </row>
    <row r="6177" spans="11:16">
      <c r="K6177" s="85">
        <v>31</v>
      </c>
      <c r="L6177" s="78"/>
      <c r="M6177" s="78"/>
      <c r="N6177" s="78"/>
      <c r="P6177" s="85"/>
    </row>
    <row r="6178" spans="11:16">
      <c r="K6178" s="85">
        <v>32</v>
      </c>
      <c r="L6178" s="78"/>
      <c r="M6178" s="78"/>
      <c r="N6178" s="78"/>
      <c r="P6178" s="85"/>
    </row>
    <row r="6179" spans="11:16">
      <c r="K6179" s="85">
        <v>33</v>
      </c>
      <c r="L6179" s="78"/>
      <c r="M6179" s="78"/>
      <c r="N6179" s="78"/>
      <c r="P6179" s="85"/>
    </row>
    <row r="6180" spans="11:16">
      <c r="K6180" s="85">
        <v>35</v>
      </c>
      <c r="L6180" s="78"/>
      <c r="M6180" s="78"/>
      <c r="N6180" s="78"/>
      <c r="P6180" s="85"/>
    </row>
    <row r="6181" spans="11:16">
      <c r="K6181" s="85">
        <v>25</v>
      </c>
      <c r="L6181" s="78"/>
      <c r="M6181" s="78"/>
      <c r="N6181" s="78"/>
      <c r="P6181" s="85"/>
    </row>
    <row r="6182" spans="11:16">
      <c r="K6182" s="85">
        <v>26</v>
      </c>
      <c r="L6182" s="78"/>
      <c r="M6182" s="78"/>
      <c r="N6182" s="78"/>
      <c r="P6182" s="85"/>
    </row>
    <row r="6183" spans="11:16">
      <c r="K6183" s="85">
        <v>27</v>
      </c>
      <c r="L6183" s="78"/>
      <c r="M6183" s="78"/>
      <c r="N6183" s="78"/>
      <c r="P6183" s="85"/>
    </row>
    <row r="6184" spans="11:16">
      <c r="K6184" s="85">
        <v>28</v>
      </c>
      <c r="L6184" s="78"/>
      <c r="M6184" s="78"/>
      <c r="N6184" s="78"/>
      <c r="P6184" s="85"/>
    </row>
    <row r="6185" spans="11:16">
      <c r="K6185" s="85">
        <v>29</v>
      </c>
      <c r="L6185" s="78"/>
      <c r="M6185" s="78"/>
      <c r="N6185" s="78"/>
      <c r="P6185" s="85"/>
    </row>
    <row r="6186" spans="11:16">
      <c r="K6186" s="85">
        <v>30</v>
      </c>
      <c r="L6186" s="78"/>
      <c r="M6186" s="78"/>
      <c r="N6186" s="78"/>
      <c r="P6186" s="85"/>
    </row>
    <row r="6187" spans="11:16">
      <c r="K6187" s="85">
        <v>31</v>
      </c>
      <c r="L6187" s="78"/>
      <c r="M6187" s="78"/>
      <c r="N6187" s="78"/>
      <c r="P6187" s="85"/>
    </row>
    <row r="6188" spans="11:16">
      <c r="K6188" s="85">
        <v>32</v>
      </c>
      <c r="L6188" s="78"/>
      <c r="M6188" s="78"/>
      <c r="N6188" s="78"/>
      <c r="P6188" s="85"/>
    </row>
    <row r="6189" spans="11:16">
      <c r="K6189" s="85">
        <v>33</v>
      </c>
      <c r="L6189" s="78"/>
      <c r="M6189" s="78"/>
      <c r="N6189" s="78"/>
      <c r="P6189" s="85"/>
    </row>
    <row r="6190" spans="11:16">
      <c r="K6190" s="85">
        <v>34</v>
      </c>
      <c r="L6190" s="78"/>
      <c r="M6190" s="78"/>
      <c r="N6190" s="78"/>
      <c r="P6190" s="85"/>
    </row>
    <row r="6191" spans="11:16">
      <c r="K6191" s="85">
        <v>35</v>
      </c>
      <c r="L6191" s="78"/>
      <c r="M6191" s="78"/>
      <c r="N6191" s="78"/>
      <c r="P6191" s="85"/>
    </row>
    <row r="6192" spans="11:16">
      <c r="K6192" s="85">
        <v>36</v>
      </c>
      <c r="L6192" s="78"/>
      <c r="M6192" s="78"/>
      <c r="N6192" s="78"/>
      <c r="P6192" s="85"/>
    </row>
    <row r="6193" spans="11:16">
      <c r="K6193" s="85">
        <v>25</v>
      </c>
      <c r="L6193" s="78"/>
      <c r="M6193" s="78"/>
      <c r="N6193" s="78"/>
      <c r="P6193" s="85"/>
    </row>
    <row r="6194" spans="11:16">
      <c r="K6194" s="85">
        <v>27</v>
      </c>
      <c r="L6194" s="78"/>
      <c r="M6194" s="78"/>
      <c r="N6194" s="78"/>
      <c r="P6194" s="85"/>
    </row>
    <row r="6195" spans="11:16">
      <c r="K6195" s="85">
        <v>28</v>
      </c>
      <c r="L6195" s="78"/>
      <c r="M6195" s="78"/>
      <c r="N6195" s="78"/>
      <c r="P6195" s="85"/>
    </row>
    <row r="6196" spans="11:16">
      <c r="K6196" s="85">
        <v>31</v>
      </c>
      <c r="L6196" s="78"/>
      <c r="M6196" s="78"/>
      <c r="N6196" s="78"/>
      <c r="P6196" s="85"/>
    </row>
    <row r="6197" spans="11:16">
      <c r="K6197" s="85">
        <v>34</v>
      </c>
      <c r="L6197" s="78"/>
      <c r="M6197" s="78"/>
      <c r="N6197" s="78"/>
      <c r="P6197" s="85"/>
    </row>
    <row r="6198" spans="11:16">
      <c r="K6198" s="85">
        <v>35</v>
      </c>
      <c r="L6198" s="78"/>
      <c r="M6198" s="78"/>
      <c r="N6198" s="78"/>
      <c r="P6198" s="85"/>
    </row>
    <row r="6199" spans="11:16">
      <c r="K6199" s="85">
        <v>36</v>
      </c>
      <c r="L6199" s="78"/>
      <c r="M6199" s="78"/>
      <c r="N6199" s="78"/>
      <c r="P6199" s="85"/>
    </row>
    <row r="6200" spans="11:16">
      <c r="K6200" s="85">
        <v>25</v>
      </c>
      <c r="L6200" s="78"/>
      <c r="M6200" s="78"/>
      <c r="N6200" s="78"/>
      <c r="P6200" s="85"/>
    </row>
    <row r="6201" spans="11:16">
      <c r="K6201" s="85">
        <v>26</v>
      </c>
      <c r="L6201" s="78"/>
      <c r="M6201" s="78"/>
      <c r="N6201" s="78"/>
      <c r="P6201" s="85"/>
    </row>
    <row r="6202" spans="11:16">
      <c r="K6202" s="85">
        <v>27</v>
      </c>
      <c r="L6202" s="78"/>
      <c r="M6202" s="78"/>
      <c r="N6202" s="78"/>
      <c r="P6202" s="85"/>
    </row>
    <row r="6203" spans="11:16">
      <c r="K6203" s="85">
        <v>28</v>
      </c>
      <c r="L6203" s="78"/>
      <c r="M6203" s="78"/>
      <c r="N6203" s="78"/>
      <c r="P6203" s="85"/>
    </row>
    <row r="6204" spans="11:16">
      <c r="K6204" s="85">
        <v>30</v>
      </c>
      <c r="L6204" s="78"/>
      <c r="M6204" s="78"/>
      <c r="N6204" s="78"/>
      <c r="P6204" s="85"/>
    </row>
    <row r="6205" spans="11:16">
      <c r="K6205" s="85">
        <v>31</v>
      </c>
      <c r="L6205" s="78"/>
      <c r="M6205" s="78"/>
      <c r="N6205" s="78"/>
      <c r="P6205" s="85"/>
    </row>
    <row r="6206" spans="11:16">
      <c r="K6206" s="85">
        <v>32</v>
      </c>
      <c r="L6206" s="78"/>
      <c r="M6206" s="78"/>
      <c r="N6206" s="78"/>
      <c r="P6206" s="85"/>
    </row>
    <row r="6207" spans="11:16">
      <c r="K6207" s="85">
        <v>34</v>
      </c>
      <c r="L6207" s="78"/>
      <c r="M6207" s="78"/>
      <c r="N6207" s="78"/>
      <c r="P6207" s="85"/>
    </row>
    <row r="6208" spans="11:16">
      <c r="K6208" s="85">
        <v>35</v>
      </c>
      <c r="L6208" s="78"/>
      <c r="M6208" s="78"/>
      <c r="N6208" s="78"/>
      <c r="P6208" s="85"/>
    </row>
    <row r="6209" spans="11:16">
      <c r="K6209" s="85">
        <v>25</v>
      </c>
      <c r="L6209" s="78"/>
      <c r="M6209" s="78"/>
      <c r="N6209" s="78"/>
      <c r="P6209" s="85"/>
    </row>
    <row r="6210" spans="11:16">
      <c r="K6210" s="85">
        <v>27</v>
      </c>
      <c r="L6210" s="78"/>
      <c r="M6210" s="78"/>
      <c r="N6210" s="78"/>
      <c r="P6210" s="85"/>
    </row>
    <row r="6211" spans="11:16">
      <c r="K6211" s="85">
        <v>28</v>
      </c>
      <c r="L6211" s="78"/>
      <c r="M6211" s="78"/>
      <c r="N6211" s="78"/>
      <c r="P6211" s="85"/>
    </row>
    <row r="6212" spans="11:16">
      <c r="K6212" s="85">
        <v>29</v>
      </c>
      <c r="L6212" s="78"/>
      <c r="M6212" s="78"/>
      <c r="N6212" s="78"/>
      <c r="P6212" s="85"/>
    </row>
    <row r="6213" spans="11:16">
      <c r="K6213" s="85">
        <v>30</v>
      </c>
      <c r="L6213" s="78"/>
      <c r="M6213" s="78"/>
      <c r="N6213" s="78"/>
      <c r="P6213" s="85"/>
    </row>
    <row r="6214" spans="11:16">
      <c r="K6214" s="85">
        <v>31</v>
      </c>
      <c r="L6214" s="78"/>
      <c r="M6214" s="78"/>
      <c r="N6214" s="78"/>
      <c r="P6214" s="85"/>
    </row>
    <row r="6215" spans="11:16">
      <c r="K6215" s="85">
        <v>34</v>
      </c>
      <c r="L6215" s="78"/>
      <c r="M6215" s="78"/>
      <c r="N6215" s="78"/>
      <c r="P6215" s="85"/>
    </row>
    <row r="6216" spans="11:16">
      <c r="K6216" s="85">
        <v>35</v>
      </c>
      <c r="L6216" s="78"/>
      <c r="M6216" s="78"/>
      <c r="N6216" s="78"/>
      <c r="P6216" s="85"/>
    </row>
    <row r="6217" spans="11:16">
      <c r="K6217" s="85">
        <v>27</v>
      </c>
      <c r="L6217" s="78"/>
      <c r="M6217" s="78"/>
      <c r="N6217" s="78"/>
      <c r="P6217" s="85"/>
    </row>
    <row r="6218" spans="11:16">
      <c r="K6218" s="85">
        <v>34</v>
      </c>
      <c r="L6218" s="78"/>
      <c r="M6218" s="78"/>
      <c r="N6218" s="78"/>
      <c r="P6218" s="85"/>
    </row>
    <row r="6219" spans="11:16">
      <c r="K6219" s="85">
        <v>35</v>
      </c>
      <c r="L6219" s="78"/>
      <c r="M6219" s="78"/>
      <c r="N6219" s="78"/>
      <c r="P6219" s="85"/>
    </row>
    <row r="6220" spans="11:16">
      <c r="K6220" s="85">
        <v>26</v>
      </c>
      <c r="L6220" s="78"/>
      <c r="M6220" s="78"/>
      <c r="N6220" s="78"/>
      <c r="P6220" s="85"/>
    </row>
    <row r="6221" spans="11:16">
      <c r="K6221" s="85">
        <v>27</v>
      </c>
      <c r="L6221" s="78"/>
      <c r="M6221" s="78"/>
      <c r="N6221" s="78"/>
      <c r="P6221" s="85"/>
    </row>
    <row r="6222" spans="11:16">
      <c r="K6222" s="85">
        <v>28</v>
      </c>
      <c r="L6222" s="78"/>
      <c r="M6222" s="78"/>
      <c r="N6222" s="78"/>
      <c r="P6222" s="85"/>
    </row>
    <row r="6223" spans="11:16">
      <c r="K6223" s="85">
        <v>30</v>
      </c>
      <c r="L6223" s="78"/>
      <c r="M6223" s="78"/>
      <c r="N6223" s="78"/>
      <c r="P6223" s="85"/>
    </row>
    <row r="6224" spans="11:16">
      <c r="K6224" s="85">
        <v>34</v>
      </c>
      <c r="L6224" s="78"/>
      <c r="M6224" s="78"/>
      <c r="N6224" s="78"/>
      <c r="P6224" s="85"/>
    </row>
    <row r="6225" spans="11:16">
      <c r="K6225" s="85">
        <v>35</v>
      </c>
      <c r="L6225" s="78"/>
      <c r="M6225" s="78"/>
      <c r="N6225" s="78"/>
      <c r="P6225" s="85"/>
    </row>
    <row r="6226" spans="11:16">
      <c r="K6226" s="85">
        <v>27</v>
      </c>
      <c r="L6226" s="78"/>
      <c r="M6226" s="78"/>
      <c r="N6226" s="78"/>
      <c r="P6226" s="85"/>
    </row>
    <row r="6227" spans="11:16">
      <c r="K6227" s="85">
        <v>31</v>
      </c>
      <c r="L6227" s="78"/>
      <c r="M6227" s="78"/>
      <c r="N6227" s="78"/>
      <c r="P6227" s="85"/>
    </row>
    <row r="6228" spans="11:16">
      <c r="K6228" s="85">
        <v>32</v>
      </c>
      <c r="L6228" s="78"/>
      <c r="M6228" s="78"/>
      <c r="N6228" s="78"/>
      <c r="P6228" s="85"/>
    </row>
    <row r="6229" spans="11:16">
      <c r="K6229" s="85">
        <v>25</v>
      </c>
      <c r="L6229" s="78"/>
      <c r="M6229" s="78"/>
      <c r="N6229" s="78"/>
      <c r="P6229" s="85"/>
    </row>
    <row r="6230" spans="11:16">
      <c r="K6230" s="85">
        <v>26</v>
      </c>
      <c r="L6230" s="78"/>
      <c r="M6230" s="78"/>
      <c r="N6230" s="78"/>
      <c r="P6230" s="85"/>
    </row>
    <row r="6231" spans="11:16">
      <c r="K6231" s="85">
        <v>27</v>
      </c>
      <c r="L6231" s="78"/>
      <c r="M6231" s="78"/>
      <c r="N6231" s="78"/>
      <c r="P6231" s="85"/>
    </row>
    <row r="6232" spans="11:16">
      <c r="K6232" s="85">
        <v>28</v>
      </c>
      <c r="L6232" s="78"/>
      <c r="M6232" s="78"/>
      <c r="N6232" s="78"/>
      <c r="P6232" s="85"/>
    </row>
    <row r="6233" spans="11:16">
      <c r="K6233" s="85">
        <v>29</v>
      </c>
      <c r="L6233" s="78"/>
      <c r="M6233" s="78"/>
      <c r="N6233" s="78"/>
      <c r="P6233" s="85"/>
    </row>
    <row r="6234" spans="11:16">
      <c r="K6234" s="85">
        <v>30</v>
      </c>
      <c r="L6234" s="78"/>
      <c r="M6234" s="78"/>
      <c r="N6234" s="78"/>
      <c r="P6234" s="85"/>
    </row>
    <row r="6235" spans="11:16">
      <c r="K6235" s="85">
        <v>32</v>
      </c>
      <c r="L6235" s="78"/>
      <c r="M6235" s="78"/>
      <c r="N6235" s="78"/>
      <c r="P6235" s="85"/>
    </row>
    <row r="6236" spans="11:16">
      <c r="K6236" s="85">
        <v>34</v>
      </c>
      <c r="L6236" s="78"/>
      <c r="M6236" s="78"/>
      <c r="N6236" s="78"/>
      <c r="P6236" s="85"/>
    </row>
    <row r="6237" spans="11:16">
      <c r="K6237" s="85">
        <v>35</v>
      </c>
      <c r="L6237" s="78"/>
      <c r="M6237" s="78"/>
      <c r="N6237" s="78"/>
      <c r="P6237" s="85"/>
    </row>
    <row r="6238" spans="11:16">
      <c r="K6238" s="85">
        <v>36</v>
      </c>
      <c r="L6238" s="78"/>
      <c r="M6238" s="78"/>
      <c r="N6238" s="78"/>
      <c r="P6238" s="85"/>
    </row>
    <row r="6239" spans="11:16">
      <c r="K6239" s="85">
        <v>25</v>
      </c>
      <c r="L6239" s="78"/>
      <c r="M6239" s="78"/>
      <c r="N6239" s="78"/>
      <c r="P6239" s="85"/>
    </row>
    <row r="6240" spans="11:16">
      <c r="K6240" s="85">
        <v>26</v>
      </c>
      <c r="L6240" s="78"/>
      <c r="M6240" s="78"/>
      <c r="N6240" s="78"/>
      <c r="P6240" s="85"/>
    </row>
    <row r="6241" spans="11:16">
      <c r="K6241" s="85">
        <v>27</v>
      </c>
      <c r="L6241" s="78"/>
      <c r="M6241" s="78"/>
      <c r="N6241" s="78"/>
      <c r="P6241" s="85"/>
    </row>
    <row r="6242" spans="11:16">
      <c r="K6242" s="85">
        <v>28</v>
      </c>
      <c r="L6242" s="78"/>
      <c r="M6242" s="78"/>
      <c r="N6242" s="78"/>
      <c r="P6242" s="85"/>
    </row>
    <row r="6243" spans="11:16">
      <c r="K6243" s="85">
        <v>29</v>
      </c>
      <c r="L6243" s="78"/>
      <c r="M6243" s="78"/>
      <c r="N6243" s="78"/>
      <c r="P6243" s="85"/>
    </row>
    <row r="6244" spans="11:16">
      <c r="K6244" s="85">
        <v>30</v>
      </c>
      <c r="L6244" s="78"/>
      <c r="M6244" s="78"/>
      <c r="N6244" s="78"/>
      <c r="P6244" s="85"/>
    </row>
    <row r="6245" spans="11:16">
      <c r="K6245" s="85">
        <v>31</v>
      </c>
      <c r="L6245" s="78"/>
      <c r="M6245" s="78"/>
      <c r="N6245" s="78"/>
      <c r="P6245" s="85"/>
    </row>
    <row r="6246" spans="11:16">
      <c r="K6246" s="85">
        <v>32</v>
      </c>
      <c r="L6246" s="78"/>
      <c r="M6246" s="78"/>
      <c r="N6246" s="78"/>
      <c r="P6246" s="85"/>
    </row>
    <row r="6247" spans="11:16">
      <c r="K6247" s="85">
        <v>33</v>
      </c>
      <c r="L6247" s="78"/>
      <c r="M6247" s="78"/>
      <c r="N6247" s="78"/>
      <c r="P6247" s="85"/>
    </row>
    <row r="6248" spans="11:16">
      <c r="K6248" s="85">
        <v>34</v>
      </c>
      <c r="L6248" s="78"/>
      <c r="M6248" s="78"/>
      <c r="N6248" s="78"/>
      <c r="P6248" s="85"/>
    </row>
    <row r="6249" spans="11:16">
      <c r="K6249" s="85">
        <v>35</v>
      </c>
      <c r="L6249" s="78"/>
      <c r="M6249" s="78"/>
      <c r="N6249" s="78"/>
      <c r="P6249" s="85"/>
    </row>
    <row r="6250" spans="11:16">
      <c r="K6250" s="85">
        <v>25</v>
      </c>
      <c r="L6250" s="78"/>
      <c r="M6250" s="78"/>
      <c r="N6250" s="78"/>
      <c r="P6250" s="85"/>
    </row>
    <row r="6251" spans="11:16">
      <c r="K6251" s="85">
        <v>26</v>
      </c>
      <c r="L6251" s="78"/>
      <c r="M6251" s="78"/>
      <c r="N6251" s="78"/>
      <c r="P6251" s="85"/>
    </row>
    <row r="6252" spans="11:16">
      <c r="K6252" s="85">
        <v>27</v>
      </c>
      <c r="L6252" s="78"/>
      <c r="M6252" s="78"/>
      <c r="N6252" s="78"/>
      <c r="P6252" s="85"/>
    </row>
    <row r="6253" spans="11:16">
      <c r="K6253" s="85">
        <v>31</v>
      </c>
      <c r="L6253" s="78"/>
      <c r="M6253" s="78"/>
      <c r="N6253" s="78"/>
      <c r="P6253" s="85"/>
    </row>
    <row r="6254" spans="11:16">
      <c r="K6254" s="85">
        <v>32</v>
      </c>
      <c r="L6254" s="78"/>
      <c r="M6254" s="78"/>
      <c r="N6254" s="78"/>
      <c r="P6254" s="85"/>
    </row>
    <row r="6255" spans="11:16">
      <c r="K6255" s="85">
        <v>33</v>
      </c>
      <c r="L6255" s="78"/>
      <c r="M6255" s="78"/>
      <c r="N6255" s="78"/>
      <c r="P6255" s="85"/>
    </row>
    <row r="6256" spans="11:16">
      <c r="K6256" s="85">
        <v>34</v>
      </c>
      <c r="L6256" s="78"/>
      <c r="M6256" s="78"/>
      <c r="N6256" s="78"/>
      <c r="P6256" s="85"/>
    </row>
    <row r="6257" spans="11:16">
      <c r="K6257" s="85">
        <v>35</v>
      </c>
      <c r="L6257" s="78"/>
      <c r="M6257" s="78"/>
      <c r="N6257" s="78"/>
      <c r="P6257" s="85"/>
    </row>
    <row r="6258" spans="11:16">
      <c r="K6258" s="85">
        <v>25</v>
      </c>
      <c r="L6258" s="78"/>
      <c r="M6258" s="78"/>
      <c r="N6258" s="78"/>
      <c r="P6258" s="85"/>
    </row>
    <row r="6259" spans="11:16">
      <c r="K6259" s="85">
        <v>26</v>
      </c>
      <c r="L6259" s="78"/>
      <c r="M6259" s="78"/>
      <c r="N6259" s="78"/>
      <c r="P6259" s="85"/>
    </row>
    <row r="6260" spans="11:16">
      <c r="K6260" s="85">
        <v>28</v>
      </c>
      <c r="L6260" s="78"/>
      <c r="M6260" s="78"/>
      <c r="N6260" s="78"/>
      <c r="P6260" s="85"/>
    </row>
    <row r="6261" spans="11:16">
      <c r="K6261" s="85">
        <v>29</v>
      </c>
      <c r="L6261" s="78"/>
      <c r="M6261" s="78"/>
      <c r="N6261" s="78"/>
      <c r="P6261" s="85"/>
    </row>
    <row r="6262" spans="11:16">
      <c r="K6262" s="85">
        <v>30</v>
      </c>
      <c r="L6262" s="78"/>
      <c r="M6262" s="78"/>
      <c r="N6262" s="78"/>
      <c r="P6262" s="85"/>
    </row>
    <row r="6263" spans="11:16">
      <c r="K6263" s="85">
        <v>31</v>
      </c>
      <c r="L6263" s="78"/>
      <c r="M6263" s="78"/>
      <c r="N6263" s="78"/>
      <c r="P6263" s="85"/>
    </row>
    <row r="6264" spans="11:16">
      <c r="K6264" s="85">
        <v>33</v>
      </c>
      <c r="L6264" s="78"/>
      <c r="M6264" s="78"/>
      <c r="N6264" s="78"/>
      <c r="P6264" s="85"/>
    </row>
    <row r="6265" spans="11:16">
      <c r="K6265" s="85">
        <v>34</v>
      </c>
      <c r="L6265" s="78"/>
      <c r="M6265" s="78"/>
      <c r="N6265" s="78"/>
      <c r="P6265" s="85"/>
    </row>
    <row r="6266" spans="11:16">
      <c r="K6266" s="85">
        <v>35</v>
      </c>
      <c r="L6266" s="78"/>
      <c r="M6266" s="78"/>
      <c r="N6266" s="78"/>
      <c r="P6266" s="85"/>
    </row>
    <row r="6267" spans="11:16">
      <c r="K6267" s="85">
        <v>25</v>
      </c>
      <c r="L6267" s="78"/>
      <c r="M6267" s="78"/>
      <c r="N6267" s="78"/>
      <c r="P6267" s="85"/>
    </row>
    <row r="6268" spans="11:16">
      <c r="K6268" s="85">
        <v>26</v>
      </c>
      <c r="L6268" s="78"/>
      <c r="M6268" s="78"/>
      <c r="N6268" s="78"/>
      <c r="P6268" s="85"/>
    </row>
    <row r="6269" spans="11:16">
      <c r="K6269" s="85">
        <v>27</v>
      </c>
      <c r="L6269" s="78"/>
      <c r="M6269" s="78"/>
      <c r="N6269" s="78"/>
      <c r="P6269" s="85"/>
    </row>
    <row r="6270" spans="11:16">
      <c r="K6270" s="85">
        <v>28</v>
      </c>
      <c r="L6270" s="78"/>
      <c r="M6270" s="78"/>
      <c r="N6270" s="78"/>
      <c r="P6270" s="85"/>
    </row>
    <row r="6271" spans="11:16">
      <c r="K6271" s="85">
        <v>29</v>
      </c>
      <c r="L6271" s="78"/>
      <c r="M6271" s="78"/>
      <c r="N6271" s="78"/>
      <c r="P6271" s="85"/>
    </row>
    <row r="6272" spans="11:16">
      <c r="K6272" s="85">
        <v>30</v>
      </c>
      <c r="L6272" s="78"/>
      <c r="M6272" s="78"/>
      <c r="N6272" s="78"/>
      <c r="P6272" s="85"/>
    </row>
    <row r="6273" spans="11:16">
      <c r="K6273" s="85">
        <v>31</v>
      </c>
      <c r="L6273" s="78"/>
      <c r="M6273" s="78"/>
      <c r="N6273" s="78"/>
      <c r="P6273" s="85"/>
    </row>
    <row r="6274" spans="11:16">
      <c r="K6274" s="85">
        <v>32</v>
      </c>
      <c r="L6274" s="78"/>
      <c r="M6274" s="78"/>
      <c r="N6274" s="78"/>
      <c r="P6274" s="85"/>
    </row>
    <row r="6275" spans="11:16">
      <c r="K6275" s="85">
        <v>33</v>
      </c>
      <c r="L6275" s="78"/>
      <c r="M6275" s="78"/>
      <c r="N6275" s="78"/>
      <c r="P6275" s="85"/>
    </row>
    <row r="6276" spans="11:16">
      <c r="K6276" s="85">
        <v>34</v>
      </c>
      <c r="L6276" s="78"/>
      <c r="M6276" s="78"/>
      <c r="N6276" s="78"/>
      <c r="P6276" s="85"/>
    </row>
    <row r="6277" spans="11:16">
      <c r="K6277" s="85">
        <v>35</v>
      </c>
      <c r="L6277" s="78"/>
      <c r="M6277" s="78"/>
      <c r="N6277" s="78"/>
      <c r="P6277" s="85"/>
    </row>
    <row r="6278" spans="11:16">
      <c r="K6278" s="85">
        <v>36</v>
      </c>
      <c r="L6278" s="78"/>
      <c r="M6278" s="78"/>
      <c r="N6278" s="78"/>
      <c r="P6278" s="85"/>
    </row>
    <row r="6279" spans="11:16">
      <c r="K6279" s="85">
        <v>25</v>
      </c>
      <c r="L6279" s="78"/>
      <c r="M6279" s="78"/>
      <c r="N6279" s="78"/>
      <c r="P6279" s="85"/>
    </row>
    <row r="6280" spans="11:16">
      <c r="K6280" s="85">
        <v>26</v>
      </c>
      <c r="L6280" s="78"/>
      <c r="M6280" s="78"/>
      <c r="N6280" s="78"/>
      <c r="P6280" s="85"/>
    </row>
    <row r="6281" spans="11:16">
      <c r="K6281" s="85">
        <v>27</v>
      </c>
      <c r="L6281" s="78"/>
      <c r="M6281" s="78"/>
      <c r="N6281" s="78"/>
      <c r="P6281" s="85"/>
    </row>
    <row r="6282" spans="11:16">
      <c r="K6282" s="85">
        <v>28</v>
      </c>
      <c r="L6282" s="78"/>
      <c r="M6282" s="78"/>
      <c r="N6282" s="78"/>
      <c r="P6282" s="85"/>
    </row>
    <row r="6283" spans="11:16">
      <c r="K6283" s="85">
        <v>29</v>
      </c>
      <c r="L6283" s="78"/>
      <c r="M6283" s="78"/>
      <c r="N6283" s="78"/>
      <c r="P6283" s="85"/>
    </row>
    <row r="6284" spans="11:16">
      <c r="K6284" s="85">
        <v>30</v>
      </c>
      <c r="L6284" s="78"/>
      <c r="M6284" s="78"/>
      <c r="N6284" s="78"/>
      <c r="P6284" s="85"/>
    </row>
    <row r="6285" spans="11:16">
      <c r="K6285" s="85">
        <v>31</v>
      </c>
      <c r="L6285" s="78"/>
      <c r="M6285" s="78"/>
      <c r="N6285" s="78"/>
      <c r="P6285" s="85"/>
    </row>
    <row r="6286" spans="11:16">
      <c r="K6286" s="85">
        <v>32</v>
      </c>
      <c r="L6286" s="78"/>
      <c r="M6286" s="78"/>
      <c r="N6286" s="78"/>
      <c r="P6286" s="85"/>
    </row>
    <row r="6287" spans="11:16">
      <c r="K6287" s="85">
        <v>35</v>
      </c>
      <c r="L6287" s="78"/>
      <c r="M6287" s="78"/>
      <c r="N6287" s="78"/>
      <c r="P6287" s="85"/>
    </row>
    <row r="6288" spans="11:16">
      <c r="K6288" s="85">
        <v>25</v>
      </c>
      <c r="L6288" s="78"/>
      <c r="M6288" s="78"/>
      <c r="N6288" s="78"/>
      <c r="P6288" s="85"/>
    </row>
    <row r="6289" spans="11:16">
      <c r="K6289" s="85">
        <v>26</v>
      </c>
      <c r="L6289" s="78"/>
      <c r="M6289" s="78"/>
      <c r="N6289" s="78"/>
      <c r="P6289" s="85"/>
    </row>
    <row r="6290" spans="11:16">
      <c r="K6290" s="85">
        <v>27</v>
      </c>
      <c r="L6290" s="78"/>
      <c r="M6290" s="78"/>
      <c r="N6290" s="78"/>
      <c r="P6290" s="85"/>
    </row>
    <row r="6291" spans="11:16">
      <c r="K6291" s="85">
        <v>28</v>
      </c>
      <c r="L6291" s="78"/>
      <c r="M6291" s="78"/>
      <c r="N6291" s="78"/>
      <c r="P6291" s="85"/>
    </row>
    <row r="6292" spans="11:16">
      <c r="K6292" s="85">
        <v>31</v>
      </c>
      <c r="L6292" s="78"/>
      <c r="M6292" s="78"/>
      <c r="N6292" s="78"/>
      <c r="P6292" s="85"/>
    </row>
    <row r="6293" spans="11:16">
      <c r="K6293" s="85">
        <v>32</v>
      </c>
      <c r="L6293" s="78"/>
      <c r="M6293" s="78"/>
      <c r="N6293" s="78"/>
      <c r="P6293" s="85"/>
    </row>
    <row r="6294" spans="11:16">
      <c r="K6294" s="85">
        <v>33</v>
      </c>
      <c r="L6294" s="78"/>
      <c r="M6294" s="78"/>
      <c r="N6294" s="78"/>
      <c r="P6294" s="85"/>
    </row>
    <row r="6295" spans="11:16">
      <c r="K6295" s="85">
        <v>34</v>
      </c>
      <c r="L6295" s="78"/>
      <c r="M6295" s="78"/>
      <c r="N6295" s="78"/>
      <c r="P6295" s="85"/>
    </row>
    <row r="6296" spans="11:16">
      <c r="K6296" s="85">
        <v>35</v>
      </c>
      <c r="L6296" s="78"/>
      <c r="M6296" s="78"/>
      <c r="N6296" s="78"/>
      <c r="P6296" s="85"/>
    </row>
    <row r="6297" spans="11:16">
      <c r="K6297" s="85">
        <v>26</v>
      </c>
      <c r="L6297" s="78"/>
      <c r="M6297" s="78"/>
      <c r="N6297" s="78"/>
      <c r="P6297" s="85"/>
    </row>
    <row r="6298" spans="11:16">
      <c r="K6298" s="85">
        <v>30</v>
      </c>
      <c r="L6298" s="78"/>
      <c r="M6298" s="78"/>
      <c r="N6298" s="78"/>
      <c r="P6298" s="85"/>
    </row>
    <row r="6299" spans="11:16">
      <c r="K6299" s="85">
        <v>31</v>
      </c>
      <c r="L6299" s="78"/>
      <c r="M6299" s="78"/>
      <c r="N6299" s="78"/>
      <c r="P6299" s="85"/>
    </row>
    <row r="6300" spans="11:16">
      <c r="K6300" s="85">
        <v>34</v>
      </c>
      <c r="L6300" s="78"/>
      <c r="M6300" s="78"/>
      <c r="N6300" s="78"/>
      <c r="P6300" s="85"/>
    </row>
    <row r="6301" spans="11:16">
      <c r="K6301" s="85">
        <v>35</v>
      </c>
      <c r="L6301" s="78"/>
      <c r="M6301" s="78"/>
      <c r="N6301" s="78"/>
      <c r="P6301" s="85"/>
    </row>
    <row r="6302" spans="11:16">
      <c r="K6302" s="85">
        <v>26</v>
      </c>
      <c r="L6302" s="78"/>
      <c r="M6302" s="78"/>
      <c r="N6302" s="78"/>
      <c r="P6302" s="85"/>
    </row>
    <row r="6303" spans="11:16">
      <c r="K6303" s="85">
        <v>27</v>
      </c>
      <c r="L6303" s="78"/>
      <c r="M6303" s="78"/>
      <c r="N6303" s="78"/>
      <c r="P6303" s="85"/>
    </row>
    <row r="6304" spans="11:16">
      <c r="K6304" s="85">
        <v>31</v>
      </c>
      <c r="L6304" s="78"/>
      <c r="M6304" s="78"/>
      <c r="N6304" s="78"/>
      <c r="P6304" s="85"/>
    </row>
    <row r="6305" spans="11:16">
      <c r="K6305" s="85">
        <v>33</v>
      </c>
      <c r="L6305" s="78"/>
      <c r="M6305" s="78"/>
      <c r="N6305" s="78"/>
      <c r="P6305" s="85"/>
    </row>
    <row r="6306" spans="11:16">
      <c r="K6306" s="85">
        <v>34</v>
      </c>
      <c r="L6306" s="78"/>
      <c r="M6306" s="78"/>
      <c r="N6306" s="78"/>
      <c r="P6306" s="85"/>
    </row>
    <row r="6307" spans="11:16">
      <c r="K6307" s="85">
        <v>36</v>
      </c>
      <c r="L6307" s="78"/>
      <c r="M6307" s="78"/>
      <c r="N6307" s="78"/>
      <c r="P6307" s="85"/>
    </row>
    <row r="6308" spans="11:16">
      <c r="K6308" s="85">
        <v>26</v>
      </c>
      <c r="L6308" s="78"/>
      <c r="M6308" s="78"/>
      <c r="N6308" s="78"/>
      <c r="P6308" s="85"/>
    </row>
    <row r="6309" spans="11:16">
      <c r="K6309" s="85">
        <v>27</v>
      </c>
      <c r="L6309" s="78"/>
      <c r="M6309" s="78"/>
      <c r="N6309" s="78"/>
      <c r="P6309" s="85"/>
    </row>
    <row r="6310" spans="11:16">
      <c r="K6310" s="85">
        <v>28</v>
      </c>
      <c r="L6310" s="78"/>
      <c r="M6310" s="78"/>
      <c r="N6310" s="78"/>
      <c r="P6310" s="85"/>
    </row>
    <row r="6311" spans="11:16">
      <c r="K6311" s="85">
        <v>31</v>
      </c>
      <c r="L6311" s="78"/>
      <c r="M6311" s="78"/>
      <c r="N6311" s="78"/>
      <c r="P6311" s="85"/>
    </row>
    <row r="6312" spans="11:16">
      <c r="K6312" s="85">
        <v>32</v>
      </c>
      <c r="L6312" s="78"/>
      <c r="M6312" s="78"/>
      <c r="N6312" s="78"/>
      <c r="P6312" s="85"/>
    </row>
    <row r="6313" spans="11:16">
      <c r="K6313" s="85">
        <v>34</v>
      </c>
      <c r="L6313" s="78"/>
      <c r="M6313" s="78"/>
      <c r="N6313" s="78"/>
      <c r="P6313" s="85"/>
    </row>
    <row r="6314" spans="11:16">
      <c r="K6314" s="85">
        <v>35</v>
      </c>
      <c r="L6314" s="78"/>
      <c r="M6314" s="78"/>
      <c r="N6314" s="78"/>
      <c r="P6314" s="85"/>
    </row>
    <row r="6315" spans="11:16">
      <c r="K6315" s="85">
        <v>36</v>
      </c>
      <c r="L6315" s="78"/>
      <c r="M6315" s="78"/>
      <c r="N6315" s="78"/>
      <c r="P6315" s="85"/>
    </row>
    <row r="6316" spans="11:16">
      <c r="K6316" s="85">
        <v>26</v>
      </c>
      <c r="L6316" s="78"/>
      <c r="M6316" s="78"/>
      <c r="N6316" s="78"/>
      <c r="P6316" s="85"/>
    </row>
    <row r="6317" spans="11:16">
      <c r="K6317" s="85">
        <v>27</v>
      </c>
      <c r="L6317" s="78"/>
      <c r="M6317" s="78"/>
      <c r="N6317" s="78"/>
      <c r="P6317" s="85"/>
    </row>
    <row r="6318" spans="11:16">
      <c r="K6318" s="85">
        <v>28</v>
      </c>
      <c r="L6318" s="78"/>
      <c r="M6318" s="78"/>
      <c r="N6318" s="78"/>
      <c r="P6318" s="85"/>
    </row>
    <row r="6319" spans="11:16">
      <c r="K6319" s="85">
        <v>29</v>
      </c>
      <c r="L6319" s="78"/>
      <c r="M6319" s="78"/>
      <c r="N6319" s="78"/>
      <c r="P6319" s="85"/>
    </row>
    <row r="6320" spans="11:16">
      <c r="K6320" s="85">
        <v>30</v>
      </c>
      <c r="L6320" s="78"/>
      <c r="M6320" s="78"/>
      <c r="N6320" s="78"/>
      <c r="P6320" s="85"/>
    </row>
    <row r="6321" spans="11:16">
      <c r="K6321" s="85">
        <v>31</v>
      </c>
      <c r="L6321" s="78"/>
      <c r="M6321" s="78"/>
      <c r="N6321" s="78"/>
      <c r="P6321" s="85"/>
    </row>
    <row r="6322" spans="11:16">
      <c r="K6322" s="85">
        <v>32</v>
      </c>
      <c r="L6322" s="78"/>
      <c r="M6322" s="78"/>
      <c r="N6322" s="78"/>
      <c r="P6322" s="85"/>
    </row>
    <row r="6323" spans="11:16">
      <c r="K6323" s="85">
        <v>34</v>
      </c>
      <c r="L6323" s="78"/>
      <c r="M6323" s="78"/>
      <c r="N6323" s="78"/>
      <c r="P6323" s="85"/>
    </row>
    <row r="6324" spans="11:16">
      <c r="K6324" s="85">
        <v>35</v>
      </c>
      <c r="L6324" s="78"/>
      <c r="M6324" s="78"/>
      <c r="N6324" s="78"/>
      <c r="P6324" s="85"/>
    </row>
    <row r="6325" spans="11:16">
      <c r="K6325" s="85">
        <v>36</v>
      </c>
      <c r="L6325" s="78"/>
      <c r="M6325" s="78"/>
      <c r="N6325" s="78"/>
      <c r="P6325" s="85"/>
    </row>
    <row r="6326" spans="11:16">
      <c r="K6326" s="85">
        <v>25</v>
      </c>
      <c r="L6326" s="78"/>
      <c r="M6326" s="78"/>
      <c r="N6326" s="78"/>
      <c r="P6326" s="85"/>
    </row>
    <row r="6327" spans="11:16">
      <c r="K6327" s="85">
        <v>26</v>
      </c>
      <c r="L6327" s="78"/>
      <c r="M6327" s="78"/>
      <c r="N6327" s="78"/>
      <c r="P6327" s="85"/>
    </row>
    <row r="6328" spans="11:16">
      <c r="K6328" s="85">
        <v>27</v>
      </c>
      <c r="L6328" s="78"/>
      <c r="M6328" s="78"/>
      <c r="N6328" s="78"/>
      <c r="P6328" s="85"/>
    </row>
    <row r="6329" spans="11:16">
      <c r="K6329" s="85">
        <v>28</v>
      </c>
      <c r="L6329" s="78"/>
      <c r="M6329" s="78"/>
      <c r="N6329" s="78"/>
      <c r="P6329" s="85"/>
    </row>
    <row r="6330" spans="11:16">
      <c r="K6330" s="85">
        <v>29</v>
      </c>
      <c r="L6330" s="78"/>
      <c r="M6330" s="78"/>
      <c r="N6330" s="78"/>
      <c r="P6330" s="85"/>
    </row>
    <row r="6331" spans="11:16">
      <c r="K6331" s="85">
        <v>30</v>
      </c>
      <c r="L6331" s="78"/>
      <c r="M6331" s="78"/>
      <c r="N6331" s="78"/>
      <c r="P6331" s="85"/>
    </row>
    <row r="6332" spans="11:16">
      <c r="K6332" s="85">
        <v>31</v>
      </c>
      <c r="L6332" s="78"/>
      <c r="M6332" s="78"/>
      <c r="N6332" s="78"/>
      <c r="P6332" s="85"/>
    </row>
    <row r="6333" spans="11:16">
      <c r="K6333" s="85">
        <v>32</v>
      </c>
      <c r="L6333" s="78"/>
      <c r="M6333" s="78"/>
      <c r="N6333" s="78"/>
      <c r="P6333" s="85"/>
    </row>
    <row r="6334" spans="11:16">
      <c r="K6334" s="85">
        <v>33</v>
      </c>
      <c r="L6334" s="78"/>
      <c r="M6334" s="78"/>
      <c r="N6334" s="78"/>
      <c r="P6334" s="85"/>
    </row>
    <row r="6335" spans="11:16">
      <c r="K6335" s="85">
        <v>34</v>
      </c>
      <c r="L6335" s="78"/>
      <c r="M6335" s="78"/>
      <c r="N6335" s="78"/>
      <c r="P6335" s="85"/>
    </row>
    <row r="6336" spans="11:16">
      <c r="K6336" s="85">
        <v>35</v>
      </c>
      <c r="L6336" s="78"/>
      <c r="M6336" s="78"/>
      <c r="N6336" s="78"/>
      <c r="P6336" s="85"/>
    </row>
    <row r="6337" spans="11:16">
      <c r="K6337" s="85">
        <v>25</v>
      </c>
      <c r="L6337" s="78"/>
      <c r="M6337" s="78"/>
      <c r="N6337" s="78"/>
      <c r="P6337" s="85"/>
    </row>
    <row r="6338" spans="11:16">
      <c r="K6338" s="85">
        <v>26</v>
      </c>
      <c r="L6338" s="78"/>
      <c r="M6338" s="78"/>
      <c r="N6338" s="78"/>
      <c r="P6338" s="85"/>
    </row>
    <row r="6339" spans="11:16">
      <c r="K6339" s="85">
        <v>27</v>
      </c>
      <c r="L6339" s="78"/>
      <c r="M6339" s="78"/>
      <c r="N6339" s="78"/>
      <c r="P6339" s="85"/>
    </row>
    <row r="6340" spans="11:16">
      <c r="K6340" s="85">
        <v>28</v>
      </c>
      <c r="L6340" s="78"/>
      <c r="M6340" s="78"/>
      <c r="N6340" s="78"/>
      <c r="P6340" s="85"/>
    </row>
    <row r="6341" spans="11:16">
      <c r="K6341" s="85">
        <v>29</v>
      </c>
      <c r="L6341" s="78"/>
      <c r="M6341" s="78"/>
      <c r="N6341" s="78"/>
      <c r="P6341" s="85"/>
    </row>
    <row r="6342" spans="11:16">
      <c r="K6342" s="85">
        <v>30</v>
      </c>
      <c r="L6342" s="78"/>
      <c r="M6342" s="78"/>
      <c r="N6342" s="78"/>
      <c r="P6342" s="85"/>
    </row>
    <row r="6343" spans="11:16">
      <c r="K6343" s="85">
        <v>31</v>
      </c>
      <c r="L6343" s="78"/>
      <c r="M6343" s="78"/>
      <c r="N6343" s="78"/>
      <c r="P6343" s="85"/>
    </row>
    <row r="6344" spans="11:16">
      <c r="K6344" s="85">
        <v>32</v>
      </c>
      <c r="L6344" s="78"/>
      <c r="M6344" s="78"/>
      <c r="N6344" s="78"/>
      <c r="P6344" s="85"/>
    </row>
    <row r="6345" spans="11:16">
      <c r="K6345" s="85">
        <v>33</v>
      </c>
      <c r="L6345" s="78"/>
      <c r="M6345" s="78"/>
      <c r="N6345" s="78"/>
      <c r="P6345" s="85"/>
    </row>
    <row r="6346" spans="11:16">
      <c r="K6346" s="85">
        <v>34</v>
      </c>
      <c r="L6346" s="78"/>
      <c r="M6346" s="78"/>
      <c r="N6346" s="78"/>
      <c r="P6346" s="85"/>
    </row>
    <row r="6347" spans="11:16">
      <c r="K6347" s="85">
        <v>35</v>
      </c>
      <c r="L6347" s="78"/>
      <c r="M6347" s="78"/>
      <c r="N6347" s="78"/>
      <c r="P6347" s="85"/>
    </row>
    <row r="6348" spans="11:16">
      <c r="K6348" s="85">
        <v>36</v>
      </c>
      <c r="L6348" s="78"/>
      <c r="M6348" s="78"/>
      <c r="N6348" s="78"/>
      <c r="P6348" s="85"/>
    </row>
    <row r="6349" spans="11:16">
      <c r="K6349" s="85">
        <v>26</v>
      </c>
      <c r="L6349" s="78"/>
      <c r="M6349" s="78"/>
      <c r="N6349" s="78"/>
      <c r="P6349" s="85"/>
    </row>
    <row r="6350" spans="11:16">
      <c r="K6350" s="85">
        <v>27</v>
      </c>
      <c r="L6350" s="78"/>
      <c r="M6350" s="78"/>
      <c r="N6350" s="78"/>
      <c r="P6350" s="85"/>
    </row>
    <row r="6351" spans="11:16">
      <c r="K6351" s="85">
        <v>28</v>
      </c>
      <c r="L6351" s="78"/>
      <c r="M6351" s="78"/>
      <c r="N6351" s="78"/>
      <c r="P6351" s="85"/>
    </row>
    <row r="6352" spans="11:16">
      <c r="K6352" s="85">
        <v>30</v>
      </c>
      <c r="L6352" s="78"/>
      <c r="M6352" s="78"/>
      <c r="N6352" s="78"/>
      <c r="P6352" s="85"/>
    </row>
    <row r="6353" spans="11:16">
      <c r="K6353" s="85">
        <v>31</v>
      </c>
      <c r="L6353" s="78"/>
      <c r="M6353" s="78"/>
      <c r="N6353" s="78"/>
      <c r="P6353" s="85"/>
    </row>
    <row r="6354" spans="11:16">
      <c r="K6354" s="85">
        <v>33</v>
      </c>
      <c r="L6354" s="78"/>
      <c r="M6354" s="78"/>
      <c r="N6354" s="78"/>
      <c r="P6354" s="85"/>
    </row>
    <row r="6355" spans="11:16">
      <c r="K6355" s="85">
        <v>34</v>
      </c>
      <c r="L6355" s="78"/>
      <c r="M6355" s="78"/>
      <c r="N6355" s="78"/>
      <c r="P6355" s="85"/>
    </row>
    <row r="6356" spans="11:16">
      <c r="K6356" s="85">
        <v>27</v>
      </c>
      <c r="L6356" s="78"/>
      <c r="M6356" s="78"/>
      <c r="N6356" s="78"/>
      <c r="P6356" s="85"/>
    </row>
    <row r="6357" spans="11:16">
      <c r="K6357" s="85">
        <v>34</v>
      </c>
      <c r="L6357" s="78"/>
      <c r="M6357" s="78"/>
      <c r="N6357" s="78"/>
      <c r="P6357" s="85"/>
    </row>
    <row r="6358" spans="11:16">
      <c r="K6358" s="85">
        <v>35</v>
      </c>
      <c r="L6358" s="78"/>
      <c r="M6358" s="78"/>
      <c r="N6358" s="78"/>
      <c r="P6358" s="85"/>
    </row>
    <row r="6359" spans="11:16">
      <c r="K6359" s="85">
        <v>26</v>
      </c>
      <c r="L6359" s="78"/>
      <c r="M6359" s="78"/>
      <c r="N6359" s="78"/>
      <c r="P6359" s="85"/>
    </row>
    <row r="6360" spans="11:16">
      <c r="K6360" s="85">
        <v>27</v>
      </c>
      <c r="L6360" s="78"/>
      <c r="M6360" s="78"/>
      <c r="N6360" s="78"/>
      <c r="P6360" s="85"/>
    </row>
    <row r="6361" spans="11:16">
      <c r="K6361" s="85">
        <v>31</v>
      </c>
      <c r="L6361" s="78"/>
      <c r="M6361" s="78"/>
      <c r="N6361" s="78"/>
      <c r="P6361" s="85"/>
    </row>
    <row r="6362" spans="11:16">
      <c r="K6362" s="85">
        <v>35</v>
      </c>
      <c r="L6362" s="78"/>
      <c r="M6362" s="78"/>
      <c r="N6362" s="78"/>
      <c r="P6362" s="85"/>
    </row>
    <row r="6363" spans="11:16">
      <c r="K6363" s="85">
        <v>26</v>
      </c>
      <c r="L6363" s="78"/>
      <c r="M6363" s="78"/>
      <c r="N6363" s="78"/>
      <c r="P6363" s="85"/>
    </row>
    <row r="6364" spans="11:16">
      <c r="K6364" s="85">
        <v>27</v>
      </c>
      <c r="L6364" s="78"/>
      <c r="M6364" s="78"/>
      <c r="N6364" s="78"/>
      <c r="P6364" s="85"/>
    </row>
    <row r="6365" spans="11:16">
      <c r="K6365" s="85">
        <v>31</v>
      </c>
      <c r="L6365" s="78"/>
      <c r="M6365" s="78"/>
      <c r="N6365" s="78"/>
      <c r="P6365" s="85"/>
    </row>
    <row r="6366" spans="11:16">
      <c r="K6366" s="85">
        <v>32</v>
      </c>
      <c r="L6366" s="78"/>
      <c r="M6366" s="78"/>
      <c r="N6366" s="78"/>
      <c r="P6366" s="85"/>
    </row>
    <row r="6367" spans="11:16">
      <c r="K6367" s="85">
        <v>33</v>
      </c>
      <c r="L6367" s="78"/>
      <c r="M6367" s="78"/>
      <c r="N6367" s="78"/>
      <c r="P6367" s="85"/>
    </row>
    <row r="6368" spans="11:16">
      <c r="K6368" s="85">
        <v>36</v>
      </c>
      <c r="L6368" s="78"/>
      <c r="M6368" s="78"/>
      <c r="N6368" s="78"/>
      <c r="P6368" s="85"/>
    </row>
    <row r="6369" spans="11:16">
      <c r="K6369" s="85">
        <v>25</v>
      </c>
      <c r="L6369" s="78"/>
      <c r="M6369" s="78"/>
      <c r="N6369" s="78"/>
      <c r="P6369" s="85"/>
    </row>
    <row r="6370" spans="11:16">
      <c r="K6370" s="85">
        <v>26</v>
      </c>
      <c r="L6370" s="78"/>
      <c r="M6370" s="78"/>
      <c r="N6370" s="78"/>
      <c r="P6370" s="85"/>
    </row>
    <row r="6371" spans="11:16">
      <c r="K6371" s="85">
        <v>27</v>
      </c>
      <c r="L6371" s="78"/>
      <c r="M6371" s="78"/>
      <c r="N6371" s="78"/>
      <c r="P6371" s="85"/>
    </row>
    <row r="6372" spans="11:16">
      <c r="K6372" s="85">
        <v>28</v>
      </c>
      <c r="L6372" s="78"/>
      <c r="M6372" s="78"/>
      <c r="N6372" s="78"/>
      <c r="P6372" s="85"/>
    </row>
    <row r="6373" spans="11:16">
      <c r="K6373" s="85">
        <v>29</v>
      </c>
      <c r="L6373" s="78"/>
      <c r="M6373" s="78"/>
      <c r="N6373" s="78"/>
      <c r="P6373" s="85"/>
    </row>
    <row r="6374" spans="11:16">
      <c r="K6374" s="85">
        <v>30</v>
      </c>
      <c r="L6374" s="78"/>
      <c r="M6374" s="78"/>
      <c r="N6374" s="78"/>
      <c r="P6374" s="85"/>
    </row>
    <row r="6375" spans="11:16">
      <c r="K6375" s="85">
        <v>31</v>
      </c>
      <c r="L6375" s="78"/>
      <c r="M6375" s="78"/>
      <c r="N6375" s="78"/>
      <c r="P6375" s="85"/>
    </row>
    <row r="6376" spans="11:16">
      <c r="K6376" s="85">
        <v>32</v>
      </c>
      <c r="L6376" s="78"/>
      <c r="M6376" s="78"/>
      <c r="N6376" s="78"/>
      <c r="P6376" s="85"/>
    </row>
    <row r="6377" spans="11:16">
      <c r="K6377" s="85">
        <v>33</v>
      </c>
      <c r="L6377" s="78"/>
      <c r="M6377" s="78"/>
      <c r="N6377" s="78"/>
      <c r="P6377" s="85"/>
    </row>
    <row r="6378" spans="11:16">
      <c r="K6378" s="85">
        <v>34</v>
      </c>
      <c r="L6378" s="78"/>
      <c r="M6378" s="78"/>
      <c r="N6378" s="78"/>
      <c r="P6378" s="85"/>
    </row>
    <row r="6379" spans="11:16">
      <c r="K6379" s="85">
        <v>35</v>
      </c>
      <c r="L6379" s="78"/>
      <c r="M6379" s="78"/>
      <c r="N6379" s="78"/>
      <c r="P6379" s="85"/>
    </row>
    <row r="6380" spans="11:16">
      <c r="K6380" s="85">
        <v>36</v>
      </c>
      <c r="L6380" s="78"/>
      <c r="M6380" s="78"/>
      <c r="N6380" s="78"/>
      <c r="P6380" s="85"/>
    </row>
    <row r="6381" spans="11:16">
      <c r="K6381" s="85">
        <v>27</v>
      </c>
      <c r="L6381" s="78"/>
      <c r="M6381" s="78"/>
      <c r="N6381" s="78"/>
      <c r="P6381" s="85"/>
    </row>
    <row r="6382" spans="11:16">
      <c r="K6382" s="85">
        <v>29</v>
      </c>
      <c r="L6382" s="78"/>
      <c r="M6382" s="78"/>
      <c r="N6382" s="78"/>
      <c r="P6382" s="85"/>
    </row>
    <row r="6383" spans="11:16">
      <c r="K6383" s="85">
        <v>30</v>
      </c>
      <c r="L6383" s="78"/>
      <c r="M6383" s="78"/>
      <c r="N6383" s="78"/>
      <c r="P6383" s="85"/>
    </row>
    <row r="6384" spans="11:16">
      <c r="K6384" s="85">
        <v>34</v>
      </c>
      <c r="L6384" s="78"/>
      <c r="M6384" s="78"/>
      <c r="N6384" s="78"/>
      <c r="P6384" s="85"/>
    </row>
    <row r="6385" spans="11:16">
      <c r="K6385" s="85">
        <v>35</v>
      </c>
      <c r="L6385" s="78"/>
      <c r="M6385" s="78"/>
      <c r="N6385" s="78"/>
      <c r="P6385" s="85"/>
    </row>
    <row r="6386" spans="11:16">
      <c r="K6386" s="85">
        <v>25</v>
      </c>
      <c r="L6386" s="78"/>
      <c r="M6386" s="78"/>
      <c r="N6386" s="78"/>
      <c r="P6386" s="85"/>
    </row>
    <row r="6387" spans="11:16">
      <c r="K6387" s="85">
        <v>26</v>
      </c>
      <c r="L6387" s="78"/>
      <c r="M6387" s="78"/>
      <c r="N6387" s="78"/>
      <c r="P6387" s="85"/>
    </row>
    <row r="6388" spans="11:16">
      <c r="K6388" s="85">
        <v>27</v>
      </c>
      <c r="L6388" s="78"/>
      <c r="M6388" s="78"/>
      <c r="N6388" s="78"/>
      <c r="P6388" s="85"/>
    </row>
    <row r="6389" spans="11:16">
      <c r="K6389" s="85">
        <v>28</v>
      </c>
      <c r="L6389" s="78"/>
      <c r="M6389" s="78"/>
      <c r="N6389" s="78"/>
      <c r="P6389" s="85"/>
    </row>
    <row r="6390" spans="11:16">
      <c r="K6390" s="85">
        <v>31</v>
      </c>
      <c r="L6390" s="78"/>
      <c r="M6390" s="78"/>
      <c r="N6390" s="78"/>
      <c r="P6390" s="85"/>
    </row>
    <row r="6391" spans="11:16">
      <c r="K6391" s="85">
        <v>34</v>
      </c>
      <c r="L6391" s="78"/>
      <c r="M6391" s="78"/>
      <c r="N6391" s="78"/>
      <c r="P6391" s="85"/>
    </row>
    <row r="6392" spans="11:16">
      <c r="K6392" s="85">
        <v>35</v>
      </c>
      <c r="L6392" s="78"/>
      <c r="M6392" s="78"/>
      <c r="N6392" s="78"/>
      <c r="P6392" s="85"/>
    </row>
    <row r="6393" spans="11:16">
      <c r="K6393" s="85">
        <v>36</v>
      </c>
      <c r="L6393" s="78"/>
      <c r="M6393" s="78"/>
      <c r="N6393" s="78"/>
      <c r="P6393" s="85"/>
    </row>
    <row r="6394" spans="11:16">
      <c r="K6394" s="85">
        <v>26</v>
      </c>
      <c r="L6394" s="78"/>
      <c r="M6394" s="78"/>
      <c r="N6394" s="78"/>
      <c r="P6394" s="85"/>
    </row>
    <row r="6395" spans="11:16">
      <c r="K6395" s="85">
        <v>27</v>
      </c>
      <c r="L6395" s="78"/>
      <c r="M6395" s="78"/>
      <c r="N6395" s="78"/>
      <c r="P6395" s="85"/>
    </row>
    <row r="6396" spans="11:16">
      <c r="K6396" s="85">
        <v>32</v>
      </c>
      <c r="L6396" s="78"/>
      <c r="M6396" s="78"/>
      <c r="N6396" s="78"/>
      <c r="P6396" s="85"/>
    </row>
    <row r="6397" spans="11:16">
      <c r="K6397" s="85">
        <v>35</v>
      </c>
      <c r="L6397" s="78"/>
      <c r="M6397" s="78"/>
      <c r="N6397" s="78"/>
      <c r="P6397" s="85"/>
    </row>
    <row r="6398" spans="11:16">
      <c r="K6398" s="85">
        <v>25</v>
      </c>
      <c r="L6398" s="78"/>
      <c r="M6398" s="78"/>
      <c r="N6398" s="78"/>
      <c r="P6398" s="85"/>
    </row>
    <row r="6399" spans="11:16">
      <c r="K6399" s="85">
        <v>26</v>
      </c>
      <c r="L6399" s="78"/>
      <c r="M6399" s="78"/>
      <c r="N6399" s="78"/>
      <c r="P6399" s="85"/>
    </row>
    <row r="6400" spans="11:16">
      <c r="K6400" s="85">
        <v>27</v>
      </c>
      <c r="L6400" s="78"/>
      <c r="M6400" s="78"/>
      <c r="N6400" s="78"/>
      <c r="P6400" s="85"/>
    </row>
    <row r="6401" spans="11:16">
      <c r="K6401" s="85">
        <v>30</v>
      </c>
      <c r="L6401" s="78"/>
      <c r="M6401" s="78"/>
      <c r="N6401" s="78"/>
      <c r="P6401" s="85"/>
    </row>
    <row r="6402" spans="11:16">
      <c r="K6402" s="85">
        <v>31</v>
      </c>
      <c r="L6402" s="78"/>
      <c r="M6402" s="78"/>
      <c r="N6402" s="78"/>
      <c r="P6402" s="85"/>
    </row>
    <row r="6403" spans="11:16">
      <c r="K6403" s="85">
        <v>32</v>
      </c>
      <c r="L6403" s="78"/>
      <c r="M6403" s="78"/>
      <c r="N6403" s="78"/>
      <c r="P6403" s="85"/>
    </row>
    <row r="6404" spans="11:16">
      <c r="K6404" s="85">
        <v>33</v>
      </c>
      <c r="L6404" s="78"/>
      <c r="M6404" s="78"/>
      <c r="N6404" s="78"/>
      <c r="P6404" s="85"/>
    </row>
    <row r="6405" spans="11:16">
      <c r="K6405" s="85">
        <v>25</v>
      </c>
      <c r="L6405" s="78"/>
      <c r="M6405" s="78"/>
      <c r="N6405" s="78"/>
      <c r="P6405" s="85"/>
    </row>
    <row r="6406" spans="11:16">
      <c r="K6406" s="85">
        <v>26</v>
      </c>
      <c r="L6406" s="78"/>
      <c r="M6406" s="78"/>
      <c r="N6406" s="78"/>
      <c r="P6406" s="85"/>
    </row>
    <row r="6407" spans="11:16">
      <c r="K6407" s="85">
        <v>27</v>
      </c>
      <c r="L6407" s="78"/>
      <c r="M6407" s="78"/>
      <c r="N6407" s="78"/>
      <c r="P6407" s="85"/>
    </row>
    <row r="6408" spans="11:16">
      <c r="K6408" s="85">
        <v>28</v>
      </c>
      <c r="L6408" s="78"/>
      <c r="M6408" s="78"/>
      <c r="N6408" s="78"/>
      <c r="P6408" s="85"/>
    </row>
    <row r="6409" spans="11:16">
      <c r="K6409" s="85">
        <v>29</v>
      </c>
      <c r="L6409" s="78"/>
      <c r="M6409" s="78"/>
      <c r="N6409" s="78"/>
      <c r="P6409" s="85"/>
    </row>
    <row r="6410" spans="11:16">
      <c r="K6410" s="85">
        <v>30</v>
      </c>
      <c r="L6410" s="78"/>
      <c r="M6410" s="78"/>
      <c r="N6410" s="78"/>
      <c r="P6410" s="85"/>
    </row>
    <row r="6411" spans="11:16">
      <c r="K6411" s="85">
        <v>31</v>
      </c>
      <c r="L6411" s="78"/>
      <c r="M6411" s="78"/>
      <c r="N6411" s="78"/>
      <c r="P6411" s="85"/>
    </row>
    <row r="6412" spans="11:16">
      <c r="K6412" s="85">
        <v>32</v>
      </c>
      <c r="L6412" s="78"/>
      <c r="M6412" s="78"/>
      <c r="N6412" s="78"/>
      <c r="P6412" s="85"/>
    </row>
    <row r="6413" spans="11:16">
      <c r="K6413" s="85">
        <v>33</v>
      </c>
      <c r="L6413" s="78"/>
      <c r="M6413" s="78"/>
      <c r="N6413" s="78"/>
      <c r="P6413" s="85"/>
    </row>
    <row r="6414" spans="11:16">
      <c r="K6414" s="85">
        <v>34</v>
      </c>
      <c r="L6414" s="78"/>
      <c r="M6414" s="78"/>
      <c r="N6414" s="78"/>
      <c r="P6414" s="85"/>
    </row>
    <row r="6415" spans="11:16">
      <c r="K6415" s="85">
        <v>35</v>
      </c>
      <c r="L6415" s="78"/>
      <c r="M6415" s="78"/>
      <c r="N6415" s="78"/>
      <c r="P6415" s="85"/>
    </row>
    <row r="6416" spans="11:16">
      <c r="K6416" s="85">
        <v>36</v>
      </c>
      <c r="L6416" s="78"/>
      <c r="M6416" s="78"/>
      <c r="N6416" s="78"/>
      <c r="P6416" s="85"/>
    </row>
    <row r="6417" spans="11:16">
      <c r="K6417" s="85">
        <v>25</v>
      </c>
      <c r="L6417" s="78"/>
      <c r="M6417" s="78"/>
      <c r="N6417" s="78"/>
      <c r="P6417" s="85"/>
    </row>
    <row r="6418" spans="11:16">
      <c r="K6418" s="85">
        <v>26</v>
      </c>
      <c r="L6418" s="78"/>
      <c r="M6418" s="78"/>
      <c r="N6418" s="78"/>
      <c r="P6418" s="85"/>
    </row>
    <row r="6419" spans="11:16">
      <c r="K6419" s="85">
        <v>27</v>
      </c>
      <c r="L6419" s="78"/>
      <c r="M6419" s="78"/>
      <c r="N6419" s="78"/>
      <c r="P6419" s="85"/>
    </row>
    <row r="6420" spans="11:16">
      <c r="K6420" s="85">
        <v>28</v>
      </c>
      <c r="L6420" s="78"/>
      <c r="M6420" s="78"/>
      <c r="N6420" s="78"/>
      <c r="P6420" s="85"/>
    </row>
    <row r="6421" spans="11:16">
      <c r="K6421" s="85">
        <v>30</v>
      </c>
      <c r="L6421" s="78"/>
      <c r="M6421" s="78"/>
      <c r="N6421" s="78"/>
      <c r="P6421" s="85"/>
    </row>
    <row r="6422" spans="11:16">
      <c r="K6422" s="85">
        <v>34</v>
      </c>
      <c r="L6422" s="78"/>
      <c r="M6422" s="78"/>
      <c r="N6422" s="78"/>
      <c r="P6422" s="85"/>
    </row>
    <row r="6423" spans="11:16">
      <c r="K6423" s="85">
        <v>35</v>
      </c>
      <c r="L6423" s="78"/>
      <c r="M6423" s="78"/>
      <c r="N6423" s="78"/>
      <c r="P6423" s="85"/>
    </row>
    <row r="6424" spans="11:16">
      <c r="K6424" s="85">
        <v>36</v>
      </c>
      <c r="L6424" s="78"/>
      <c r="M6424" s="78"/>
      <c r="N6424" s="78"/>
      <c r="P6424" s="85"/>
    </row>
    <row r="6425" spans="11:16">
      <c r="K6425" s="85">
        <v>25</v>
      </c>
      <c r="L6425" s="78"/>
      <c r="M6425" s="78"/>
      <c r="N6425" s="78"/>
      <c r="P6425" s="85"/>
    </row>
    <row r="6426" spans="11:16">
      <c r="K6426" s="85">
        <v>27</v>
      </c>
      <c r="L6426" s="78"/>
      <c r="M6426" s="78"/>
      <c r="N6426" s="78"/>
      <c r="P6426" s="85"/>
    </row>
    <row r="6427" spans="11:16">
      <c r="K6427" s="85">
        <v>28</v>
      </c>
      <c r="L6427" s="78"/>
      <c r="M6427" s="78"/>
      <c r="N6427" s="78"/>
      <c r="P6427" s="85"/>
    </row>
    <row r="6428" spans="11:16">
      <c r="K6428" s="85">
        <v>35</v>
      </c>
      <c r="L6428" s="78"/>
      <c r="M6428" s="78"/>
      <c r="N6428" s="78"/>
      <c r="P6428" s="85"/>
    </row>
    <row r="6429" spans="11:16">
      <c r="K6429" s="85">
        <v>25</v>
      </c>
      <c r="L6429" s="78"/>
      <c r="M6429" s="78"/>
      <c r="N6429" s="78"/>
      <c r="P6429" s="85"/>
    </row>
    <row r="6430" spans="11:16">
      <c r="K6430" s="85">
        <v>26</v>
      </c>
      <c r="L6430" s="78"/>
      <c r="M6430" s="78"/>
      <c r="N6430" s="78"/>
      <c r="P6430" s="85"/>
    </row>
    <row r="6431" spans="11:16">
      <c r="K6431" s="85">
        <v>27</v>
      </c>
      <c r="L6431" s="78"/>
      <c r="M6431" s="78"/>
      <c r="N6431" s="78"/>
      <c r="P6431" s="85"/>
    </row>
    <row r="6432" spans="11:16">
      <c r="K6432" s="85">
        <v>28</v>
      </c>
      <c r="L6432" s="78"/>
      <c r="M6432" s="78"/>
      <c r="N6432" s="78"/>
      <c r="P6432" s="85"/>
    </row>
    <row r="6433" spans="11:16">
      <c r="K6433" s="85">
        <v>29</v>
      </c>
      <c r="L6433" s="78"/>
      <c r="M6433" s="78"/>
      <c r="N6433" s="78"/>
      <c r="P6433" s="85"/>
    </row>
    <row r="6434" spans="11:16">
      <c r="K6434" s="85">
        <v>30</v>
      </c>
      <c r="L6434" s="78"/>
      <c r="M6434" s="78"/>
      <c r="N6434" s="78"/>
      <c r="P6434" s="85"/>
    </row>
    <row r="6435" spans="11:16">
      <c r="K6435" s="85">
        <v>31</v>
      </c>
      <c r="L6435" s="78"/>
      <c r="M6435" s="78"/>
      <c r="N6435" s="78"/>
      <c r="P6435" s="85"/>
    </row>
    <row r="6436" spans="11:16">
      <c r="K6436" s="85">
        <v>32</v>
      </c>
      <c r="L6436" s="78"/>
      <c r="M6436" s="78"/>
      <c r="N6436" s="78"/>
      <c r="P6436" s="85"/>
    </row>
    <row r="6437" spans="11:16">
      <c r="K6437" s="85">
        <v>33</v>
      </c>
      <c r="L6437" s="78"/>
      <c r="M6437" s="78"/>
      <c r="N6437" s="78"/>
      <c r="P6437" s="85"/>
    </row>
    <row r="6438" spans="11:16">
      <c r="K6438" s="85">
        <v>34</v>
      </c>
      <c r="L6438" s="78"/>
      <c r="M6438" s="78"/>
      <c r="N6438" s="78"/>
      <c r="P6438" s="85"/>
    </row>
    <row r="6439" spans="11:16">
      <c r="K6439" s="85">
        <v>35</v>
      </c>
      <c r="L6439" s="78"/>
      <c r="M6439" s="78"/>
      <c r="N6439" s="78"/>
      <c r="P6439" s="85"/>
    </row>
    <row r="6440" spans="11:16">
      <c r="K6440" s="85">
        <v>25</v>
      </c>
      <c r="L6440" s="78"/>
      <c r="M6440" s="78"/>
      <c r="N6440" s="78"/>
      <c r="P6440" s="85"/>
    </row>
    <row r="6441" spans="11:16">
      <c r="K6441" s="85">
        <v>26</v>
      </c>
      <c r="L6441" s="78"/>
      <c r="M6441" s="78"/>
      <c r="N6441" s="78"/>
      <c r="P6441" s="85"/>
    </row>
    <row r="6442" spans="11:16">
      <c r="K6442" s="85">
        <v>27</v>
      </c>
      <c r="L6442" s="78"/>
      <c r="M6442" s="78"/>
      <c r="N6442" s="78"/>
      <c r="P6442" s="85"/>
    </row>
    <row r="6443" spans="11:16">
      <c r="K6443" s="85">
        <v>29</v>
      </c>
      <c r="L6443" s="78"/>
      <c r="M6443" s="78"/>
      <c r="N6443" s="78"/>
      <c r="P6443" s="85"/>
    </row>
    <row r="6444" spans="11:16">
      <c r="K6444" s="85">
        <v>30</v>
      </c>
      <c r="L6444" s="78"/>
      <c r="M6444" s="78"/>
      <c r="N6444" s="78"/>
      <c r="P6444" s="85"/>
    </row>
    <row r="6445" spans="11:16">
      <c r="K6445" s="85">
        <v>34</v>
      </c>
      <c r="L6445" s="78"/>
      <c r="M6445" s="78"/>
      <c r="N6445" s="78"/>
      <c r="P6445" s="85"/>
    </row>
    <row r="6446" spans="11:16">
      <c r="K6446" s="85">
        <v>35</v>
      </c>
      <c r="L6446" s="78"/>
      <c r="M6446" s="78"/>
      <c r="N6446" s="78"/>
      <c r="P6446" s="85"/>
    </row>
    <row r="6447" spans="11:16">
      <c r="K6447" s="85">
        <v>36</v>
      </c>
      <c r="L6447" s="78"/>
      <c r="M6447" s="78"/>
      <c r="N6447" s="78"/>
      <c r="P6447" s="85"/>
    </row>
    <row r="6448" spans="11:16">
      <c r="K6448" s="85">
        <v>25</v>
      </c>
      <c r="L6448" s="78"/>
      <c r="M6448" s="78"/>
      <c r="N6448" s="78"/>
      <c r="P6448" s="85"/>
    </row>
    <row r="6449" spans="11:16">
      <c r="K6449" s="85">
        <v>26</v>
      </c>
      <c r="L6449" s="78"/>
      <c r="M6449" s="78"/>
      <c r="N6449" s="78"/>
      <c r="P6449" s="85"/>
    </row>
    <row r="6450" spans="11:16">
      <c r="K6450" s="85">
        <v>27</v>
      </c>
      <c r="L6450" s="78"/>
      <c r="M6450" s="78"/>
      <c r="N6450" s="78"/>
      <c r="P6450" s="85"/>
    </row>
    <row r="6451" spans="11:16">
      <c r="K6451" s="85">
        <v>30</v>
      </c>
      <c r="L6451" s="78"/>
      <c r="M6451" s="78"/>
      <c r="N6451" s="78"/>
      <c r="P6451" s="85"/>
    </row>
    <row r="6452" spans="11:16">
      <c r="K6452" s="85">
        <v>31</v>
      </c>
      <c r="L6452" s="78"/>
      <c r="M6452" s="78"/>
      <c r="N6452" s="78"/>
      <c r="P6452" s="85"/>
    </row>
    <row r="6453" spans="11:16">
      <c r="K6453" s="85">
        <v>33</v>
      </c>
      <c r="L6453" s="78"/>
      <c r="M6453" s="78"/>
      <c r="N6453" s="78"/>
      <c r="P6453" s="85"/>
    </row>
    <row r="6454" spans="11:16">
      <c r="K6454" s="85">
        <v>34</v>
      </c>
      <c r="L6454" s="78"/>
      <c r="M6454" s="78"/>
      <c r="N6454" s="78"/>
      <c r="P6454" s="85"/>
    </row>
    <row r="6455" spans="11:16">
      <c r="K6455" s="85">
        <v>35</v>
      </c>
      <c r="L6455" s="78"/>
      <c r="M6455" s="78"/>
      <c r="N6455" s="78"/>
      <c r="P6455" s="85"/>
    </row>
    <row r="6456" spans="11:16">
      <c r="K6456" s="85">
        <v>36</v>
      </c>
      <c r="L6456" s="78"/>
      <c r="M6456" s="78"/>
      <c r="N6456" s="78"/>
      <c r="P6456" s="85"/>
    </row>
    <row r="6457" spans="11:16">
      <c r="K6457" s="85">
        <v>25</v>
      </c>
      <c r="L6457" s="78"/>
      <c r="M6457" s="78"/>
      <c r="N6457" s="78"/>
      <c r="P6457" s="85"/>
    </row>
    <row r="6458" spans="11:16">
      <c r="K6458" s="85">
        <v>26</v>
      </c>
      <c r="L6458" s="78"/>
      <c r="M6458" s="78"/>
      <c r="N6458" s="78"/>
      <c r="P6458" s="85"/>
    </row>
    <row r="6459" spans="11:16">
      <c r="K6459" s="85">
        <v>27</v>
      </c>
      <c r="L6459" s="78"/>
      <c r="M6459" s="78"/>
      <c r="N6459" s="78"/>
      <c r="P6459" s="85"/>
    </row>
    <row r="6460" spans="11:16">
      <c r="K6460" s="85">
        <v>34</v>
      </c>
      <c r="L6460" s="78"/>
      <c r="M6460" s="78"/>
      <c r="N6460" s="78"/>
      <c r="P6460" s="85"/>
    </row>
    <row r="6461" spans="11:16">
      <c r="K6461" s="85">
        <v>35</v>
      </c>
      <c r="L6461" s="78"/>
      <c r="M6461" s="78"/>
      <c r="N6461" s="78"/>
      <c r="P6461" s="85"/>
    </row>
    <row r="6462" spans="11:16">
      <c r="K6462" s="85">
        <v>25</v>
      </c>
      <c r="L6462" s="78"/>
      <c r="M6462" s="78"/>
      <c r="N6462" s="78"/>
      <c r="P6462" s="85"/>
    </row>
    <row r="6463" spans="11:16">
      <c r="K6463" s="85">
        <v>26</v>
      </c>
      <c r="L6463" s="78"/>
      <c r="M6463" s="78"/>
      <c r="N6463" s="78"/>
      <c r="P6463" s="85"/>
    </row>
    <row r="6464" spans="11:16">
      <c r="K6464" s="85">
        <v>27</v>
      </c>
      <c r="L6464" s="78"/>
      <c r="M6464" s="78"/>
      <c r="N6464" s="78"/>
      <c r="P6464" s="85"/>
    </row>
    <row r="6465" spans="11:16">
      <c r="K6465" s="85">
        <v>29</v>
      </c>
      <c r="L6465" s="78"/>
      <c r="M6465" s="78"/>
      <c r="N6465" s="78"/>
      <c r="P6465" s="85"/>
    </row>
    <row r="6466" spans="11:16">
      <c r="K6466" s="85">
        <v>30</v>
      </c>
      <c r="L6466" s="78"/>
      <c r="M6466" s="78"/>
      <c r="N6466" s="78"/>
      <c r="P6466" s="85"/>
    </row>
    <row r="6467" spans="11:16">
      <c r="K6467" s="85">
        <v>31</v>
      </c>
      <c r="L6467" s="78"/>
      <c r="M6467" s="78"/>
      <c r="N6467" s="78"/>
      <c r="P6467" s="85"/>
    </row>
    <row r="6468" spans="11:16">
      <c r="K6468" s="85">
        <v>33</v>
      </c>
      <c r="L6468" s="78"/>
      <c r="M6468" s="78"/>
      <c r="N6468" s="78"/>
      <c r="P6468" s="85"/>
    </row>
    <row r="6469" spans="11:16">
      <c r="K6469" s="85">
        <v>26</v>
      </c>
      <c r="L6469" s="78"/>
      <c r="M6469" s="78"/>
      <c r="N6469" s="78"/>
      <c r="P6469" s="85"/>
    </row>
    <row r="6470" spans="11:16">
      <c r="K6470" s="85">
        <v>27</v>
      </c>
      <c r="L6470" s="78"/>
      <c r="M6470" s="78"/>
      <c r="N6470" s="78"/>
      <c r="P6470" s="85"/>
    </row>
    <row r="6471" spans="11:16">
      <c r="K6471" s="85">
        <v>31</v>
      </c>
      <c r="L6471" s="78"/>
      <c r="M6471" s="78"/>
      <c r="N6471" s="78"/>
      <c r="P6471" s="85"/>
    </row>
    <row r="6472" spans="11:16">
      <c r="K6472" s="85">
        <v>34</v>
      </c>
      <c r="L6472" s="78"/>
      <c r="M6472" s="78"/>
      <c r="N6472" s="78"/>
      <c r="P6472" s="85"/>
    </row>
    <row r="6473" spans="11:16">
      <c r="K6473" s="85">
        <v>36</v>
      </c>
      <c r="L6473" s="78"/>
      <c r="M6473" s="78"/>
      <c r="N6473" s="78"/>
      <c r="P6473" s="85"/>
    </row>
    <row r="6474" spans="11:16">
      <c r="K6474" s="85">
        <v>25</v>
      </c>
      <c r="L6474" s="78"/>
      <c r="M6474" s="78"/>
      <c r="N6474" s="78"/>
      <c r="P6474" s="85"/>
    </row>
    <row r="6475" spans="11:16">
      <c r="K6475" s="85">
        <v>26</v>
      </c>
      <c r="L6475" s="78"/>
      <c r="M6475" s="78"/>
      <c r="N6475" s="78"/>
      <c r="P6475" s="85"/>
    </row>
    <row r="6476" spans="11:16">
      <c r="K6476" s="85">
        <v>27</v>
      </c>
      <c r="L6476" s="78"/>
      <c r="M6476" s="78"/>
      <c r="N6476" s="78"/>
      <c r="P6476" s="85"/>
    </row>
    <row r="6477" spans="11:16">
      <c r="K6477" s="85">
        <v>28</v>
      </c>
      <c r="L6477" s="78"/>
      <c r="M6477" s="78"/>
      <c r="N6477" s="78"/>
      <c r="P6477" s="85"/>
    </row>
    <row r="6478" spans="11:16">
      <c r="K6478" s="85">
        <v>29</v>
      </c>
      <c r="L6478" s="78"/>
      <c r="M6478" s="78"/>
      <c r="N6478" s="78"/>
      <c r="P6478" s="85"/>
    </row>
    <row r="6479" spans="11:16">
      <c r="K6479" s="85">
        <v>30</v>
      </c>
      <c r="L6479" s="78"/>
      <c r="M6479" s="78"/>
      <c r="N6479" s="78"/>
      <c r="P6479" s="85"/>
    </row>
    <row r="6480" spans="11:16">
      <c r="K6480" s="85">
        <v>31</v>
      </c>
      <c r="L6480" s="78"/>
      <c r="M6480" s="78"/>
      <c r="N6480" s="78"/>
      <c r="P6480" s="85"/>
    </row>
    <row r="6481" spans="11:16">
      <c r="K6481" s="85">
        <v>32</v>
      </c>
      <c r="L6481" s="78"/>
      <c r="M6481" s="78"/>
      <c r="N6481" s="78"/>
      <c r="P6481" s="85"/>
    </row>
    <row r="6482" spans="11:16">
      <c r="K6482" s="85">
        <v>33</v>
      </c>
      <c r="L6482" s="78"/>
      <c r="M6482" s="78"/>
      <c r="N6482" s="78"/>
      <c r="P6482" s="85"/>
    </row>
    <row r="6483" spans="11:16">
      <c r="K6483" s="85">
        <v>34</v>
      </c>
      <c r="L6483" s="78"/>
      <c r="M6483" s="78"/>
      <c r="N6483" s="78"/>
      <c r="P6483" s="85"/>
    </row>
    <row r="6484" spans="11:16">
      <c r="K6484" s="85">
        <v>35</v>
      </c>
      <c r="L6484" s="78"/>
      <c r="M6484" s="78"/>
      <c r="N6484" s="78"/>
      <c r="P6484" s="85"/>
    </row>
    <row r="6485" spans="11:16">
      <c r="K6485" s="85">
        <v>36</v>
      </c>
      <c r="L6485" s="78"/>
      <c r="M6485" s="78"/>
      <c r="N6485" s="78"/>
      <c r="P6485" s="85"/>
    </row>
    <row r="6486" spans="11:16">
      <c r="K6486" s="85">
        <v>25</v>
      </c>
      <c r="L6486" s="78"/>
      <c r="M6486" s="78"/>
      <c r="N6486" s="78"/>
      <c r="P6486" s="85"/>
    </row>
    <row r="6487" spans="11:16">
      <c r="K6487" s="85">
        <v>26</v>
      </c>
      <c r="L6487" s="78"/>
      <c r="M6487" s="78"/>
      <c r="N6487" s="78"/>
      <c r="P6487" s="85"/>
    </row>
    <row r="6488" spans="11:16">
      <c r="K6488" s="85">
        <v>27</v>
      </c>
      <c r="L6488" s="78"/>
      <c r="M6488" s="78"/>
      <c r="N6488" s="78"/>
      <c r="P6488" s="85"/>
    </row>
    <row r="6489" spans="11:16">
      <c r="K6489" s="85">
        <v>28</v>
      </c>
      <c r="L6489" s="78"/>
      <c r="M6489" s="78"/>
      <c r="N6489" s="78"/>
      <c r="P6489" s="85"/>
    </row>
    <row r="6490" spans="11:16">
      <c r="K6490" s="85">
        <v>29</v>
      </c>
      <c r="L6490" s="78"/>
      <c r="M6490" s="78"/>
      <c r="N6490" s="78"/>
      <c r="P6490" s="85"/>
    </row>
    <row r="6491" spans="11:16">
      <c r="K6491" s="85">
        <v>30</v>
      </c>
      <c r="L6491" s="78"/>
      <c r="M6491" s="78"/>
      <c r="N6491" s="78"/>
      <c r="P6491" s="85"/>
    </row>
    <row r="6492" spans="11:16">
      <c r="K6492" s="85">
        <v>31</v>
      </c>
      <c r="L6492" s="78"/>
      <c r="M6492" s="78"/>
      <c r="N6492" s="78"/>
      <c r="P6492" s="85"/>
    </row>
    <row r="6493" spans="11:16">
      <c r="K6493" s="85">
        <v>32</v>
      </c>
      <c r="L6493" s="78"/>
      <c r="M6493" s="78"/>
      <c r="N6493" s="78"/>
      <c r="P6493" s="85"/>
    </row>
    <row r="6494" spans="11:16">
      <c r="K6494" s="85">
        <v>33</v>
      </c>
      <c r="L6494" s="78"/>
      <c r="M6494" s="78"/>
      <c r="N6494" s="78"/>
      <c r="P6494" s="85"/>
    </row>
    <row r="6495" spans="11:16">
      <c r="K6495" s="85">
        <v>34</v>
      </c>
      <c r="L6495" s="78"/>
      <c r="M6495" s="78"/>
      <c r="N6495" s="78"/>
      <c r="P6495" s="85"/>
    </row>
    <row r="6496" spans="11:16">
      <c r="K6496" s="85">
        <v>35</v>
      </c>
      <c r="L6496" s="78"/>
      <c r="M6496" s="78"/>
      <c r="N6496" s="78"/>
      <c r="P6496" s="85"/>
    </row>
    <row r="6497" spans="11:16">
      <c r="K6497" s="85">
        <v>25</v>
      </c>
      <c r="L6497" s="78"/>
      <c r="M6497" s="78"/>
      <c r="N6497" s="78"/>
      <c r="P6497" s="85"/>
    </row>
    <row r="6498" spans="11:16">
      <c r="K6498" s="85">
        <v>26</v>
      </c>
      <c r="L6498" s="78"/>
      <c r="M6498" s="78"/>
      <c r="N6498" s="78"/>
      <c r="P6498" s="85"/>
    </row>
    <row r="6499" spans="11:16">
      <c r="K6499" s="85">
        <v>27</v>
      </c>
      <c r="L6499" s="78"/>
      <c r="M6499" s="78"/>
      <c r="N6499" s="78"/>
      <c r="P6499" s="85"/>
    </row>
    <row r="6500" spans="11:16">
      <c r="K6500" s="85">
        <v>31</v>
      </c>
      <c r="L6500" s="78"/>
      <c r="M6500" s="78"/>
      <c r="N6500" s="78"/>
      <c r="P6500" s="85"/>
    </row>
    <row r="6501" spans="11:16">
      <c r="K6501" s="85">
        <v>35</v>
      </c>
      <c r="L6501" s="78"/>
      <c r="M6501" s="78"/>
      <c r="N6501" s="78"/>
      <c r="P6501" s="85"/>
    </row>
    <row r="6502" spans="11:16">
      <c r="K6502" s="85">
        <v>25</v>
      </c>
      <c r="L6502" s="78"/>
      <c r="M6502" s="78"/>
      <c r="N6502" s="78"/>
      <c r="P6502" s="85"/>
    </row>
    <row r="6503" spans="11:16">
      <c r="K6503" s="85">
        <v>27</v>
      </c>
      <c r="L6503" s="78"/>
      <c r="M6503" s="78"/>
      <c r="N6503" s="78"/>
      <c r="P6503" s="85"/>
    </row>
    <row r="6504" spans="11:16">
      <c r="K6504" s="85">
        <v>28</v>
      </c>
      <c r="L6504" s="78"/>
      <c r="M6504" s="78"/>
      <c r="N6504" s="78"/>
      <c r="P6504" s="85"/>
    </row>
    <row r="6505" spans="11:16">
      <c r="K6505" s="85">
        <v>31</v>
      </c>
      <c r="L6505" s="78"/>
      <c r="M6505" s="78"/>
      <c r="N6505" s="78"/>
      <c r="P6505" s="85"/>
    </row>
    <row r="6506" spans="11:16">
      <c r="K6506" s="85">
        <v>34</v>
      </c>
      <c r="L6506" s="78"/>
      <c r="M6506" s="78"/>
      <c r="N6506" s="78"/>
      <c r="P6506" s="85"/>
    </row>
    <row r="6507" spans="11:16">
      <c r="K6507" s="85">
        <v>35</v>
      </c>
      <c r="L6507" s="78"/>
      <c r="M6507" s="78"/>
      <c r="N6507" s="78"/>
      <c r="P6507" s="85"/>
    </row>
    <row r="6508" spans="11:16">
      <c r="K6508" s="85">
        <v>36</v>
      </c>
      <c r="L6508" s="78"/>
      <c r="M6508" s="78"/>
      <c r="N6508" s="78"/>
      <c r="P6508" s="85"/>
    </row>
    <row r="6509" spans="11:16">
      <c r="K6509" s="85">
        <v>25</v>
      </c>
      <c r="L6509" s="78"/>
      <c r="M6509" s="78"/>
      <c r="N6509" s="78"/>
      <c r="P6509" s="85"/>
    </row>
    <row r="6510" spans="11:16">
      <c r="K6510" s="85">
        <v>26</v>
      </c>
      <c r="L6510" s="78"/>
      <c r="M6510" s="78"/>
      <c r="N6510" s="78"/>
      <c r="P6510" s="85"/>
    </row>
    <row r="6511" spans="11:16">
      <c r="K6511" s="85">
        <v>27</v>
      </c>
      <c r="L6511" s="78"/>
      <c r="M6511" s="78"/>
      <c r="N6511" s="78"/>
      <c r="P6511" s="85"/>
    </row>
    <row r="6512" spans="11:16">
      <c r="K6512" s="85">
        <v>28</v>
      </c>
      <c r="L6512" s="78"/>
      <c r="M6512" s="78"/>
      <c r="N6512" s="78"/>
      <c r="P6512" s="85"/>
    </row>
    <row r="6513" spans="11:16">
      <c r="K6513" s="85">
        <v>29</v>
      </c>
      <c r="L6513" s="78"/>
      <c r="M6513" s="78"/>
      <c r="N6513" s="78"/>
      <c r="P6513" s="85"/>
    </row>
    <row r="6514" spans="11:16">
      <c r="K6514" s="85">
        <v>30</v>
      </c>
      <c r="L6514" s="78"/>
      <c r="M6514" s="78"/>
      <c r="N6514" s="78"/>
      <c r="P6514" s="85"/>
    </row>
    <row r="6515" spans="11:16">
      <c r="K6515" s="85">
        <v>31</v>
      </c>
      <c r="L6515" s="78"/>
      <c r="M6515" s="78"/>
      <c r="N6515" s="78"/>
      <c r="P6515" s="85"/>
    </row>
    <row r="6516" spans="11:16">
      <c r="K6516" s="85">
        <v>32</v>
      </c>
      <c r="L6516" s="78"/>
      <c r="M6516" s="78"/>
      <c r="N6516" s="78"/>
      <c r="P6516" s="85"/>
    </row>
    <row r="6517" spans="11:16">
      <c r="K6517" s="85">
        <v>33</v>
      </c>
      <c r="L6517" s="78"/>
      <c r="M6517" s="78"/>
      <c r="N6517" s="78"/>
      <c r="P6517" s="85"/>
    </row>
    <row r="6518" spans="11:16">
      <c r="K6518" s="85">
        <v>34</v>
      </c>
      <c r="L6518" s="78"/>
      <c r="M6518" s="78"/>
      <c r="N6518" s="78"/>
      <c r="P6518" s="85"/>
    </row>
    <row r="6519" spans="11:16">
      <c r="K6519" s="85">
        <v>35</v>
      </c>
      <c r="L6519" s="78"/>
      <c r="M6519" s="78"/>
      <c r="N6519" s="78"/>
      <c r="P6519" s="85"/>
    </row>
    <row r="6520" spans="11:16">
      <c r="K6520" s="85">
        <v>36</v>
      </c>
      <c r="L6520" s="78"/>
      <c r="M6520" s="78"/>
      <c r="N6520" s="78"/>
      <c r="P6520" s="85"/>
    </row>
    <row r="6521" spans="11:16">
      <c r="K6521" s="85">
        <v>25</v>
      </c>
      <c r="L6521" s="78"/>
      <c r="M6521" s="78"/>
      <c r="N6521" s="78"/>
      <c r="P6521" s="85"/>
    </row>
    <row r="6522" spans="11:16">
      <c r="K6522" s="85">
        <v>26</v>
      </c>
      <c r="L6522" s="78"/>
      <c r="M6522" s="78"/>
      <c r="N6522" s="78"/>
      <c r="P6522" s="85"/>
    </row>
    <row r="6523" spans="11:16">
      <c r="K6523" s="85">
        <v>27</v>
      </c>
      <c r="L6523" s="78"/>
      <c r="M6523" s="78"/>
      <c r="N6523" s="78"/>
      <c r="P6523" s="85"/>
    </row>
    <row r="6524" spans="11:16">
      <c r="K6524" s="85">
        <v>28</v>
      </c>
      <c r="L6524" s="78"/>
      <c r="M6524" s="78"/>
      <c r="N6524" s="78"/>
      <c r="P6524" s="85"/>
    </row>
    <row r="6525" spans="11:16">
      <c r="K6525" s="85">
        <v>29</v>
      </c>
      <c r="L6525" s="78"/>
      <c r="M6525" s="78"/>
      <c r="N6525" s="78"/>
      <c r="P6525" s="85"/>
    </row>
    <row r="6526" spans="11:16">
      <c r="K6526" s="85">
        <v>30</v>
      </c>
      <c r="L6526" s="78"/>
      <c r="M6526" s="78"/>
      <c r="N6526" s="78"/>
      <c r="P6526" s="85"/>
    </row>
    <row r="6527" spans="11:16">
      <c r="K6527" s="85">
        <v>31</v>
      </c>
      <c r="L6527" s="78"/>
      <c r="M6527" s="78"/>
      <c r="N6527" s="78"/>
      <c r="P6527" s="85"/>
    </row>
    <row r="6528" spans="11:16">
      <c r="K6528" s="85">
        <v>32</v>
      </c>
      <c r="L6528" s="78"/>
      <c r="M6528" s="78"/>
      <c r="N6528" s="78"/>
      <c r="P6528" s="85"/>
    </row>
    <row r="6529" spans="11:16">
      <c r="K6529" s="85">
        <v>33</v>
      </c>
      <c r="L6529" s="78"/>
      <c r="M6529" s="78"/>
      <c r="N6529" s="78"/>
      <c r="P6529" s="85"/>
    </row>
    <row r="6530" spans="11:16">
      <c r="K6530" s="85">
        <v>34</v>
      </c>
      <c r="L6530" s="78"/>
      <c r="M6530" s="78"/>
      <c r="N6530" s="78"/>
      <c r="P6530" s="85"/>
    </row>
    <row r="6531" spans="11:16">
      <c r="K6531" s="85">
        <v>35</v>
      </c>
      <c r="L6531" s="78"/>
      <c r="M6531" s="78"/>
      <c r="N6531" s="78"/>
      <c r="P6531" s="85"/>
    </row>
    <row r="6532" spans="11:16">
      <c r="K6532" s="85">
        <v>36</v>
      </c>
      <c r="L6532" s="78"/>
      <c r="M6532" s="78"/>
      <c r="N6532" s="78"/>
      <c r="P6532" s="85"/>
    </row>
    <row r="6533" spans="11:16">
      <c r="K6533" s="85">
        <v>25</v>
      </c>
      <c r="L6533" s="78"/>
      <c r="M6533" s="78"/>
      <c r="N6533" s="78"/>
      <c r="P6533" s="85"/>
    </row>
    <row r="6534" spans="11:16">
      <c r="K6534" s="85">
        <v>26</v>
      </c>
      <c r="L6534" s="78"/>
      <c r="M6534" s="78"/>
      <c r="N6534" s="78"/>
      <c r="P6534" s="85"/>
    </row>
    <row r="6535" spans="11:16">
      <c r="K6535" s="85">
        <v>27</v>
      </c>
      <c r="L6535" s="78"/>
      <c r="M6535" s="78"/>
      <c r="N6535" s="78"/>
      <c r="P6535" s="85"/>
    </row>
    <row r="6536" spans="11:16">
      <c r="K6536" s="85">
        <v>28</v>
      </c>
      <c r="L6536" s="78"/>
      <c r="M6536" s="78"/>
      <c r="N6536" s="78"/>
      <c r="P6536" s="85"/>
    </row>
    <row r="6537" spans="11:16">
      <c r="K6537" s="85">
        <v>29</v>
      </c>
      <c r="L6537" s="78"/>
      <c r="M6537" s="78"/>
      <c r="N6537" s="78"/>
      <c r="P6537" s="85"/>
    </row>
    <row r="6538" spans="11:16">
      <c r="K6538" s="85">
        <v>30</v>
      </c>
      <c r="L6538" s="78"/>
      <c r="M6538" s="78"/>
      <c r="N6538" s="78"/>
      <c r="P6538" s="85"/>
    </row>
    <row r="6539" spans="11:16">
      <c r="K6539" s="85">
        <v>31</v>
      </c>
      <c r="L6539" s="78"/>
      <c r="M6539" s="78"/>
      <c r="N6539" s="78"/>
      <c r="P6539" s="85"/>
    </row>
    <row r="6540" spans="11:16">
      <c r="K6540" s="85">
        <v>32</v>
      </c>
      <c r="L6540" s="78"/>
      <c r="M6540" s="78"/>
      <c r="N6540" s="78"/>
      <c r="P6540" s="85"/>
    </row>
    <row r="6541" spans="11:16">
      <c r="K6541" s="85">
        <v>33</v>
      </c>
      <c r="L6541" s="78"/>
      <c r="M6541" s="78"/>
      <c r="N6541" s="78"/>
      <c r="P6541" s="85"/>
    </row>
    <row r="6542" spans="11:16">
      <c r="K6542" s="85">
        <v>34</v>
      </c>
      <c r="L6542" s="78"/>
      <c r="M6542" s="78"/>
      <c r="N6542" s="78"/>
      <c r="P6542" s="85"/>
    </row>
    <row r="6543" spans="11:16">
      <c r="K6543" s="85">
        <v>35</v>
      </c>
      <c r="L6543" s="78"/>
      <c r="M6543" s="78"/>
      <c r="N6543" s="78"/>
      <c r="P6543" s="85"/>
    </row>
    <row r="6544" spans="11:16">
      <c r="K6544" s="85">
        <v>36</v>
      </c>
      <c r="L6544" s="78"/>
      <c r="M6544" s="78"/>
      <c r="N6544" s="78"/>
      <c r="P6544" s="85"/>
    </row>
    <row r="6545" spans="11:16">
      <c r="K6545" s="85">
        <v>25</v>
      </c>
      <c r="L6545" s="78"/>
      <c r="M6545" s="78"/>
      <c r="N6545" s="78"/>
      <c r="P6545" s="85"/>
    </row>
    <row r="6546" spans="11:16">
      <c r="K6546" s="85">
        <v>26</v>
      </c>
      <c r="L6546" s="78"/>
      <c r="M6546" s="78"/>
      <c r="N6546" s="78"/>
      <c r="P6546" s="85"/>
    </row>
    <row r="6547" spans="11:16">
      <c r="K6547" s="85">
        <v>27</v>
      </c>
      <c r="L6547" s="78"/>
      <c r="M6547" s="78"/>
      <c r="N6547" s="78"/>
      <c r="P6547" s="85"/>
    </row>
    <row r="6548" spans="11:16">
      <c r="K6548" s="85">
        <v>28</v>
      </c>
      <c r="L6548" s="78"/>
      <c r="M6548" s="78"/>
      <c r="N6548" s="78"/>
      <c r="P6548" s="85"/>
    </row>
    <row r="6549" spans="11:16">
      <c r="K6549" s="85">
        <v>29</v>
      </c>
      <c r="L6549" s="78"/>
      <c r="M6549" s="78"/>
      <c r="N6549" s="78"/>
      <c r="P6549" s="85"/>
    </row>
    <row r="6550" spans="11:16">
      <c r="K6550" s="85">
        <v>30</v>
      </c>
      <c r="L6550" s="78"/>
      <c r="M6550" s="78"/>
      <c r="N6550" s="78"/>
      <c r="P6550" s="85"/>
    </row>
    <row r="6551" spans="11:16">
      <c r="K6551" s="85">
        <v>31</v>
      </c>
      <c r="L6551" s="78"/>
      <c r="M6551" s="78"/>
      <c r="N6551" s="78"/>
      <c r="P6551" s="85"/>
    </row>
    <row r="6552" spans="11:16">
      <c r="K6552" s="85">
        <v>32</v>
      </c>
      <c r="L6552" s="78"/>
      <c r="M6552" s="78"/>
      <c r="N6552" s="78"/>
      <c r="P6552" s="85"/>
    </row>
    <row r="6553" spans="11:16">
      <c r="K6553" s="85">
        <v>33</v>
      </c>
      <c r="L6553" s="78"/>
      <c r="M6553" s="78"/>
      <c r="N6553" s="78"/>
      <c r="P6553" s="85"/>
    </row>
    <row r="6554" spans="11:16">
      <c r="K6554" s="85">
        <v>34</v>
      </c>
      <c r="L6554" s="78"/>
      <c r="M6554" s="78"/>
      <c r="N6554" s="78"/>
      <c r="P6554" s="85"/>
    </row>
    <row r="6555" spans="11:16">
      <c r="K6555" s="85">
        <v>35</v>
      </c>
      <c r="L6555" s="78"/>
      <c r="M6555" s="78"/>
      <c r="N6555" s="78"/>
      <c r="P6555" s="85"/>
    </row>
    <row r="6556" spans="11:16">
      <c r="K6556" s="85">
        <v>36</v>
      </c>
      <c r="L6556" s="78"/>
      <c r="M6556" s="78"/>
      <c r="N6556" s="78"/>
      <c r="P6556" s="85"/>
    </row>
    <row r="6557" spans="11:16">
      <c r="K6557" s="85">
        <v>25</v>
      </c>
      <c r="L6557" s="78"/>
      <c r="M6557" s="78"/>
      <c r="N6557" s="78"/>
      <c r="P6557" s="85"/>
    </row>
    <row r="6558" spans="11:16">
      <c r="K6558" s="85">
        <v>26</v>
      </c>
      <c r="L6558" s="78"/>
      <c r="M6558" s="78"/>
      <c r="N6558" s="78"/>
      <c r="P6558" s="85"/>
    </row>
    <row r="6559" spans="11:16">
      <c r="K6559" s="85">
        <v>27</v>
      </c>
      <c r="L6559" s="78"/>
      <c r="M6559" s="78"/>
      <c r="N6559" s="78"/>
      <c r="P6559" s="85"/>
    </row>
    <row r="6560" spans="11:16">
      <c r="K6560" s="85">
        <v>29</v>
      </c>
      <c r="L6560" s="78"/>
      <c r="M6560" s="78"/>
      <c r="N6560" s="78"/>
      <c r="P6560" s="85"/>
    </row>
    <row r="6561" spans="11:16">
      <c r="K6561" s="85">
        <v>30</v>
      </c>
      <c r="L6561" s="78"/>
      <c r="M6561" s="78"/>
      <c r="N6561" s="78"/>
      <c r="P6561" s="85"/>
    </row>
    <row r="6562" spans="11:16">
      <c r="K6562" s="85">
        <v>31</v>
      </c>
      <c r="L6562" s="78"/>
      <c r="M6562" s="78"/>
      <c r="N6562" s="78"/>
      <c r="P6562" s="85"/>
    </row>
    <row r="6563" spans="11:16">
      <c r="K6563" s="85">
        <v>33</v>
      </c>
      <c r="L6563" s="78"/>
      <c r="M6563" s="78"/>
      <c r="N6563" s="78"/>
      <c r="P6563" s="85"/>
    </row>
    <row r="6564" spans="11:16">
      <c r="K6564" s="85">
        <v>34</v>
      </c>
      <c r="L6564" s="78"/>
      <c r="M6564" s="78"/>
      <c r="N6564" s="78"/>
      <c r="P6564" s="85"/>
    </row>
    <row r="6565" spans="11:16">
      <c r="K6565" s="85">
        <v>35</v>
      </c>
      <c r="L6565" s="78"/>
      <c r="M6565" s="78"/>
      <c r="N6565" s="78"/>
      <c r="P6565" s="85"/>
    </row>
    <row r="6566" spans="11:16">
      <c r="K6566" s="85">
        <v>36</v>
      </c>
      <c r="L6566" s="78"/>
      <c r="M6566" s="78"/>
      <c r="N6566" s="78"/>
      <c r="P6566" s="85"/>
    </row>
    <row r="6567" spans="11:16">
      <c r="K6567" s="85">
        <v>26</v>
      </c>
      <c r="L6567" s="78"/>
      <c r="M6567" s="78"/>
      <c r="N6567" s="78"/>
      <c r="P6567" s="85"/>
    </row>
    <row r="6568" spans="11:16">
      <c r="K6568" s="85">
        <v>27</v>
      </c>
      <c r="L6568" s="78"/>
      <c r="M6568" s="78"/>
      <c r="N6568" s="78"/>
      <c r="P6568" s="85"/>
    </row>
    <row r="6569" spans="11:16">
      <c r="K6569" s="85">
        <v>28</v>
      </c>
      <c r="L6569" s="78"/>
      <c r="M6569" s="78"/>
      <c r="N6569" s="78"/>
      <c r="P6569" s="85"/>
    </row>
    <row r="6570" spans="11:16">
      <c r="K6570" s="85">
        <v>29</v>
      </c>
      <c r="L6570" s="78"/>
      <c r="M6570" s="78"/>
      <c r="N6570" s="78"/>
      <c r="P6570" s="85"/>
    </row>
    <row r="6571" spans="11:16">
      <c r="K6571" s="85">
        <v>35</v>
      </c>
      <c r="L6571" s="78"/>
      <c r="M6571" s="78"/>
      <c r="N6571" s="78"/>
      <c r="P6571" s="85"/>
    </row>
    <row r="6572" spans="11:16">
      <c r="K6572" s="85">
        <v>25</v>
      </c>
      <c r="L6572" s="78"/>
      <c r="M6572" s="78"/>
      <c r="N6572" s="78"/>
      <c r="P6572" s="85"/>
    </row>
    <row r="6573" spans="11:16">
      <c r="K6573" s="85">
        <v>26</v>
      </c>
      <c r="L6573" s="78"/>
      <c r="M6573" s="78"/>
      <c r="N6573" s="78"/>
      <c r="P6573" s="85"/>
    </row>
    <row r="6574" spans="11:16">
      <c r="K6574" s="85">
        <v>27</v>
      </c>
      <c r="L6574" s="78"/>
      <c r="M6574" s="78"/>
      <c r="N6574" s="78"/>
      <c r="P6574" s="85"/>
    </row>
    <row r="6575" spans="11:16">
      <c r="K6575" s="85">
        <v>28</v>
      </c>
      <c r="L6575" s="78"/>
      <c r="M6575" s="78"/>
      <c r="N6575" s="78"/>
      <c r="P6575" s="85"/>
    </row>
    <row r="6576" spans="11:16">
      <c r="K6576" s="85">
        <v>29</v>
      </c>
      <c r="L6576" s="78"/>
      <c r="M6576" s="78"/>
      <c r="N6576" s="78"/>
      <c r="P6576" s="85"/>
    </row>
    <row r="6577" spans="11:16">
      <c r="K6577" s="85">
        <v>30</v>
      </c>
      <c r="L6577" s="78"/>
      <c r="M6577" s="78"/>
      <c r="N6577" s="78"/>
      <c r="P6577" s="85"/>
    </row>
    <row r="6578" spans="11:16">
      <c r="K6578" s="85">
        <v>31</v>
      </c>
      <c r="L6578" s="78"/>
      <c r="M6578" s="78"/>
      <c r="N6578" s="78"/>
      <c r="P6578" s="85"/>
    </row>
    <row r="6579" spans="11:16">
      <c r="K6579" s="85">
        <v>32</v>
      </c>
      <c r="L6579" s="78"/>
      <c r="M6579" s="78"/>
      <c r="N6579" s="78"/>
      <c r="P6579" s="85"/>
    </row>
    <row r="6580" spans="11:16">
      <c r="K6580" s="85">
        <v>34</v>
      </c>
      <c r="L6580" s="78"/>
      <c r="M6580" s="78"/>
      <c r="N6580" s="78"/>
      <c r="P6580" s="85"/>
    </row>
    <row r="6581" spans="11:16">
      <c r="K6581" s="85">
        <v>35</v>
      </c>
      <c r="L6581" s="78"/>
      <c r="M6581" s="78"/>
      <c r="N6581" s="78"/>
      <c r="P6581" s="85"/>
    </row>
    <row r="6582" spans="11:16">
      <c r="K6582" s="85">
        <v>36</v>
      </c>
      <c r="L6582" s="78"/>
      <c r="M6582" s="78"/>
      <c r="N6582" s="78"/>
      <c r="P6582" s="85"/>
    </row>
    <row r="6583" spans="11:16">
      <c r="K6583" s="85">
        <v>25</v>
      </c>
      <c r="L6583" s="78"/>
      <c r="M6583" s="78"/>
      <c r="N6583" s="78"/>
      <c r="P6583" s="85"/>
    </row>
    <row r="6584" spans="11:16">
      <c r="K6584" s="85">
        <v>26</v>
      </c>
      <c r="L6584" s="78"/>
      <c r="M6584" s="78"/>
      <c r="N6584" s="78"/>
      <c r="P6584" s="85"/>
    </row>
    <row r="6585" spans="11:16">
      <c r="K6585" s="85">
        <v>27</v>
      </c>
      <c r="L6585" s="78"/>
      <c r="M6585" s="78"/>
      <c r="N6585" s="78"/>
      <c r="P6585" s="85"/>
    </row>
    <row r="6586" spans="11:16">
      <c r="K6586" s="85">
        <v>31</v>
      </c>
      <c r="L6586" s="78"/>
      <c r="M6586" s="78"/>
      <c r="N6586" s="78"/>
      <c r="P6586" s="85"/>
    </row>
    <row r="6587" spans="11:16">
      <c r="K6587" s="85">
        <v>32</v>
      </c>
      <c r="L6587" s="78"/>
      <c r="M6587" s="78"/>
      <c r="N6587" s="78"/>
      <c r="P6587" s="85"/>
    </row>
    <row r="6588" spans="11:16">
      <c r="K6588" s="85">
        <v>33</v>
      </c>
      <c r="L6588" s="78"/>
      <c r="M6588" s="78"/>
      <c r="N6588" s="78"/>
      <c r="P6588" s="85"/>
    </row>
    <row r="6589" spans="11:16">
      <c r="K6589" s="85">
        <v>34</v>
      </c>
      <c r="L6589" s="78"/>
      <c r="M6589" s="78"/>
      <c r="N6589" s="78"/>
      <c r="P6589" s="85"/>
    </row>
    <row r="6590" spans="11:16">
      <c r="K6590" s="85">
        <v>35</v>
      </c>
      <c r="L6590" s="78"/>
      <c r="M6590" s="78"/>
      <c r="N6590" s="78"/>
      <c r="P6590" s="85"/>
    </row>
    <row r="6591" spans="11:16">
      <c r="K6591" s="85">
        <v>25</v>
      </c>
      <c r="L6591" s="78"/>
      <c r="M6591" s="78"/>
      <c r="N6591" s="78"/>
      <c r="P6591" s="85"/>
    </row>
    <row r="6592" spans="11:16">
      <c r="K6592" s="85">
        <v>26</v>
      </c>
      <c r="L6592" s="78"/>
      <c r="M6592" s="78"/>
      <c r="N6592" s="78"/>
      <c r="P6592" s="85"/>
    </row>
    <row r="6593" spans="11:16">
      <c r="K6593" s="85">
        <v>27</v>
      </c>
      <c r="L6593" s="78"/>
      <c r="M6593" s="78"/>
      <c r="N6593" s="78"/>
      <c r="P6593" s="85"/>
    </row>
    <row r="6594" spans="11:16">
      <c r="K6594" s="85">
        <v>28</v>
      </c>
      <c r="L6594" s="78"/>
      <c r="M6594" s="78"/>
      <c r="N6594" s="78"/>
      <c r="P6594" s="85"/>
    </row>
    <row r="6595" spans="11:16">
      <c r="K6595" s="85">
        <v>29</v>
      </c>
      <c r="L6595" s="78"/>
      <c r="M6595" s="78"/>
      <c r="N6595" s="78"/>
      <c r="P6595" s="85"/>
    </row>
    <row r="6596" spans="11:16">
      <c r="K6596" s="85">
        <v>30</v>
      </c>
      <c r="L6596" s="78"/>
      <c r="M6596" s="78"/>
      <c r="N6596" s="78"/>
      <c r="P6596" s="85"/>
    </row>
    <row r="6597" spans="11:16">
      <c r="K6597" s="85">
        <v>31</v>
      </c>
      <c r="L6597" s="78"/>
      <c r="M6597" s="78"/>
      <c r="N6597" s="78"/>
      <c r="P6597" s="85"/>
    </row>
    <row r="6598" spans="11:16">
      <c r="K6598" s="85">
        <v>32</v>
      </c>
      <c r="L6598" s="78"/>
      <c r="M6598" s="78"/>
      <c r="N6598" s="78"/>
      <c r="P6598" s="85"/>
    </row>
    <row r="6599" spans="11:16">
      <c r="K6599" s="85">
        <v>33</v>
      </c>
      <c r="L6599" s="78"/>
      <c r="M6599" s="78"/>
      <c r="N6599" s="78"/>
      <c r="P6599" s="85"/>
    </row>
    <row r="6600" spans="11:16">
      <c r="K6600" s="85">
        <v>34</v>
      </c>
      <c r="L6600" s="78"/>
      <c r="M6600" s="78"/>
      <c r="N6600" s="78"/>
      <c r="P6600" s="85"/>
    </row>
    <row r="6601" spans="11:16">
      <c r="K6601" s="85">
        <v>35</v>
      </c>
      <c r="L6601" s="78"/>
      <c r="M6601" s="78"/>
      <c r="N6601" s="78"/>
      <c r="P6601" s="85"/>
    </row>
    <row r="6602" spans="11:16">
      <c r="K6602" s="85">
        <v>36</v>
      </c>
      <c r="L6602" s="78"/>
      <c r="M6602" s="78"/>
      <c r="N6602" s="78"/>
      <c r="P6602" s="85"/>
    </row>
    <row r="6603" spans="11:16">
      <c r="K6603" s="85">
        <v>25</v>
      </c>
      <c r="L6603" s="78"/>
      <c r="M6603" s="78"/>
      <c r="N6603" s="78"/>
      <c r="P6603" s="85"/>
    </row>
    <row r="6604" spans="11:16">
      <c r="K6604" s="85">
        <v>26</v>
      </c>
      <c r="L6604" s="78"/>
      <c r="M6604" s="78"/>
      <c r="N6604" s="78"/>
      <c r="P6604" s="85"/>
    </row>
    <row r="6605" spans="11:16">
      <c r="K6605" s="85">
        <v>27</v>
      </c>
      <c r="L6605" s="78"/>
      <c r="M6605" s="78"/>
      <c r="N6605" s="78"/>
      <c r="P6605" s="85"/>
    </row>
    <row r="6606" spans="11:16">
      <c r="K6606" s="85">
        <v>28</v>
      </c>
      <c r="L6606" s="78"/>
      <c r="M6606" s="78"/>
      <c r="N6606" s="78"/>
      <c r="P6606" s="85"/>
    </row>
    <row r="6607" spans="11:16">
      <c r="K6607" s="85">
        <v>29</v>
      </c>
      <c r="L6607" s="78"/>
      <c r="M6607" s="78"/>
      <c r="N6607" s="78"/>
      <c r="P6607" s="85"/>
    </row>
    <row r="6608" spans="11:16">
      <c r="K6608" s="85">
        <v>30</v>
      </c>
      <c r="L6608" s="78"/>
      <c r="M6608" s="78"/>
      <c r="N6608" s="78"/>
      <c r="P6608" s="85"/>
    </row>
    <row r="6609" spans="11:16">
      <c r="K6609" s="85">
        <v>31</v>
      </c>
      <c r="L6609" s="78"/>
      <c r="M6609" s="78"/>
      <c r="N6609" s="78"/>
      <c r="P6609" s="85"/>
    </row>
    <row r="6610" spans="11:16">
      <c r="K6610" s="85">
        <v>32</v>
      </c>
      <c r="L6610" s="78"/>
      <c r="M6610" s="78"/>
      <c r="N6610" s="78"/>
      <c r="P6610" s="85"/>
    </row>
    <row r="6611" spans="11:16">
      <c r="K6611" s="85">
        <v>34</v>
      </c>
      <c r="L6611" s="78"/>
      <c r="M6611" s="78"/>
      <c r="N6611" s="78"/>
      <c r="P6611" s="85"/>
    </row>
    <row r="6612" spans="11:16">
      <c r="K6612" s="85">
        <v>35</v>
      </c>
      <c r="L6612" s="78"/>
      <c r="M6612" s="78"/>
      <c r="N6612" s="78"/>
      <c r="P6612" s="85"/>
    </row>
    <row r="6613" spans="11:16">
      <c r="K6613" s="85">
        <v>36</v>
      </c>
      <c r="L6613" s="78"/>
      <c r="M6613" s="78"/>
      <c r="N6613" s="78"/>
      <c r="P6613" s="85"/>
    </row>
    <row r="6614" spans="11:16">
      <c r="K6614" s="85">
        <v>25</v>
      </c>
      <c r="L6614" s="78"/>
      <c r="M6614" s="78"/>
      <c r="N6614" s="78"/>
      <c r="P6614" s="85"/>
    </row>
    <row r="6615" spans="11:16">
      <c r="K6615" s="85">
        <v>26</v>
      </c>
      <c r="L6615" s="78"/>
      <c r="M6615" s="78"/>
      <c r="N6615" s="78"/>
      <c r="P6615" s="85"/>
    </row>
    <row r="6616" spans="11:16">
      <c r="K6616" s="85">
        <v>27</v>
      </c>
      <c r="L6616" s="78"/>
      <c r="M6616" s="78"/>
      <c r="N6616" s="78"/>
      <c r="P6616" s="85"/>
    </row>
    <row r="6617" spans="11:16">
      <c r="K6617" s="85">
        <v>28</v>
      </c>
      <c r="L6617" s="78"/>
      <c r="M6617" s="78"/>
      <c r="N6617" s="78"/>
      <c r="P6617" s="85"/>
    </row>
    <row r="6618" spans="11:16">
      <c r="K6618" s="85">
        <v>30</v>
      </c>
      <c r="L6618" s="78"/>
      <c r="M6618" s="78"/>
      <c r="N6618" s="78"/>
      <c r="P6618" s="85"/>
    </row>
    <row r="6619" spans="11:16">
      <c r="K6619" s="85">
        <v>25</v>
      </c>
      <c r="L6619" s="78"/>
      <c r="M6619" s="78"/>
      <c r="N6619" s="78"/>
      <c r="P6619" s="85"/>
    </row>
    <row r="6620" spans="11:16">
      <c r="K6620" s="85">
        <v>27</v>
      </c>
      <c r="L6620" s="78"/>
      <c r="M6620" s="78"/>
      <c r="N6620" s="78"/>
      <c r="P6620" s="85"/>
    </row>
    <row r="6621" spans="11:16">
      <c r="K6621" s="85">
        <v>28</v>
      </c>
      <c r="L6621" s="78"/>
      <c r="M6621" s="78"/>
      <c r="N6621" s="78"/>
      <c r="P6621" s="85"/>
    </row>
    <row r="6622" spans="11:16">
      <c r="K6622" s="85">
        <v>29</v>
      </c>
      <c r="L6622" s="78"/>
      <c r="M6622" s="78"/>
      <c r="N6622" s="78"/>
      <c r="P6622" s="85"/>
    </row>
    <row r="6623" spans="11:16">
      <c r="K6623" s="85">
        <v>30</v>
      </c>
      <c r="L6623" s="78"/>
      <c r="M6623" s="78"/>
      <c r="N6623" s="78"/>
      <c r="P6623" s="85"/>
    </row>
    <row r="6624" spans="11:16">
      <c r="K6624" s="85">
        <v>31</v>
      </c>
      <c r="L6624" s="78"/>
      <c r="M6624" s="78"/>
      <c r="N6624" s="78"/>
      <c r="P6624" s="85"/>
    </row>
    <row r="6625" spans="11:16">
      <c r="K6625" s="85">
        <v>33</v>
      </c>
      <c r="L6625" s="78"/>
      <c r="M6625" s="78"/>
      <c r="N6625" s="78"/>
      <c r="P6625" s="85"/>
    </row>
    <row r="6626" spans="11:16">
      <c r="K6626" s="85">
        <v>34</v>
      </c>
      <c r="L6626" s="78"/>
      <c r="M6626" s="78"/>
      <c r="N6626" s="78"/>
      <c r="P6626" s="85"/>
    </row>
    <row r="6627" spans="11:16">
      <c r="K6627" s="85">
        <v>35</v>
      </c>
      <c r="L6627" s="78"/>
      <c r="M6627" s="78"/>
      <c r="N6627" s="78"/>
      <c r="P6627" s="85"/>
    </row>
    <row r="6628" spans="11:16">
      <c r="K6628" s="85">
        <v>36</v>
      </c>
      <c r="L6628" s="78"/>
      <c r="M6628" s="78"/>
      <c r="N6628" s="78"/>
      <c r="P6628" s="85"/>
    </row>
    <row r="6629" spans="11:16">
      <c r="K6629" s="85">
        <v>25</v>
      </c>
      <c r="L6629" s="78"/>
      <c r="M6629" s="78"/>
      <c r="N6629" s="78"/>
      <c r="P6629" s="85"/>
    </row>
    <row r="6630" spans="11:16">
      <c r="K6630" s="85">
        <v>26</v>
      </c>
      <c r="L6630" s="78"/>
      <c r="M6630" s="78"/>
      <c r="N6630" s="78"/>
      <c r="P6630" s="85"/>
    </row>
    <row r="6631" spans="11:16">
      <c r="K6631" s="85">
        <v>27</v>
      </c>
      <c r="L6631" s="78"/>
      <c r="M6631" s="78"/>
      <c r="N6631" s="78"/>
      <c r="P6631" s="85"/>
    </row>
    <row r="6632" spans="11:16">
      <c r="K6632" s="85">
        <v>28</v>
      </c>
      <c r="L6632" s="78"/>
      <c r="M6632" s="78"/>
      <c r="N6632" s="78"/>
      <c r="P6632" s="85"/>
    </row>
    <row r="6633" spans="11:16">
      <c r="K6633" s="85">
        <v>29</v>
      </c>
      <c r="L6633" s="78"/>
      <c r="M6633" s="78"/>
      <c r="N6633" s="78"/>
      <c r="P6633" s="85"/>
    </row>
    <row r="6634" spans="11:16">
      <c r="K6634" s="85">
        <v>30</v>
      </c>
      <c r="L6634" s="78"/>
      <c r="M6634" s="78"/>
      <c r="N6634" s="78"/>
      <c r="P6634" s="85"/>
    </row>
    <row r="6635" spans="11:16">
      <c r="K6635" s="85">
        <v>31</v>
      </c>
      <c r="L6635" s="78"/>
      <c r="M6635" s="78"/>
      <c r="N6635" s="78"/>
      <c r="P6635" s="85"/>
    </row>
    <row r="6636" spans="11:16">
      <c r="K6636" s="85">
        <v>32</v>
      </c>
      <c r="L6636" s="78"/>
      <c r="M6636" s="78"/>
      <c r="N6636" s="78"/>
      <c r="P6636" s="85"/>
    </row>
    <row r="6637" spans="11:16">
      <c r="K6637" s="85">
        <v>33</v>
      </c>
      <c r="L6637" s="78"/>
      <c r="M6637" s="78"/>
      <c r="N6637" s="78"/>
      <c r="P6637" s="85"/>
    </row>
    <row r="6638" spans="11:16">
      <c r="K6638" s="85">
        <v>34</v>
      </c>
      <c r="L6638" s="78"/>
      <c r="M6638" s="78"/>
      <c r="N6638" s="78"/>
      <c r="P6638" s="85"/>
    </row>
    <row r="6639" spans="11:16">
      <c r="K6639" s="85">
        <v>35</v>
      </c>
      <c r="L6639" s="78"/>
      <c r="M6639" s="78"/>
      <c r="N6639" s="78"/>
      <c r="P6639" s="85"/>
    </row>
    <row r="6640" spans="11:16">
      <c r="K6640" s="85">
        <v>36</v>
      </c>
      <c r="L6640" s="78"/>
      <c r="M6640" s="78"/>
      <c r="N6640" s="78"/>
      <c r="P6640" s="85"/>
    </row>
    <row r="6641" spans="11:16">
      <c r="K6641" s="85">
        <v>25</v>
      </c>
      <c r="L6641" s="78"/>
      <c r="M6641" s="78"/>
      <c r="N6641" s="78"/>
      <c r="P6641" s="85"/>
    </row>
    <row r="6642" spans="11:16">
      <c r="K6642" s="85">
        <v>26</v>
      </c>
      <c r="L6642" s="78"/>
      <c r="M6642" s="78"/>
      <c r="N6642" s="78"/>
      <c r="P6642" s="85"/>
    </row>
    <row r="6643" spans="11:16">
      <c r="K6643" s="85">
        <v>27</v>
      </c>
      <c r="L6643" s="78"/>
      <c r="M6643" s="78"/>
      <c r="N6643" s="78"/>
      <c r="P6643" s="85"/>
    </row>
    <row r="6644" spans="11:16">
      <c r="K6644" s="85">
        <v>30</v>
      </c>
      <c r="L6644" s="78"/>
      <c r="M6644" s="78"/>
      <c r="N6644" s="78"/>
      <c r="P6644" s="85"/>
    </row>
    <row r="6645" spans="11:16">
      <c r="K6645" s="85">
        <v>31</v>
      </c>
      <c r="L6645" s="78"/>
      <c r="M6645" s="78"/>
      <c r="N6645" s="78"/>
      <c r="P6645" s="85"/>
    </row>
    <row r="6646" spans="11:16">
      <c r="K6646" s="85">
        <v>33</v>
      </c>
      <c r="L6646" s="78"/>
      <c r="M6646" s="78"/>
      <c r="N6646" s="78"/>
      <c r="P6646" s="85"/>
    </row>
    <row r="6647" spans="11:16">
      <c r="K6647" s="85">
        <v>34</v>
      </c>
      <c r="L6647" s="78"/>
      <c r="M6647" s="78"/>
      <c r="N6647" s="78"/>
      <c r="P6647" s="85"/>
    </row>
    <row r="6648" spans="11:16">
      <c r="K6648" s="85">
        <v>35</v>
      </c>
      <c r="L6648" s="78"/>
      <c r="M6648" s="78"/>
      <c r="N6648" s="78"/>
      <c r="P6648" s="85"/>
    </row>
    <row r="6649" spans="11:16">
      <c r="K6649" s="85">
        <v>36</v>
      </c>
      <c r="L6649" s="78"/>
      <c r="M6649" s="78"/>
      <c r="N6649" s="78"/>
      <c r="P6649" s="85"/>
    </row>
    <row r="6650" spans="11:16">
      <c r="K6650" s="85">
        <v>25</v>
      </c>
      <c r="L6650" s="78"/>
      <c r="M6650" s="78"/>
      <c r="N6650" s="78"/>
      <c r="P6650" s="85"/>
    </row>
    <row r="6651" spans="11:16">
      <c r="K6651" s="85">
        <v>26</v>
      </c>
      <c r="L6651" s="78"/>
      <c r="M6651" s="78"/>
      <c r="N6651" s="78"/>
      <c r="P6651" s="85"/>
    </row>
    <row r="6652" spans="11:16">
      <c r="K6652" s="85">
        <v>27</v>
      </c>
      <c r="L6652" s="78"/>
      <c r="M6652" s="78"/>
      <c r="N6652" s="78"/>
      <c r="P6652" s="85"/>
    </row>
    <row r="6653" spans="11:16">
      <c r="K6653" s="85">
        <v>28</v>
      </c>
      <c r="L6653" s="78"/>
      <c r="M6653" s="78"/>
      <c r="N6653" s="78"/>
      <c r="P6653" s="85"/>
    </row>
    <row r="6654" spans="11:16">
      <c r="K6654" s="85">
        <v>31</v>
      </c>
      <c r="L6654" s="78"/>
      <c r="M6654" s="78"/>
      <c r="N6654" s="78"/>
      <c r="P6654" s="85"/>
    </row>
    <row r="6655" spans="11:16">
      <c r="K6655" s="85">
        <v>34</v>
      </c>
      <c r="L6655" s="78"/>
      <c r="M6655" s="78"/>
      <c r="N6655" s="78"/>
      <c r="P6655" s="85"/>
    </row>
    <row r="6656" spans="11:16">
      <c r="K6656" s="85">
        <v>35</v>
      </c>
      <c r="L6656" s="78"/>
      <c r="M6656" s="78"/>
      <c r="N6656" s="78"/>
      <c r="P6656" s="85"/>
    </row>
    <row r="6657" spans="11:16">
      <c r="K6657" s="85">
        <v>25</v>
      </c>
      <c r="L6657" s="78"/>
      <c r="M6657" s="78"/>
      <c r="N6657" s="78"/>
      <c r="P6657" s="85"/>
    </row>
    <row r="6658" spans="11:16">
      <c r="K6658" s="85">
        <v>26</v>
      </c>
      <c r="L6658" s="78"/>
      <c r="M6658" s="78"/>
      <c r="N6658" s="78"/>
      <c r="P6658" s="85"/>
    </row>
    <row r="6659" spans="11:16">
      <c r="K6659" s="85">
        <v>27</v>
      </c>
      <c r="L6659" s="78"/>
      <c r="M6659" s="78"/>
      <c r="N6659" s="78"/>
      <c r="P6659" s="85"/>
    </row>
    <row r="6660" spans="11:16">
      <c r="K6660" s="85">
        <v>28</v>
      </c>
      <c r="L6660" s="78"/>
      <c r="M6660" s="78"/>
      <c r="N6660" s="78"/>
      <c r="P6660" s="85"/>
    </row>
    <row r="6661" spans="11:16">
      <c r="K6661" s="85">
        <v>29</v>
      </c>
      <c r="L6661" s="78"/>
      <c r="M6661" s="78"/>
      <c r="N6661" s="78"/>
      <c r="P6661" s="85"/>
    </row>
    <row r="6662" spans="11:16">
      <c r="K6662" s="85">
        <v>31</v>
      </c>
      <c r="L6662" s="78"/>
      <c r="M6662" s="78"/>
      <c r="N6662" s="78"/>
      <c r="P6662" s="85"/>
    </row>
    <row r="6663" spans="11:16">
      <c r="K6663" s="85">
        <v>32</v>
      </c>
      <c r="L6663" s="78"/>
      <c r="M6663" s="78"/>
      <c r="N6663" s="78"/>
      <c r="P6663" s="85"/>
    </row>
    <row r="6664" spans="11:16">
      <c r="K6664" s="85">
        <v>33</v>
      </c>
      <c r="L6664" s="78"/>
      <c r="M6664" s="78"/>
      <c r="N6664" s="78"/>
      <c r="P6664" s="85"/>
    </row>
    <row r="6665" spans="11:16">
      <c r="K6665" s="85">
        <v>34</v>
      </c>
      <c r="L6665" s="78"/>
      <c r="M6665" s="78"/>
      <c r="N6665" s="78"/>
      <c r="P6665" s="85"/>
    </row>
    <row r="6666" spans="11:16">
      <c r="K6666" s="85">
        <v>25</v>
      </c>
      <c r="L6666" s="78"/>
      <c r="M6666" s="78"/>
      <c r="N6666" s="78"/>
      <c r="P6666" s="85"/>
    </row>
    <row r="6667" spans="11:16">
      <c r="K6667" s="85">
        <v>26</v>
      </c>
      <c r="L6667" s="78"/>
      <c r="M6667" s="78"/>
      <c r="N6667" s="78"/>
      <c r="P6667" s="85"/>
    </row>
    <row r="6668" spans="11:16">
      <c r="K6668" s="85">
        <v>27</v>
      </c>
      <c r="L6668" s="78"/>
      <c r="M6668" s="78"/>
      <c r="N6668" s="78"/>
      <c r="P6668" s="85"/>
    </row>
    <row r="6669" spans="11:16">
      <c r="K6669" s="85">
        <v>30</v>
      </c>
      <c r="L6669" s="78"/>
      <c r="M6669" s="78"/>
      <c r="N6669" s="78"/>
      <c r="P6669" s="85"/>
    </row>
    <row r="6670" spans="11:16">
      <c r="K6670" s="85">
        <v>31</v>
      </c>
      <c r="L6670" s="78"/>
      <c r="M6670" s="78"/>
      <c r="N6670" s="78"/>
      <c r="P6670" s="85"/>
    </row>
    <row r="6671" spans="11:16">
      <c r="K6671" s="85">
        <v>34</v>
      </c>
      <c r="L6671" s="78"/>
      <c r="M6671" s="78"/>
      <c r="N6671" s="78"/>
      <c r="P6671" s="85"/>
    </row>
    <row r="6672" spans="11:16">
      <c r="K6672" s="85">
        <v>35</v>
      </c>
      <c r="L6672" s="78"/>
      <c r="M6672" s="78"/>
      <c r="N6672" s="78"/>
      <c r="P6672" s="85"/>
    </row>
    <row r="6673" spans="11:16">
      <c r="K6673" s="85">
        <v>36</v>
      </c>
      <c r="L6673" s="78"/>
      <c r="M6673" s="78"/>
      <c r="N6673" s="78"/>
      <c r="P6673" s="85"/>
    </row>
    <row r="6674" spans="11:16">
      <c r="K6674" s="85">
        <v>26</v>
      </c>
      <c r="L6674" s="78"/>
      <c r="M6674" s="78"/>
      <c r="N6674" s="78"/>
      <c r="P6674" s="85"/>
    </row>
    <row r="6675" spans="11:16">
      <c r="K6675" s="85">
        <v>27</v>
      </c>
      <c r="L6675" s="78"/>
      <c r="M6675" s="78"/>
      <c r="N6675" s="78"/>
      <c r="P6675" s="85"/>
    </row>
    <row r="6676" spans="11:16">
      <c r="K6676" s="85">
        <v>28</v>
      </c>
      <c r="L6676" s="78"/>
      <c r="M6676" s="78"/>
      <c r="N6676" s="78"/>
      <c r="P6676" s="85"/>
    </row>
    <row r="6677" spans="11:16">
      <c r="K6677" s="85">
        <v>32</v>
      </c>
      <c r="L6677" s="78"/>
      <c r="M6677" s="78"/>
      <c r="N6677" s="78"/>
      <c r="P6677" s="85"/>
    </row>
    <row r="6678" spans="11:16">
      <c r="K6678" s="85">
        <v>35</v>
      </c>
      <c r="L6678" s="78"/>
      <c r="M6678" s="78"/>
      <c r="N6678" s="78"/>
      <c r="P6678" s="85"/>
    </row>
    <row r="6679" spans="11:16">
      <c r="K6679" s="85">
        <v>36</v>
      </c>
      <c r="L6679" s="78"/>
      <c r="M6679" s="78"/>
      <c r="N6679" s="78"/>
      <c r="P6679" s="85"/>
    </row>
    <row r="6680" spans="11:16">
      <c r="K6680" s="85">
        <v>25</v>
      </c>
      <c r="L6680" s="78"/>
      <c r="M6680" s="78"/>
      <c r="N6680" s="78"/>
      <c r="P6680" s="85"/>
    </row>
    <row r="6681" spans="11:16">
      <c r="K6681" s="85">
        <v>26</v>
      </c>
      <c r="L6681" s="78"/>
      <c r="M6681" s="78"/>
      <c r="N6681" s="78"/>
      <c r="P6681" s="85"/>
    </row>
    <row r="6682" spans="11:16">
      <c r="K6682" s="85">
        <v>27</v>
      </c>
      <c r="L6682" s="78"/>
      <c r="M6682" s="78"/>
      <c r="N6682" s="78"/>
      <c r="P6682" s="85"/>
    </row>
    <row r="6683" spans="11:16">
      <c r="K6683" s="85">
        <v>28</v>
      </c>
      <c r="L6683" s="78"/>
      <c r="M6683" s="78"/>
      <c r="N6683" s="78"/>
      <c r="P6683" s="85"/>
    </row>
    <row r="6684" spans="11:16">
      <c r="K6684" s="85">
        <v>29</v>
      </c>
      <c r="L6684" s="78"/>
      <c r="M6684" s="78"/>
      <c r="N6684" s="78"/>
      <c r="P6684" s="85"/>
    </row>
    <row r="6685" spans="11:16">
      <c r="K6685" s="85">
        <v>30</v>
      </c>
      <c r="L6685" s="78"/>
      <c r="M6685" s="78"/>
      <c r="N6685" s="78"/>
      <c r="P6685" s="85"/>
    </row>
    <row r="6686" spans="11:16">
      <c r="K6686" s="85">
        <v>31</v>
      </c>
      <c r="L6686" s="78"/>
      <c r="M6686" s="78"/>
      <c r="N6686" s="78"/>
      <c r="P6686" s="85"/>
    </row>
    <row r="6687" spans="11:16">
      <c r="K6687" s="85">
        <v>32</v>
      </c>
      <c r="L6687" s="78"/>
      <c r="M6687" s="78"/>
      <c r="N6687" s="78"/>
      <c r="P6687" s="85"/>
    </row>
    <row r="6688" spans="11:16">
      <c r="K6688" s="85">
        <v>33</v>
      </c>
      <c r="L6688" s="78"/>
      <c r="M6688" s="78"/>
      <c r="N6688" s="78"/>
      <c r="P6688" s="85"/>
    </row>
    <row r="6689" spans="11:16">
      <c r="K6689" s="85">
        <v>34</v>
      </c>
      <c r="L6689" s="78"/>
      <c r="M6689" s="78"/>
      <c r="N6689" s="78"/>
      <c r="P6689" s="85"/>
    </row>
    <row r="6690" spans="11:16">
      <c r="K6690" s="85">
        <v>35</v>
      </c>
      <c r="L6690" s="78"/>
      <c r="M6690" s="78"/>
      <c r="N6690" s="78"/>
      <c r="P6690" s="85"/>
    </row>
    <row r="6691" spans="11:16">
      <c r="K6691" s="85">
        <v>25</v>
      </c>
      <c r="L6691" s="78"/>
      <c r="M6691" s="78"/>
      <c r="N6691" s="78"/>
      <c r="P6691" s="85"/>
    </row>
    <row r="6692" spans="11:16">
      <c r="K6692" s="85">
        <v>26</v>
      </c>
      <c r="L6692" s="78"/>
      <c r="M6692" s="78"/>
      <c r="N6692" s="78"/>
      <c r="P6692" s="85"/>
    </row>
    <row r="6693" spans="11:16">
      <c r="K6693" s="85">
        <v>27</v>
      </c>
      <c r="L6693" s="78"/>
      <c r="M6693" s="78"/>
      <c r="N6693" s="78"/>
      <c r="P6693" s="85"/>
    </row>
    <row r="6694" spans="11:16">
      <c r="K6694" s="85">
        <v>28</v>
      </c>
      <c r="L6694" s="78"/>
      <c r="M6694" s="78"/>
      <c r="N6694" s="78"/>
      <c r="P6694" s="85"/>
    </row>
    <row r="6695" spans="11:16">
      <c r="K6695" s="85">
        <v>29</v>
      </c>
      <c r="L6695" s="78"/>
      <c r="M6695" s="78"/>
      <c r="N6695" s="78"/>
      <c r="P6695" s="85"/>
    </row>
    <row r="6696" spans="11:16">
      <c r="K6696" s="85">
        <v>30</v>
      </c>
      <c r="L6696" s="78"/>
      <c r="M6696" s="78"/>
      <c r="N6696" s="78"/>
      <c r="P6696" s="85"/>
    </row>
    <row r="6697" spans="11:16">
      <c r="K6697" s="85">
        <v>31</v>
      </c>
      <c r="L6697" s="78"/>
      <c r="M6697" s="78"/>
      <c r="N6697" s="78"/>
      <c r="P6697" s="85"/>
    </row>
    <row r="6698" spans="11:16">
      <c r="K6698" s="85">
        <v>32</v>
      </c>
      <c r="L6698" s="78"/>
      <c r="M6698" s="78"/>
      <c r="N6698" s="78"/>
      <c r="P6698" s="85"/>
    </row>
    <row r="6699" spans="11:16">
      <c r="K6699" s="85">
        <v>33</v>
      </c>
      <c r="L6699" s="78"/>
      <c r="M6699" s="78"/>
      <c r="N6699" s="78"/>
      <c r="P6699" s="85"/>
    </row>
    <row r="6700" spans="11:16">
      <c r="K6700" s="85">
        <v>34</v>
      </c>
      <c r="L6700" s="78"/>
      <c r="M6700" s="78"/>
      <c r="N6700" s="78"/>
      <c r="P6700" s="85"/>
    </row>
    <row r="6701" spans="11:16">
      <c r="K6701" s="85">
        <v>35</v>
      </c>
      <c r="L6701" s="78"/>
      <c r="M6701" s="78"/>
      <c r="N6701" s="78"/>
      <c r="P6701" s="85"/>
    </row>
    <row r="6702" spans="11:16">
      <c r="K6702" s="85">
        <v>36</v>
      </c>
      <c r="L6702" s="78"/>
      <c r="M6702" s="78"/>
      <c r="N6702" s="78"/>
      <c r="P6702" s="85"/>
    </row>
    <row r="6703" spans="11:16">
      <c r="K6703" s="85">
        <v>25</v>
      </c>
      <c r="L6703" s="78"/>
      <c r="M6703" s="78"/>
      <c r="N6703" s="78"/>
      <c r="P6703" s="85"/>
    </row>
    <row r="6704" spans="11:16">
      <c r="K6704" s="85">
        <v>26</v>
      </c>
      <c r="L6704" s="78"/>
      <c r="M6704" s="78"/>
      <c r="N6704" s="78"/>
      <c r="P6704" s="85"/>
    </row>
    <row r="6705" spans="11:16">
      <c r="K6705" s="85">
        <v>27</v>
      </c>
      <c r="L6705" s="78"/>
      <c r="M6705" s="78"/>
      <c r="N6705" s="78"/>
      <c r="P6705" s="85"/>
    </row>
    <row r="6706" spans="11:16">
      <c r="K6706" s="85">
        <v>28</v>
      </c>
      <c r="L6706" s="78"/>
      <c r="M6706" s="78"/>
      <c r="N6706" s="78"/>
      <c r="P6706" s="85"/>
    </row>
    <row r="6707" spans="11:16">
      <c r="K6707" s="85">
        <v>29</v>
      </c>
      <c r="L6707" s="78"/>
      <c r="M6707" s="78"/>
      <c r="N6707" s="78"/>
      <c r="P6707" s="85"/>
    </row>
    <row r="6708" spans="11:16">
      <c r="K6708" s="85">
        <v>30</v>
      </c>
      <c r="L6708" s="78"/>
      <c r="M6708" s="78"/>
      <c r="N6708" s="78"/>
      <c r="P6708" s="85"/>
    </row>
    <row r="6709" spans="11:16">
      <c r="K6709" s="85">
        <v>31</v>
      </c>
      <c r="L6709" s="78"/>
      <c r="M6709" s="78"/>
      <c r="N6709" s="78"/>
      <c r="P6709" s="85"/>
    </row>
    <row r="6710" spans="11:16">
      <c r="K6710" s="85">
        <v>32</v>
      </c>
      <c r="L6710" s="78"/>
      <c r="M6710" s="78"/>
      <c r="N6710" s="78"/>
      <c r="P6710" s="85"/>
    </row>
    <row r="6711" spans="11:16">
      <c r="K6711" s="85">
        <v>33</v>
      </c>
      <c r="L6711" s="78"/>
      <c r="M6711" s="78"/>
      <c r="N6711" s="78"/>
      <c r="P6711" s="85"/>
    </row>
    <row r="6712" spans="11:16">
      <c r="K6712" s="85">
        <v>34</v>
      </c>
      <c r="L6712" s="78"/>
      <c r="M6712" s="78"/>
      <c r="N6712" s="78"/>
      <c r="P6712" s="85"/>
    </row>
    <row r="6713" spans="11:16">
      <c r="K6713" s="85">
        <v>35</v>
      </c>
      <c r="L6713" s="78"/>
      <c r="M6713" s="78"/>
      <c r="N6713" s="78"/>
      <c r="P6713" s="85"/>
    </row>
    <row r="6714" spans="11:16">
      <c r="K6714" s="85">
        <v>36</v>
      </c>
      <c r="L6714" s="78"/>
      <c r="M6714" s="78"/>
      <c r="N6714" s="78"/>
      <c r="P6714" s="85"/>
    </row>
    <row r="6715" spans="11:16">
      <c r="K6715" s="85">
        <v>26</v>
      </c>
      <c r="L6715" s="78"/>
      <c r="M6715" s="78"/>
      <c r="N6715" s="78"/>
      <c r="P6715" s="85"/>
    </row>
    <row r="6716" spans="11:16">
      <c r="K6716" s="85">
        <v>27</v>
      </c>
      <c r="L6716" s="78"/>
      <c r="M6716" s="78"/>
      <c r="N6716" s="78"/>
      <c r="P6716" s="85"/>
    </row>
    <row r="6717" spans="11:16">
      <c r="K6717" s="85">
        <v>28</v>
      </c>
      <c r="L6717" s="78"/>
      <c r="M6717" s="78"/>
      <c r="N6717" s="78"/>
      <c r="P6717" s="85"/>
    </row>
    <row r="6718" spans="11:16">
      <c r="K6718" s="85">
        <v>31</v>
      </c>
      <c r="L6718" s="78"/>
      <c r="M6718" s="78"/>
      <c r="N6718" s="78"/>
      <c r="P6718" s="85"/>
    </row>
    <row r="6719" spans="11:16">
      <c r="K6719" s="85">
        <v>32</v>
      </c>
      <c r="L6719" s="78"/>
      <c r="M6719" s="78"/>
      <c r="N6719" s="78"/>
      <c r="P6719" s="85"/>
    </row>
    <row r="6720" spans="11:16">
      <c r="K6720" s="85">
        <v>33</v>
      </c>
      <c r="L6720" s="78"/>
      <c r="M6720" s="78"/>
      <c r="N6720" s="78"/>
      <c r="P6720" s="85"/>
    </row>
    <row r="6721" spans="11:16">
      <c r="K6721" s="85">
        <v>34</v>
      </c>
      <c r="L6721" s="78"/>
      <c r="M6721" s="78"/>
      <c r="N6721" s="78"/>
      <c r="P6721" s="85"/>
    </row>
    <row r="6722" spans="11:16">
      <c r="K6722" s="85">
        <v>35</v>
      </c>
      <c r="L6722" s="78"/>
      <c r="M6722" s="78"/>
      <c r="N6722" s="78"/>
      <c r="P6722" s="85"/>
    </row>
    <row r="6723" spans="11:16">
      <c r="K6723" s="85">
        <v>36</v>
      </c>
      <c r="L6723" s="78"/>
      <c r="M6723" s="78"/>
      <c r="N6723" s="78"/>
      <c r="P6723" s="85"/>
    </row>
    <row r="6724" spans="11:16">
      <c r="K6724" s="85">
        <v>25</v>
      </c>
      <c r="L6724" s="78"/>
      <c r="M6724" s="78"/>
      <c r="N6724" s="78"/>
      <c r="P6724" s="85"/>
    </row>
    <row r="6725" spans="11:16">
      <c r="K6725" s="85">
        <v>27</v>
      </c>
      <c r="L6725" s="78"/>
      <c r="M6725" s="78"/>
      <c r="N6725" s="78"/>
      <c r="P6725" s="85"/>
    </row>
    <row r="6726" spans="11:16">
      <c r="K6726" s="85">
        <v>34</v>
      </c>
      <c r="L6726" s="78"/>
      <c r="M6726" s="78"/>
      <c r="N6726" s="78"/>
      <c r="P6726" s="85"/>
    </row>
    <row r="6727" spans="11:16">
      <c r="K6727" s="85">
        <v>35</v>
      </c>
      <c r="L6727" s="78"/>
      <c r="M6727" s="78"/>
      <c r="N6727" s="78"/>
      <c r="P6727" s="85"/>
    </row>
    <row r="6728" spans="11:16">
      <c r="K6728" s="85">
        <v>36</v>
      </c>
      <c r="L6728" s="78"/>
      <c r="M6728" s="78"/>
      <c r="N6728" s="78"/>
      <c r="P6728" s="85"/>
    </row>
    <row r="6729" spans="11:16">
      <c r="K6729" s="85">
        <v>27</v>
      </c>
      <c r="L6729" s="78"/>
      <c r="M6729" s="78"/>
      <c r="N6729" s="78"/>
      <c r="P6729" s="85"/>
    </row>
    <row r="6730" spans="11:16">
      <c r="K6730" s="85">
        <v>34</v>
      </c>
      <c r="L6730" s="78"/>
      <c r="M6730" s="78"/>
      <c r="N6730" s="78"/>
      <c r="P6730" s="85"/>
    </row>
    <row r="6731" spans="11:16">
      <c r="K6731" s="85">
        <v>36</v>
      </c>
      <c r="L6731" s="78"/>
      <c r="M6731" s="78"/>
      <c r="N6731" s="78"/>
      <c r="P6731" s="85"/>
    </row>
    <row r="6732" spans="11:16">
      <c r="K6732" s="85">
        <v>25</v>
      </c>
      <c r="L6732" s="78"/>
      <c r="M6732" s="78"/>
      <c r="N6732" s="78"/>
      <c r="P6732" s="85"/>
    </row>
    <row r="6733" spans="11:16">
      <c r="K6733" s="85">
        <v>26</v>
      </c>
      <c r="L6733" s="78"/>
      <c r="M6733" s="78"/>
      <c r="N6733" s="78"/>
      <c r="P6733" s="85"/>
    </row>
    <row r="6734" spans="11:16">
      <c r="K6734" s="85">
        <v>27</v>
      </c>
      <c r="L6734" s="78"/>
      <c r="M6734" s="78"/>
      <c r="N6734" s="78"/>
      <c r="P6734" s="85"/>
    </row>
    <row r="6735" spans="11:16">
      <c r="K6735" s="85">
        <v>28</v>
      </c>
      <c r="L6735" s="78"/>
      <c r="M6735" s="78"/>
      <c r="N6735" s="78"/>
      <c r="P6735" s="85"/>
    </row>
    <row r="6736" spans="11:16">
      <c r="K6736" s="85">
        <v>29</v>
      </c>
      <c r="L6736" s="78"/>
      <c r="M6736" s="78"/>
      <c r="N6736" s="78"/>
      <c r="P6736" s="85"/>
    </row>
    <row r="6737" spans="11:16">
      <c r="K6737" s="85">
        <v>30</v>
      </c>
      <c r="L6737" s="78"/>
      <c r="M6737" s="78"/>
      <c r="N6737" s="78"/>
      <c r="P6737" s="85"/>
    </row>
    <row r="6738" spans="11:16">
      <c r="K6738" s="85">
        <v>31</v>
      </c>
      <c r="L6738" s="78"/>
      <c r="M6738" s="78"/>
      <c r="N6738" s="78"/>
      <c r="P6738" s="85"/>
    </row>
    <row r="6739" spans="11:16">
      <c r="K6739" s="85">
        <v>32</v>
      </c>
      <c r="L6739" s="78"/>
      <c r="M6739" s="78"/>
      <c r="N6739" s="78"/>
      <c r="P6739" s="85"/>
    </row>
    <row r="6740" spans="11:16">
      <c r="K6740" s="85">
        <v>33</v>
      </c>
      <c r="L6740" s="78"/>
      <c r="M6740" s="78"/>
      <c r="N6740" s="78"/>
      <c r="P6740" s="85"/>
    </row>
    <row r="6741" spans="11:16">
      <c r="K6741" s="85">
        <v>34</v>
      </c>
      <c r="L6741" s="78"/>
      <c r="M6741" s="78"/>
      <c r="N6741" s="78"/>
      <c r="P6741" s="85"/>
    </row>
    <row r="6742" spans="11:16">
      <c r="K6742" s="85">
        <v>35</v>
      </c>
      <c r="L6742" s="78"/>
      <c r="M6742" s="78"/>
      <c r="N6742" s="78"/>
      <c r="P6742" s="85"/>
    </row>
    <row r="6743" spans="11:16">
      <c r="K6743" s="85">
        <v>36</v>
      </c>
      <c r="L6743" s="78"/>
      <c r="M6743" s="78"/>
      <c r="N6743" s="78"/>
      <c r="P6743" s="85"/>
    </row>
    <row r="6744" spans="11:16">
      <c r="K6744" s="85">
        <v>25</v>
      </c>
      <c r="L6744" s="78"/>
      <c r="M6744" s="78"/>
      <c r="N6744" s="78"/>
      <c r="P6744" s="85"/>
    </row>
    <row r="6745" spans="11:16">
      <c r="K6745" s="85">
        <v>26</v>
      </c>
      <c r="L6745" s="78"/>
      <c r="M6745" s="78"/>
      <c r="N6745" s="78"/>
      <c r="P6745" s="85"/>
    </row>
    <row r="6746" spans="11:16">
      <c r="K6746" s="85">
        <v>27</v>
      </c>
      <c r="L6746" s="78"/>
      <c r="M6746" s="78"/>
      <c r="N6746" s="78"/>
      <c r="P6746" s="85"/>
    </row>
    <row r="6747" spans="11:16">
      <c r="K6747" s="85">
        <v>28</v>
      </c>
      <c r="L6747" s="78"/>
      <c r="M6747" s="78"/>
      <c r="N6747" s="78"/>
      <c r="P6747" s="85"/>
    </row>
    <row r="6748" spans="11:16">
      <c r="K6748" s="85">
        <v>29</v>
      </c>
      <c r="L6748" s="78"/>
      <c r="M6748" s="78"/>
      <c r="N6748" s="78"/>
      <c r="P6748" s="85"/>
    </row>
    <row r="6749" spans="11:16">
      <c r="K6749" s="85">
        <v>30</v>
      </c>
      <c r="L6749" s="78"/>
      <c r="M6749" s="78"/>
      <c r="N6749" s="78"/>
      <c r="P6749" s="85"/>
    </row>
    <row r="6750" spans="11:16">
      <c r="K6750" s="85">
        <v>31</v>
      </c>
      <c r="L6750" s="78"/>
      <c r="M6750" s="78"/>
      <c r="N6750" s="78"/>
      <c r="P6750" s="85"/>
    </row>
    <row r="6751" spans="11:16">
      <c r="K6751" s="85">
        <v>32</v>
      </c>
      <c r="L6751" s="78"/>
      <c r="M6751" s="78"/>
      <c r="N6751" s="78"/>
      <c r="P6751" s="85"/>
    </row>
    <row r="6752" spans="11:16">
      <c r="K6752" s="85">
        <v>33</v>
      </c>
      <c r="L6752" s="78"/>
      <c r="M6752" s="78"/>
      <c r="N6752" s="78"/>
      <c r="P6752" s="85"/>
    </row>
    <row r="6753" spans="11:16">
      <c r="K6753" s="85">
        <v>34</v>
      </c>
      <c r="L6753" s="78"/>
      <c r="M6753" s="78"/>
      <c r="N6753" s="78"/>
      <c r="P6753" s="85"/>
    </row>
    <row r="6754" spans="11:16">
      <c r="K6754" s="85">
        <v>35</v>
      </c>
      <c r="L6754" s="78"/>
      <c r="M6754" s="78"/>
      <c r="N6754" s="78"/>
      <c r="P6754" s="85"/>
    </row>
    <row r="6755" spans="11:16">
      <c r="K6755" s="85">
        <v>36</v>
      </c>
      <c r="L6755" s="78"/>
      <c r="M6755" s="78"/>
      <c r="N6755" s="78"/>
      <c r="P6755" s="85"/>
    </row>
    <row r="6756" spans="11:16">
      <c r="K6756" s="85">
        <v>25</v>
      </c>
      <c r="L6756" s="78"/>
      <c r="M6756" s="78"/>
      <c r="N6756" s="78"/>
      <c r="P6756" s="85"/>
    </row>
    <row r="6757" spans="11:16">
      <c r="K6757" s="85">
        <v>27</v>
      </c>
      <c r="L6757" s="78"/>
      <c r="M6757" s="78"/>
      <c r="N6757" s="78"/>
      <c r="P6757" s="85"/>
    </row>
    <row r="6758" spans="11:16">
      <c r="K6758" s="85">
        <v>28</v>
      </c>
      <c r="L6758" s="78"/>
      <c r="M6758" s="78"/>
      <c r="N6758" s="78"/>
      <c r="P6758" s="85"/>
    </row>
    <row r="6759" spans="11:16">
      <c r="K6759" s="85">
        <v>31</v>
      </c>
      <c r="L6759" s="78"/>
      <c r="M6759" s="78"/>
      <c r="N6759" s="78"/>
      <c r="P6759" s="85"/>
    </row>
    <row r="6760" spans="11:16">
      <c r="K6760" s="85">
        <v>33</v>
      </c>
      <c r="L6760" s="78"/>
      <c r="M6760" s="78"/>
      <c r="N6760" s="78"/>
      <c r="P6760" s="85"/>
    </row>
    <row r="6761" spans="11:16">
      <c r="K6761" s="85">
        <v>34</v>
      </c>
      <c r="L6761" s="78"/>
      <c r="M6761" s="78"/>
      <c r="N6761" s="78"/>
      <c r="P6761" s="85"/>
    </row>
    <row r="6762" spans="11:16">
      <c r="K6762" s="85">
        <v>35</v>
      </c>
      <c r="L6762" s="78"/>
      <c r="M6762" s="78"/>
      <c r="N6762" s="78"/>
      <c r="P6762" s="85"/>
    </row>
    <row r="6763" spans="11:16">
      <c r="K6763" s="85">
        <v>25</v>
      </c>
      <c r="L6763" s="78"/>
      <c r="M6763" s="78"/>
      <c r="N6763" s="78"/>
      <c r="P6763" s="85"/>
    </row>
    <row r="6764" spans="11:16">
      <c r="K6764" s="85">
        <v>27</v>
      </c>
      <c r="L6764" s="78"/>
      <c r="M6764" s="78"/>
      <c r="N6764" s="78"/>
      <c r="P6764" s="85"/>
    </row>
    <row r="6765" spans="11:16">
      <c r="K6765" s="85">
        <v>31</v>
      </c>
      <c r="L6765" s="78"/>
      <c r="M6765" s="78"/>
      <c r="N6765" s="78"/>
      <c r="P6765" s="85"/>
    </row>
    <row r="6766" spans="11:16">
      <c r="K6766" s="85">
        <v>32</v>
      </c>
      <c r="L6766" s="78"/>
      <c r="M6766" s="78"/>
      <c r="N6766" s="78"/>
      <c r="P6766" s="85"/>
    </row>
    <row r="6767" spans="11:16">
      <c r="K6767" s="85">
        <v>33</v>
      </c>
      <c r="L6767" s="78"/>
      <c r="M6767" s="78"/>
      <c r="N6767" s="78"/>
      <c r="P6767" s="85"/>
    </row>
    <row r="6768" spans="11:16">
      <c r="K6768" s="85">
        <v>34</v>
      </c>
      <c r="L6768" s="78"/>
      <c r="M6768" s="78"/>
      <c r="N6768" s="78"/>
      <c r="P6768" s="85"/>
    </row>
    <row r="6769" spans="11:16">
      <c r="K6769" s="85">
        <v>35</v>
      </c>
      <c r="L6769" s="78"/>
      <c r="M6769" s="78"/>
      <c r="N6769" s="78"/>
      <c r="P6769" s="85"/>
    </row>
    <row r="6770" spans="11:16">
      <c r="K6770" s="85">
        <v>36</v>
      </c>
      <c r="L6770" s="78"/>
      <c r="M6770" s="78"/>
      <c r="N6770" s="78"/>
      <c r="P6770" s="85"/>
    </row>
    <row r="6771" spans="11:16">
      <c r="K6771" s="85">
        <v>27</v>
      </c>
      <c r="L6771" s="78"/>
      <c r="M6771" s="78"/>
      <c r="N6771" s="78"/>
      <c r="P6771" s="85"/>
    </row>
    <row r="6772" spans="11:16">
      <c r="K6772" s="85">
        <v>31</v>
      </c>
      <c r="L6772" s="78"/>
      <c r="M6772" s="78"/>
      <c r="N6772" s="78"/>
      <c r="P6772" s="85"/>
    </row>
    <row r="6773" spans="11:16">
      <c r="K6773" s="85">
        <v>33</v>
      </c>
      <c r="L6773" s="78"/>
      <c r="M6773" s="78"/>
      <c r="N6773" s="78"/>
      <c r="P6773" s="85"/>
    </row>
    <row r="6774" spans="11:16">
      <c r="K6774" s="85">
        <v>34</v>
      </c>
      <c r="L6774" s="78"/>
      <c r="M6774" s="78"/>
      <c r="N6774" s="78"/>
      <c r="P6774" s="85"/>
    </row>
    <row r="6775" spans="11:16">
      <c r="K6775" s="85">
        <v>35</v>
      </c>
      <c r="L6775" s="78"/>
      <c r="M6775" s="78"/>
      <c r="N6775" s="78"/>
      <c r="P6775" s="85"/>
    </row>
    <row r="6776" spans="11:16">
      <c r="K6776" s="85">
        <v>25</v>
      </c>
      <c r="L6776" s="78"/>
      <c r="M6776" s="78"/>
      <c r="N6776" s="78"/>
      <c r="P6776" s="85"/>
    </row>
    <row r="6777" spans="11:16">
      <c r="K6777" s="85">
        <v>27</v>
      </c>
      <c r="L6777" s="78"/>
      <c r="M6777" s="78"/>
      <c r="N6777" s="78"/>
      <c r="P6777" s="85"/>
    </row>
    <row r="6778" spans="11:16">
      <c r="K6778" s="85">
        <v>31</v>
      </c>
      <c r="L6778" s="78"/>
      <c r="M6778" s="78"/>
      <c r="N6778" s="78"/>
      <c r="P6778" s="85"/>
    </row>
    <row r="6779" spans="11:16">
      <c r="K6779" s="85">
        <v>32</v>
      </c>
      <c r="L6779" s="78"/>
      <c r="M6779" s="78"/>
      <c r="N6779" s="78"/>
      <c r="P6779" s="85"/>
    </row>
    <row r="6780" spans="11:16">
      <c r="K6780" s="85">
        <v>33</v>
      </c>
      <c r="L6780" s="78"/>
      <c r="M6780" s="78"/>
      <c r="N6780" s="78"/>
      <c r="P6780" s="85"/>
    </row>
    <row r="6781" spans="11:16">
      <c r="K6781" s="85">
        <v>34</v>
      </c>
      <c r="L6781" s="78"/>
      <c r="M6781" s="78"/>
      <c r="N6781" s="78"/>
      <c r="P6781" s="85"/>
    </row>
    <row r="6782" spans="11:16">
      <c r="K6782" s="85">
        <v>35</v>
      </c>
      <c r="L6782" s="78"/>
      <c r="M6782" s="78"/>
      <c r="N6782" s="78"/>
      <c r="P6782" s="85"/>
    </row>
    <row r="6783" spans="11:16">
      <c r="K6783" s="85">
        <v>27</v>
      </c>
      <c r="L6783" s="78"/>
      <c r="M6783" s="78"/>
      <c r="N6783" s="78"/>
      <c r="P6783" s="85"/>
    </row>
    <row r="6784" spans="11:16">
      <c r="K6784" s="85">
        <v>31</v>
      </c>
      <c r="L6784" s="78"/>
      <c r="M6784" s="78"/>
      <c r="N6784" s="78"/>
      <c r="P6784" s="85"/>
    </row>
    <row r="6785" spans="11:16">
      <c r="K6785" s="85">
        <v>32</v>
      </c>
      <c r="L6785" s="78"/>
      <c r="M6785" s="78"/>
      <c r="N6785" s="78"/>
      <c r="P6785" s="85"/>
    </row>
    <row r="6786" spans="11:16">
      <c r="K6786" s="85">
        <v>34</v>
      </c>
      <c r="L6786" s="78"/>
      <c r="M6786" s="78"/>
      <c r="N6786" s="78"/>
      <c r="P6786" s="85"/>
    </row>
    <row r="6787" spans="11:16">
      <c r="K6787" s="85">
        <v>35</v>
      </c>
      <c r="L6787" s="78"/>
      <c r="M6787" s="78"/>
      <c r="N6787" s="78"/>
      <c r="P6787" s="85"/>
    </row>
    <row r="6788" spans="11:16">
      <c r="K6788" s="85">
        <v>36</v>
      </c>
      <c r="L6788" s="78"/>
      <c r="M6788" s="78"/>
      <c r="N6788" s="78"/>
      <c r="P6788" s="85"/>
    </row>
    <row r="6789" spans="11:16">
      <c r="K6789" s="85">
        <v>25</v>
      </c>
      <c r="L6789" s="78"/>
      <c r="M6789" s="78"/>
      <c r="N6789" s="78"/>
      <c r="P6789" s="85"/>
    </row>
    <row r="6790" spans="11:16">
      <c r="K6790" s="85">
        <v>26</v>
      </c>
      <c r="L6790" s="78"/>
      <c r="M6790" s="78"/>
      <c r="N6790" s="78"/>
      <c r="P6790" s="85"/>
    </row>
    <row r="6791" spans="11:16">
      <c r="K6791" s="85">
        <v>27</v>
      </c>
      <c r="L6791" s="78"/>
      <c r="M6791" s="78"/>
      <c r="N6791" s="78"/>
      <c r="P6791" s="85"/>
    </row>
    <row r="6792" spans="11:16">
      <c r="K6792" s="85">
        <v>29</v>
      </c>
      <c r="L6792" s="78"/>
      <c r="M6792" s="78"/>
      <c r="N6792" s="78"/>
      <c r="P6792" s="85"/>
    </row>
    <row r="6793" spans="11:16">
      <c r="K6793" s="85">
        <v>30</v>
      </c>
      <c r="L6793" s="78"/>
      <c r="M6793" s="78"/>
      <c r="N6793" s="78"/>
      <c r="P6793" s="85"/>
    </row>
    <row r="6794" spans="11:16">
      <c r="K6794" s="85">
        <v>31</v>
      </c>
      <c r="L6794" s="78"/>
      <c r="M6794" s="78"/>
      <c r="N6794" s="78"/>
      <c r="P6794" s="85"/>
    </row>
    <row r="6795" spans="11:16">
      <c r="K6795" s="85">
        <v>33</v>
      </c>
      <c r="L6795" s="78"/>
      <c r="M6795" s="78"/>
      <c r="N6795" s="78"/>
      <c r="P6795" s="85"/>
    </row>
    <row r="6796" spans="11:16">
      <c r="K6796" s="85">
        <v>34</v>
      </c>
      <c r="L6796" s="78"/>
      <c r="M6796" s="78"/>
      <c r="N6796" s="78"/>
      <c r="P6796" s="85"/>
    </row>
    <row r="6797" spans="11:16">
      <c r="K6797" s="85">
        <v>35</v>
      </c>
      <c r="L6797" s="78"/>
      <c r="M6797" s="78"/>
      <c r="N6797" s="78"/>
      <c r="P6797" s="85"/>
    </row>
    <row r="6798" spans="11:16">
      <c r="K6798" s="85">
        <v>25</v>
      </c>
      <c r="L6798" s="78"/>
      <c r="M6798" s="78"/>
      <c r="N6798" s="78"/>
      <c r="P6798" s="85"/>
    </row>
    <row r="6799" spans="11:16">
      <c r="K6799" s="85">
        <v>26</v>
      </c>
      <c r="L6799" s="78"/>
      <c r="M6799" s="78"/>
      <c r="N6799" s="78"/>
      <c r="P6799" s="85"/>
    </row>
    <row r="6800" spans="11:16">
      <c r="K6800" s="85">
        <v>27</v>
      </c>
      <c r="L6800" s="78"/>
      <c r="M6800" s="78"/>
      <c r="N6800" s="78"/>
      <c r="P6800" s="85"/>
    </row>
    <row r="6801" spans="11:16">
      <c r="K6801" s="85">
        <v>28</v>
      </c>
      <c r="L6801" s="78"/>
      <c r="M6801" s="78"/>
      <c r="N6801" s="78"/>
      <c r="P6801" s="85"/>
    </row>
    <row r="6802" spans="11:16">
      <c r="K6802" s="85">
        <v>29</v>
      </c>
      <c r="L6802" s="78"/>
      <c r="M6802" s="78"/>
      <c r="N6802" s="78"/>
      <c r="P6802" s="85"/>
    </row>
    <row r="6803" spans="11:16">
      <c r="K6803" s="85">
        <v>30</v>
      </c>
      <c r="L6803" s="78"/>
      <c r="M6803" s="78"/>
      <c r="N6803" s="78"/>
      <c r="P6803" s="85"/>
    </row>
    <row r="6804" spans="11:16">
      <c r="K6804" s="85">
        <v>31</v>
      </c>
      <c r="L6804" s="78"/>
      <c r="M6804" s="78"/>
      <c r="N6804" s="78"/>
      <c r="P6804" s="85"/>
    </row>
    <row r="6805" spans="11:16">
      <c r="K6805" s="85">
        <v>32</v>
      </c>
      <c r="L6805" s="78"/>
      <c r="M6805" s="78"/>
      <c r="N6805" s="78"/>
      <c r="P6805" s="85"/>
    </row>
    <row r="6806" spans="11:16">
      <c r="K6806" s="85">
        <v>33</v>
      </c>
      <c r="L6806" s="78"/>
      <c r="M6806" s="78"/>
      <c r="N6806" s="78"/>
      <c r="P6806" s="85"/>
    </row>
    <row r="6807" spans="11:16">
      <c r="K6807" s="85">
        <v>34</v>
      </c>
      <c r="L6807" s="78"/>
      <c r="M6807" s="78"/>
      <c r="N6807" s="78"/>
      <c r="P6807" s="85"/>
    </row>
    <row r="6808" spans="11:16">
      <c r="K6808" s="85">
        <v>35</v>
      </c>
      <c r="L6808" s="78"/>
      <c r="M6808" s="78"/>
      <c r="N6808" s="78"/>
      <c r="P6808" s="85"/>
    </row>
    <row r="6809" spans="11:16">
      <c r="K6809" s="85">
        <v>36</v>
      </c>
      <c r="L6809" s="78"/>
      <c r="M6809" s="78"/>
      <c r="N6809" s="78"/>
      <c r="P6809" s="85"/>
    </row>
    <row r="6810" spans="11:16">
      <c r="K6810" s="85">
        <v>27</v>
      </c>
      <c r="L6810" s="78"/>
      <c r="M6810" s="78"/>
      <c r="N6810" s="78"/>
      <c r="P6810" s="85"/>
    </row>
    <row r="6811" spans="11:16">
      <c r="K6811" s="85">
        <v>30</v>
      </c>
      <c r="L6811" s="78"/>
      <c r="M6811" s="78"/>
      <c r="N6811" s="78"/>
      <c r="P6811" s="85"/>
    </row>
    <row r="6812" spans="11:16">
      <c r="K6812" s="85">
        <v>31</v>
      </c>
      <c r="L6812" s="78"/>
      <c r="M6812" s="78"/>
      <c r="N6812" s="78"/>
      <c r="P6812" s="85"/>
    </row>
    <row r="6813" spans="11:16">
      <c r="K6813" s="85">
        <v>35</v>
      </c>
      <c r="L6813" s="78"/>
      <c r="M6813" s="78"/>
      <c r="N6813" s="78"/>
      <c r="P6813" s="85"/>
    </row>
    <row r="6814" spans="11:16">
      <c r="K6814" s="85">
        <v>36</v>
      </c>
      <c r="L6814" s="78"/>
      <c r="M6814" s="78"/>
      <c r="N6814" s="78"/>
      <c r="P6814" s="85"/>
    </row>
    <row r="6815" spans="11:16">
      <c r="K6815" s="85">
        <v>25</v>
      </c>
      <c r="L6815" s="78"/>
      <c r="M6815" s="78"/>
      <c r="N6815" s="78"/>
      <c r="P6815" s="85"/>
    </row>
    <row r="6816" spans="11:16">
      <c r="K6816" s="85">
        <v>27</v>
      </c>
      <c r="L6816" s="78"/>
      <c r="M6816" s="78"/>
      <c r="N6816" s="78"/>
      <c r="P6816" s="85"/>
    </row>
    <row r="6817" spans="11:16">
      <c r="K6817" s="85">
        <v>32</v>
      </c>
      <c r="L6817" s="78"/>
      <c r="M6817" s="78"/>
      <c r="N6817" s="78"/>
      <c r="P6817" s="85"/>
    </row>
    <row r="6818" spans="11:16">
      <c r="K6818" s="85">
        <v>34</v>
      </c>
      <c r="L6818" s="78"/>
      <c r="M6818" s="78"/>
      <c r="N6818" s="78"/>
      <c r="P6818" s="85"/>
    </row>
    <row r="6819" spans="11:16">
      <c r="K6819" s="85">
        <v>25</v>
      </c>
      <c r="L6819" s="78"/>
      <c r="M6819" s="78"/>
      <c r="N6819" s="78"/>
      <c r="P6819" s="85"/>
    </row>
    <row r="6820" spans="11:16">
      <c r="K6820" s="85">
        <v>26</v>
      </c>
      <c r="L6820" s="78"/>
      <c r="M6820" s="78"/>
      <c r="N6820" s="78"/>
      <c r="P6820" s="85"/>
    </row>
    <row r="6821" spans="11:16">
      <c r="K6821" s="85">
        <v>27</v>
      </c>
      <c r="L6821" s="78"/>
      <c r="M6821" s="78"/>
      <c r="N6821" s="78"/>
      <c r="P6821" s="85"/>
    </row>
    <row r="6822" spans="11:16">
      <c r="K6822" s="85">
        <v>29</v>
      </c>
      <c r="L6822" s="78"/>
      <c r="M6822" s="78"/>
      <c r="N6822" s="78"/>
      <c r="P6822" s="85"/>
    </row>
    <row r="6823" spans="11:16">
      <c r="K6823" s="85">
        <v>30</v>
      </c>
      <c r="L6823" s="78"/>
      <c r="M6823" s="78"/>
      <c r="N6823" s="78"/>
      <c r="P6823" s="85"/>
    </row>
    <row r="6824" spans="11:16">
      <c r="K6824" s="85">
        <v>31</v>
      </c>
      <c r="L6824" s="78"/>
      <c r="M6824" s="78"/>
      <c r="N6824" s="78"/>
      <c r="P6824" s="85"/>
    </row>
    <row r="6825" spans="11:16">
      <c r="K6825" s="85">
        <v>32</v>
      </c>
      <c r="L6825" s="78"/>
      <c r="M6825" s="78"/>
      <c r="N6825" s="78"/>
      <c r="P6825" s="85"/>
    </row>
    <row r="6826" spans="11:16">
      <c r="K6826" s="85">
        <v>33</v>
      </c>
      <c r="L6826" s="78"/>
      <c r="M6826" s="78"/>
      <c r="N6826" s="78"/>
      <c r="P6826" s="85"/>
    </row>
    <row r="6827" spans="11:16">
      <c r="K6827" s="85">
        <v>34</v>
      </c>
      <c r="L6827" s="78"/>
      <c r="M6827" s="78"/>
      <c r="N6827" s="78"/>
      <c r="P6827" s="85"/>
    </row>
    <row r="6828" spans="11:16">
      <c r="K6828" s="85">
        <v>35</v>
      </c>
      <c r="L6828" s="78"/>
      <c r="M6828" s="78"/>
      <c r="N6828" s="78"/>
      <c r="P6828" s="85"/>
    </row>
    <row r="6829" spans="11:16">
      <c r="K6829" s="85">
        <v>36</v>
      </c>
      <c r="L6829" s="78"/>
      <c r="M6829" s="78"/>
      <c r="N6829" s="78"/>
      <c r="P6829" s="85"/>
    </row>
    <row r="6830" spans="11:16">
      <c r="K6830" s="85">
        <v>25</v>
      </c>
      <c r="L6830" s="78"/>
      <c r="M6830" s="78"/>
      <c r="N6830" s="78"/>
      <c r="P6830" s="85"/>
    </row>
    <row r="6831" spans="11:16">
      <c r="K6831" s="85">
        <v>26</v>
      </c>
      <c r="L6831" s="78"/>
      <c r="M6831" s="78"/>
      <c r="N6831" s="78"/>
      <c r="P6831" s="85"/>
    </row>
    <row r="6832" spans="11:16">
      <c r="K6832" s="85">
        <v>27</v>
      </c>
      <c r="L6832" s="78"/>
      <c r="M6832" s="78"/>
      <c r="N6832" s="78"/>
      <c r="P6832" s="85"/>
    </row>
    <row r="6833" spans="11:16">
      <c r="K6833" s="85">
        <v>28</v>
      </c>
      <c r="L6833" s="78"/>
      <c r="M6833" s="78"/>
      <c r="N6833" s="78"/>
      <c r="P6833" s="85"/>
    </row>
    <row r="6834" spans="11:16">
      <c r="K6834" s="85">
        <v>30</v>
      </c>
      <c r="L6834" s="78"/>
      <c r="M6834" s="78"/>
      <c r="N6834" s="78"/>
      <c r="P6834" s="85"/>
    </row>
    <row r="6835" spans="11:16">
      <c r="K6835" s="85">
        <v>31</v>
      </c>
      <c r="L6835" s="78"/>
      <c r="M6835" s="78"/>
      <c r="N6835" s="78"/>
      <c r="P6835" s="85"/>
    </row>
    <row r="6836" spans="11:16">
      <c r="K6836" s="85">
        <v>32</v>
      </c>
      <c r="L6836" s="78"/>
      <c r="M6836" s="78"/>
      <c r="N6836" s="78"/>
      <c r="P6836" s="85"/>
    </row>
    <row r="6837" spans="11:16">
      <c r="K6837" s="85">
        <v>33</v>
      </c>
      <c r="L6837" s="78"/>
      <c r="M6837" s="78"/>
      <c r="N6837" s="78"/>
      <c r="P6837" s="85"/>
    </row>
    <row r="6838" spans="11:16">
      <c r="K6838" s="85">
        <v>34</v>
      </c>
      <c r="L6838" s="78"/>
      <c r="M6838" s="78"/>
      <c r="N6838" s="78"/>
      <c r="P6838" s="85"/>
    </row>
    <row r="6839" spans="11:16">
      <c r="K6839" s="85">
        <v>35</v>
      </c>
      <c r="L6839" s="78"/>
      <c r="M6839" s="78"/>
      <c r="N6839" s="78"/>
      <c r="P6839" s="85"/>
    </row>
    <row r="6840" spans="11:16">
      <c r="K6840" s="85">
        <v>36</v>
      </c>
      <c r="L6840" s="78"/>
      <c r="M6840" s="78"/>
      <c r="N6840" s="78"/>
      <c r="P6840" s="85"/>
    </row>
    <row r="6841" spans="11:16">
      <c r="K6841" s="85">
        <v>34</v>
      </c>
      <c r="L6841" s="78"/>
      <c r="M6841" s="78"/>
      <c r="N6841" s="78"/>
      <c r="P6841" s="85"/>
    </row>
    <row r="6842" spans="11:16">
      <c r="K6842" s="85">
        <v>35</v>
      </c>
      <c r="L6842" s="78"/>
      <c r="M6842" s="78"/>
      <c r="N6842" s="78"/>
      <c r="P6842" s="85"/>
    </row>
    <row r="6843" spans="11:16">
      <c r="K6843" s="85">
        <v>25</v>
      </c>
      <c r="L6843" s="78"/>
      <c r="M6843" s="78"/>
      <c r="N6843" s="78"/>
      <c r="P6843" s="85"/>
    </row>
    <row r="6844" spans="11:16">
      <c r="K6844" s="85">
        <v>26</v>
      </c>
      <c r="L6844" s="78"/>
      <c r="M6844" s="78"/>
      <c r="N6844" s="78"/>
      <c r="P6844" s="85"/>
    </row>
    <row r="6845" spans="11:16">
      <c r="K6845" s="85">
        <v>31</v>
      </c>
      <c r="L6845" s="78"/>
      <c r="M6845" s="78"/>
      <c r="N6845" s="78"/>
      <c r="P6845" s="85"/>
    </row>
    <row r="6846" spans="11:16">
      <c r="K6846" s="85">
        <v>34</v>
      </c>
      <c r="L6846" s="78"/>
      <c r="M6846" s="78"/>
      <c r="N6846" s="78"/>
      <c r="P6846" s="85"/>
    </row>
    <row r="6847" spans="11:16">
      <c r="K6847" s="85">
        <v>35</v>
      </c>
      <c r="L6847" s="78"/>
      <c r="M6847" s="78"/>
      <c r="N6847" s="78"/>
      <c r="P6847" s="85"/>
    </row>
    <row r="6848" spans="11:16">
      <c r="K6848" s="85">
        <v>27</v>
      </c>
      <c r="L6848" s="78"/>
      <c r="M6848" s="78"/>
      <c r="N6848" s="78"/>
      <c r="P6848" s="85"/>
    </row>
    <row r="6849" spans="11:16">
      <c r="K6849" s="85">
        <v>31</v>
      </c>
      <c r="L6849" s="78"/>
      <c r="M6849" s="78"/>
      <c r="N6849" s="78"/>
      <c r="P6849" s="85"/>
    </row>
    <row r="6850" spans="11:16">
      <c r="K6850" s="85">
        <v>34</v>
      </c>
      <c r="L6850" s="78"/>
      <c r="M6850" s="78"/>
      <c r="N6850" s="78"/>
      <c r="P6850" s="85"/>
    </row>
    <row r="6851" spans="11:16">
      <c r="K6851" s="85">
        <v>35</v>
      </c>
      <c r="L6851" s="78"/>
      <c r="M6851" s="78"/>
      <c r="N6851" s="78"/>
      <c r="P6851" s="85"/>
    </row>
    <row r="6852" spans="11:16">
      <c r="K6852" s="85">
        <v>26</v>
      </c>
      <c r="L6852" s="78"/>
      <c r="M6852" s="78"/>
      <c r="N6852" s="78"/>
      <c r="P6852" s="85"/>
    </row>
    <row r="6853" spans="11:16">
      <c r="K6853" s="85">
        <v>28</v>
      </c>
      <c r="L6853" s="78"/>
      <c r="M6853" s="78"/>
      <c r="N6853" s="78"/>
      <c r="P6853" s="85"/>
    </row>
    <row r="6854" spans="11:16">
      <c r="K6854" s="85">
        <v>34</v>
      </c>
      <c r="L6854" s="78"/>
      <c r="M6854" s="78"/>
      <c r="N6854" s="78"/>
      <c r="P6854" s="85"/>
    </row>
    <row r="6855" spans="11:16">
      <c r="K6855" s="85">
        <v>35</v>
      </c>
      <c r="L6855" s="78"/>
      <c r="M6855" s="78"/>
      <c r="N6855" s="78"/>
      <c r="P6855" s="85"/>
    </row>
    <row r="6856" spans="11:16">
      <c r="K6856" s="85">
        <v>36</v>
      </c>
      <c r="L6856" s="78"/>
      <c r="M6856" s="78"/>
      <c r="N6856" s="78"/>
      <c r="P6856" s="85"/>
    </row>
    <row r="6857" spans="11:16">
      <c r="K6857" s="85">
        <v>26</v>
      </c>
      <c r="L6857" s="78"/>
      <c r="M6857" s="78"/>
      <c r="N6857" s="78"/>
      <c r="P6857" s="85"/>
    </row>
    <row r="6858" spans="11:16">
      <c r="K6858" s="85">
        <v>27</v>
      </c>
      <c r="L6858" s="78"/>
      <c r="M6858" s="78"/>
      <c r="N6858" s="78"/>
      <c r="P6858" s="85"/>
    </row>
    <row r="6859" spans="11:16">
      <c r="K6859" s="85">
        <v>28</v>
      </c>
      <c r="L6859" s="78"/>
      <c r="M6859" s="78"/>
      <c r="N6859" s="78"/>
      <c r="P6859" s="85"/>
    </row>
    <row r="6860" spans="11:16">
      <c r="K6860" s="85">
        <v>30</v>
      </c>
      <c r="L6860" s="78"/>
      <c r="M6860" s="78"/>
      <c r="N6860" s="78"/>
      <c r="P6860" s="85"/>
    </row>
    <row r="6861" spans="11:16">
      <c r="K6861" s="85">
        <v>31</v>
      </c>
      <c r="L6861" s="78"/>
      <c r="M6861" s="78"/>
      <c r="N6861" s="78"/>
      <c r="P6861" s="85"/>
    </row>
    <row r="6862" spans="11:16">
      <c r="K6862" s="85">
        <v>33</v>
      </c>
      <c r="L6862" s="78"/>
      <c r="M6862" s="78"/>
      <c r="N6862" s="78"/>
      <c r="P6862" s="85"/>
    </row>
    <row r="6863" spans="11:16">
      <c r="K6863" s="85">
        <v>34</v>
      </c>
      <c r="L6863" s="78"/>
      <c r="M6863" s="78"/>
      <c r="N6863" s="78"/>
      <c r="P6863" s="85"/>
    </row>
    <row r="6864" spans="11:16">
      <c r="K6864" s="85">
        <v>35</v>
      </c>
      <c r="L6864" s="78"/>
      <c r="M6864" s="78"/>
      <c r="N6864" s="78"/>
      <c r="P6864" s="85"/>
    </row>
    <row r="6865" spans="11:16">
      <c r="K6865" s="85">
        <v>25</v>
      </c>
      <c r="L6865" s="78"/>
      <c r="M6865" s="78"/>
      <c r="N6865" s="78"/>
      <c r="P6865" s="85"/>
    </row>
    <row r="6866" spans="11:16">
      <c r="K6866" s="85">
        <v>26</v>
      </c>
      <c r="L6866" s="78"/>
      <c r="M6866" s="78"/>
      <c r="N6866" s="78"/>
      <c r="P6866" s="85"/>
    </row>
    <row r="6867" spans="11:16">
      <c r="K6867" s="85">
        <v>27</v>
      </c>
      <c r="L6867" s="78"/>
      <c r="M6867" s="78"/>
      <c r="N6867" s="78"/>
      <c r="P6867" s="85"/>
    </row>
    <row r="6868" spans="11:16">
      <c r="K6868" s="85">
        <v>28</v>
      </c>
      <c r="L6868" s="78"/>
      <c r="M6868" s="78"/>
      <c r="N6868" s="78"/>
      <c r="P6868" s="85"/>
    </row>
    <row r="6869" spans="11:16">
      <c r="K6869" s="85">
        <v>29</v>
      </c>
      <c r="L6869" s="78"/>
      <c r="M6869" s="78"/>
      <c r="N6869" s="78"/>
      <c r="P6869" s="85"/>
    </row>
    <row r="6870" spans="11:16">
      <c r="K6870" s="85">
        <v>30</v>
      </c>
      <c r="L6870" s="78"/>
      <c r="M6870" s="78"/>
      <c r="N6870" s="78"/>
      <c r="P6870" s="85"/>
    </row>
    <row r="6871" spans="11:16">
      <c r="K6871" s="85">
        <v>31</v>
      </c>
      <c r="L6871" s="78"/>
      <c r="M6871" s="78"/>
      <c r="N6871" s="78"/>
      <c r="P6871" s="85"/>
    </row>
    <row r="6872" spans="11:16">
      <c r="K6872" s="85">
        <v>32</v>
      </c>
      <c r="L6872" s="78"/>
      <c r="M6872" s="78"/>
      <c r="N6872" s="78"/>
      <c r="P6872" s="85"/>
    </row>
    <row r="6873" spans="11:16">
      <c r="K6873" s="85">
        <v>33</v>
      </c>
      <c r="L6873" s="78"/>
      <c r="M6873" s="78"/>
      <c r="N6873" s="78"/>
      <c r="P6873" s="85"/>
    </row>
    <row r="6874" spans="11:16">
      <c r="K6874" s="85">
        <v>34</v>
      </c>
      <c r="L6874" s="78"/>
      <c r="M6874" s="78"/>
      <c r="N6874" s="78"/>
      <c r="P6874" s="85"/>
    </row>
    <row r="6875" spans="11:16">
      <c r="K6875" s="85">
        <v>35</v>
      </c>
      <c r="L6875" s="78"/>
      <c r="M6875" s="78"/>
      <c r="N6875" s="78"/>
      <c r="P6875" s="85"/>
    </row>
    <row r="6876" spans="11:16">
      <c r="K6876" s="85">
        <v>25</v>
      </c>
      <c r="L6876" s="78"/>
      <c r="M6876" s="78"/>
      <c r="N6876" s="78"/>
      <c r="P6876" s="85"/>
    </row>
    <row r="6877" spans="11:16">
      <c r="K6877" s="85">
        <v>26</v>
      </c>
      <c r="L6877" s="78"/>
      <c r="M6877" s="78"/>
      <c r="N6877" s="78"/>
      <c r="P6877" s="85"/>
    </row>
    <row r="6878" spans="11:16">
      <c r="K6878" s="85">
        <v>27</v>
      </c>
      <c r="L6878" s="78"/>
      <c r="M6878" s="78"/>
      <c r="N6878" s="78"/>
      <c r="P6878" s="85"/>
    </row>
    <row r="6879" spans="11:16">
      <c r="K6879" s="85">
        <v>28</v>
      </c>
      <c r="L6879" s="78"/>
      <c r="M6879" s="78"/>
      <c r="N6879" s="78"/>
      <c r="P6879" s="85"/>
    </row>
    <row r="6880" spans="11:16">
      <c r="K6880" s="85">
        <v>29</v>
      </c>
      <c r="L6880" s="78"/>
      <c r="M6880" s="78"/>
      <c r="N6880" s="78"/>
      <c r="P6880" s="85"/>
    </row>
    <row r="6881" spans="11:16">
      <c r="K6881" s="85">
        <v>30</v>
      </c>
      <c r="L6881" s="78"/>
      <c r="M6881" s="78"/>
      <c r="N6881" s="78"/>
      <c r="P6881" s="85"/>
    </row>
    <row r="6882" spans="11:16">
      <c r="K6882" s="85">
        <v>34</v>
      </c>
      <c r="L6882" s="78"/>
      <c r="M6882" s="78"/>
      <c r="N6882" s="78"/>
      <c r="P6882" s="85"/>
    </row>
    <row r="6883" spans="11:16">
      <c r="K6883" s="85">
        <v>25</v>
      </c>
      <c r="L6883" s="78"/>
      <c r="M6883" s="78"/>
      <c r="N6883" s="78"/>
      <c r="P6883" s="85"/>
    </row>
    <row r="6884" spans="11:16">
      <c r="K6884" s="85">
        <v>26</v>
      </c>
      <c r="L6884" s="78"/>
      <c r="M6884" s="78"/>
      <c r="N6884" s="78"/>
      <c r="P6884" s="85"/>
    </row>
    <row r="6885" spans="11:16">
      <c r="K6885" s="85">
        <v>27</v>
      </c>
      <c r="L6885" s="78"/>
      <c r="M6885" s="78"/>
      <c r="N6885" s="78"/>
      <c r="P6885" s="85"/>
    </row>
    <row r="6886" spans="11:16">
      <c r="K6886" s="85">
        <v>28</v>
      </c>
      <c r="L6886" s="78"/>
      <c r="M6886" s="78"/>
      <c r="N6886" s="78"/>
      <c r="P6886" s="85"/>
    </row>
    <row r="6887" spans="11:16">
      <c r="K6887" s="85">
        <v>29</v>
      </c>
      <c r="L6887" s="78"/>
      <c r="M6887" s="78"/>
      <c r="N6887" s="78"/>
      <c r="P6887" s="85"/>
    </row>
    <row r="6888" spans="11:16">
      <c r="K6888" s="85">
        <v>30</v>
      </c>
      <c r="L6888" s="78"/>
      <c r="M6888" s="78"/>
      <c r="N6888" s="78"/>
      <c r="P6888" s="85"/>
    </row>
    <row r="6889" spans="11:16">
      <c r="K6889" s="85">
        <v>31</v>
      </c>
      <c r="L6889" s="78"/>
      <c r="M6889" s="78"/>
      <c r="N6889" s="78"/>
      <c r="P6889" s="85"/>
    </row>
    <row r="6890" spans="11:16">
      <c r="K6890" s="85">
        <v>32</v>
      </c>
      <c r="L6890" s="78"/>
      <c r="M6890" s="78"/>
      <c r="N6890" s="78"/>
      <c r="P6890" s="85"/>
    </row>
    <row r="6891" spans="11:16">
      <c r="K6891" s="85">
        <v>34</v>
      </c>
      <c r="L6891" s="78"/>
      <c r="M6891" s="78"/>
      <c r="N6891" s="78"/>
      <c r="P6891" s="85"/>
    </row>
    <row r="6892" spans="11:16">
      <c r="K6892" s="85">
        <v>35</v>
      </c>
      <c r="L6892" s="78"/>
      <c r="M6892" s="78"/>
      <c r="N6892" s="78"/>
      <c r="P6892" s="85"/>
    </row>
    <row r="6893" spans="11:16">
      <c r="K6893" s="85">
        <v>36</v>
      </c>
      <c r="L6893" s="78"/>
      <c r="M6893" s="78"/>
      <c r="N6893" s="78"/>
      <c r="P6893" s="85"/>
    </row>
    <row r="6894" spans="11:16">
      <c r="K6894" s="85">
        <v>25</v>
      </c>
      <c r="L6894" s="78"/>
      <c r="M6894" s="78"/>
      <c r="N6894" s="78"/>
      <c r="P6894" s="85"/>
    </row>
    <row r="6895" spans="11:16">
      <c r="K6895" s="85">
        <v>26</v>
      </c>
      <c r="L6895" s="78"/>
      <c r="M6895" s="78"/>
      <c r="N6895" s="78"/>
      <c r="P6895" s="85"/>
    </row>
    <row r="6896" spans="11:16">
      <c r="K6896" s="85">
        <v>27</v>
      </c>
      <c r="L6896" s="78"/>
      <c r="M6896" s="78"/>
      <c r="N6896" s="78"/>
      <c r="P6896" s="85"/>
    </row>
    <row r="6897" spans="11:16">
      <c r="K6897" s="85">
        <v>28</v>
      </c>
      <c r="L6897" s="78"/>
      <c r="M6897" s="78"/>
      <c r="N6897" s="78"/>
      <c r="P6897" s="85"/>
    </row>
    <row r="6898" spans="11:16">
      <c r="K6898" s="85">
        <v>29</v>
      </c>
      <c r="L6898" s="78"/>
      <c r="M6898" s="78"/>
      <c r="N6898" s="78"/>
      <c r="P6898" s="85"/>
    </row>
    <row r="6899" spans="11:16">
      <c r="K6899" s="85">
        <v>31</v>
      </c>
      <c r="L6899" s="78"/>
      <c r="M6899" s="78"/>
      <c r="N6899" s="78"/>
      <c r="P6899" s="85"/>
    </row>
    <row r="6900" spans="11:16">
      <c r="K6900" s="85">
        <v>32</v>
      </c>
      <c r="L6900" s="78"/>
      <c r="M6900" s="78"/>
      <c r="N6900" s="78"/>
      <c r="P6900" s="85"/>
    </row>
    <row r="6901" spans="11:16">
      <c r="K6901" s="85">
        <v>34</v>
      </c>
      <c r="L6901" s="78"/>
      <c r="M6901" s="78"/>
      <c r="N6901" s="78"/>
      <c r="P6901" s="85"/>
    </row>
    <row r="6902" spans="11:16">
      <c r="K6902" s="85">
        <v>35</v>
      </c>
      <c r="L6902" s="78"/>
      <c r="M6902" s="78"/>
      <c r="N6902" s="78"/>
      <c r="P6902" s="85"/>
    </row>
    <row r="6903" spans="11:16">
      <c r="K6903" s="85">
        <v>25</v>
      </c>
      <c r="L6903" s="78"/>
      <c r="M6903" s="78"/>
      <c r="N6903" s="78"/>
      <c r="P6903" s="85"/>
    </row>
    <row r="6904" spans="11:16">
      <c r="K6904" s="85">
        <v>26</v>
      </c>
      <c r="L6904" s="78"/>
      <c r="M6904" s="78"/>
      <c r="N6904" s="78"/>
      <c r="P6904" s="85"/>
    </row>
    <row r="6905" spans="11:16">
      <c r="K6905" s="85">
        <v>27</v>
      </c>
      <c r="L6905" s="78"/>
      <c r="M6905" s="78"/>
      <c r="N6905" s="78"/>
      <c r="P6905" s="85"/>
    </row>
    <row r="6906" spans="11:16">
      <c r="K6906" s="85">
        <v>28</v>
      </c>
      <c r="L6906" s="78"/>
      <c r="M6906" s="78"/>
      <c r="N6906" s="78"/>
      <c r="P6906" s="85"/>
    </row>
    <row r="6907" spans="11:16">
      <c r="K6907" s="85">
        <v>29</v>
      </c>
      <c r="L6907" s="78"/>
      <c r="M6907" s="78"/>
      <c r="N6907" s="78"/>
      <c r="P6907" s="85"/>
    </row>
    <row r="6908" spans="11:16">
      <c r="K6908" s="85">
        <v>30</v>
      </c>
      <c r="L6908" s="78"/>
      <c r="M6908" s="78"/>
      <c r="N6908" s="78"/>
      <c r="P6908" s="85"/>
    </row>
    <row r="6909" spans="11:16">
      <c r="K6909" s="85">
        <v>31</v>
      </c>
      <c r="L6909" s="78"/>
      <c r="M6909" s="78"/>
      <c r="N6909" s="78"/>
      <c r="P6909" s="85"/>
    </row>
    <row r="6910" spans="11:16">
      <c r="K6910" s="85">
        <v>32</v>
      </c>
      <c r="L6910" s="78"/>
      <c r="M6910" s="78"/>
      <c r="N6910" s="78"/>
      <c r="P6910" s="85"/>
    </row>
    <row r="6911" spans="11:16">
      <c r="K6911" s="85">
        <v>33</v>
      </c>
      <c r="L6911" s="78"/>
      <c r="M6911" s="78"/>
      <c r="N6911" s="78"/>
      <c r="P6911" s="85"/>
    </row>
    <row r="6912" spans="11:16">
      <c r="K6912" s="85">
        <v>34</v>
      </c>
      <c r="L6912" s="78"/>
      <c r="M6912" s="78"/>
      <c r="N6912" s="78"/>
      <c r="P6912" s="85"/>
    </row>
    <row r="6913" spans="11:16">
      <c r="K6913" s="85">
        <v>35</v>
      </c>
      <c r="L6913" s="78"/>
      <c r="M6913" s="78"/>
      <c r="N6913" s="78"/>
      <c r="P6913" s="85"/>
    </row>
    <row r="6914" spans="11:16">
      <c r="K6914" s="85">
        <v>25</v>
      </c>
      <c r="L6914" s="78"/>
      <c r="M6914" s="78"/>
      <c r="N6914" s="78"/>
      <c r="P6914" s="85"/>
    </row>
    <row r="6915" spans="11:16">
      <c r="K6915" s="85">
        <v>26</v>
      </c>
      <c r="L6915" s="78"/>
      <c r="M6915" s="78"/>
      <c r="N6915" s="78"/>
      <c r="P6915" s="85"/>
    </row>
    <row r="6916" spans="11:16">
      <c r="K6916" s="85">
        <v>27</v>
      </c>
      <c r="L6916" s="78"/>
      <c r="M6916" s="78"/>
      <c r="N6916" s="78"/>
      <c r="P6916" s="85"/>
    </row>
    <row r="6917" spans="11:16">
      <c r="K6917" s="85">
        <v>28</v>
      </c>
      <c r="L6917" s="78"/>
      <c r="M6917" s="78"/>
      <c r="N6917" s="78"/>
      <c r="P6917" s="85"/>
    </row>
    <row r="6918" spans="11:16">
      <c r="K6918" s="85">
        <v>29</v>
      </c>
      <c r="L6918" s="78"/>
      <c r="M6918" s="78"/>
      <c r="N6918" s="78"/>
      <c r="P6918" s="85"/>
    </row>
    <row r="6919" spans="11:16">
      <c r="K6919" s="85">
        <v>30</v>
      </c>
      <c r="L6919" s="78"/>
      <c r="M6919" s="78"/>
      <c r="N6919" s="78"/>
      <c r="P6919" s="85"/>
    </row>
    <row r="6920" spans="11:16">
      <c r="K6920" s="85">
        <v>31</v>
      </c>
      <c r="L6920" s="78"/>
      <c r="M6920" s="78"/>
      <c r="N6920" s="78"/>
      <c r="P6920" s="85"/>
    </row>
    <row r="6921" spans="11:16">
      <c r="K6921" s="85">
        <v>32</v>
      </c>
      <c r="L6921" s="78"/>
      <c r="M6921" s="78"/>
      <c r="N6921" s="78"/>
      <c r="P6921" s="85"/>
    </row>
    <row r="6922" spans="11:16">
      <c r="K6922" s="85">
        <v>34</v>
      </c>
      <c r="L6922" s="78"/>
      <c r="M6922" s="78"/>
      <c r="N6922" s="78"/>
      <c r="P6922" s="85"/>
    </row>
    <row r="6923" spans="11:16">
      <c r="K6923" s="85">
        <v>35</v>
      </c>
      <c r="L6923" s="78"/>
      <c r="M6923" s="78"/>
      <c r="N6923" s="78"/>
      <c r="P6923" s="85"/>
    </row>
    <row r="6924" spans="11:16">
      <c r="K6924" s="85">
        <v>27</v>
      </c>
      <c r="L6924" s="78"/>
      <c r="M6924" s="78"/>
      <c r="N6924" s="78"/>
      <c r="P6924" s="85"/>
    </row>
    <row r="6925" spans="11:16">
      <c r="K6925" s="85">
        <v>32</v>
      </c>
      <c r="L6925" s="78"/>
      <c r="M6925" s="78"/>
      <c r="N6925" s="78"/>
      <c r="P6925" s="85"/>
    </row>
    <row r="6926" spans="11:16">
      <c r="K6926" s="85">
        <v>26</v>
      </c>
      <c r="L6926" s="78"/>
      <c r="M6926" s="78"/>
      <c r="N6926" s="78"/>
      <c r="P6926" s="85"/>
    </row>
    <row r="6927" spans="11:16">
      <c r="K6927" s="85">
        <v>35</v>
      </c>
      <c r="L6927" s="78"/>
      <c r="M6927" s="78"/>
      <c r="N6927" s="78"/>
      <c r="P6927" s="85"/>
    </row>
    <row r="6928" spans="11:16">
      <c r="K6928" s="85">
        <v>25</v>
      </c>
      <c r="L6928" s="78"/>
      <c r="M6928" s="78"/>
      <c r="N6928" s="78"/>
      <c r="P6928" s="85"/>
    </row>
    <row r="6929" spans="11:16">
      <c r="K6929" s="85">
        <v>26</v>
      </c>
      <c r="L6929" s="78"/>
      <c r="M6929" s="78"/>
      <c r="N6929" s="78"/>
      <c r="P6929" s="85"/>
    </row>
    <row r="6930" spans="11:16">
      <c r="K6930" s="85">
        <v>27</v>
      </c>
      <c r="L6930" s="78"/>
      <c r="M6930" s="78"/>
      <c r="N6930" s="78"/>
      <c r="P6930" s="85"/>
    </row>
    <row r="6931" spans="11:16">
      <c r="K6931" s="85">
        <v>29</v>
      </c>
      <c r="L6931" s="78"/>
      <c r="M6931" s="78"/>
      <c r="N6931" s="78"/>
      <c r="P6931" s="85"/>
    </row>
    <row r="6932" spans="11:16">
      <c r="K6932" s="85">
        <v>30</v>
      </c>
      <c r="L6932" s="78"/>
      <c r="M6932" s="78"/>
      <c r="N6932" s="78"/>
      <c r="P6932" s="85"/>
    </row>
    <row r="6933" spans="11:16">
      <c r="K6933" s="85">
        <v>31</v>
      </c>
      <c r="L6933" s="78"/>
      <c r="M6933" s="78"/>
      <c r="N6933" s="78"/>
      <c r="P6933" s="85"/>
    </row>
    <row r="6934" spans="11:16">
      <c r="K6934" s="85">
        <v>33</v>
      </c>
      <c r="L6934" s="78"/>
      <c r="M6934" s="78"/>
      <c r="N6934" s="78"/>
      <c r="P6934" s="85"/>
    </row>
    <row r="6935" spans="11:16">
      <c r="K6935" s="85">
        <v>34</v>
      </c>
      <c r="L6935" s="78"/>
      <c r="M6935" s="78"/>
      <c r="N6935" s="78"/>
      <c r="P6935" s="85"/>
    </row>
    <row r="6936" spans="11:16">
      <c r="K6936" s="85">
        <v>26</v>
      </c>
      <c r="L6936" s="78"/>
      <c r="M6936" s="78"/>
      <c r="N6936" s="78"/>
      <c r="P6936" s="85"/>
    </row>
    <row r="6937" spans="11:16">
      <c r="K6937" s="85">
        <v>27</v>
      </c>
      <c r="L6937" s="78"/>
      <c r="M6937" s="78"/>
      <c r="N6937" s="78"/>
      <c r="P6937" s="85"/>
    </row>
    <row r="6938" spans="11:16">
      <c r="K6938" s="85">
        <v>30</v>
      </c>
      <c r="L6938" s="78"/>
      <c r="M6938" s="78"/>
      <c r="N6938" s="78"/>
      <c r="P6938" s="85"/>
    </row>
    <row r="6939" spans="11:16">
      <c r="K6939" s="85">
        <v>31</v>
      </c>
      <c r="L6939" s="78"/>
      <c r="M6939" s="78"/>
      <c r="N6939" s="78"/>
      <c r="P6939" s="85"/>
    </row>
    <row r="6940" spans="11:16">
      <c r="K6940" s="85">
        <v>32</v>
      </c>
      <c r="L6940" s="78"/>
      <c r="M6940" s="78"/>
      <c r="N6940" s="78"/>
      <c r="P6940" s="85"/>
    </row>
    <row r="6941" spans="11:16">
      <c r="K6941" s="85">
        <v>33</v>
      </c>
      <c r="L6941" s="78"/>
      <c r="M6941" s="78"/>
      <c r="N6941" s="78"/>
      <c r="P6941" s="85"/>
    </row>
    <row r="6942" spans="11:16">
      <c r="K6942" s="85">
        <v>34</v>
      </c>
      <c r="L6942" s="78"/>
      <c r="M6942" s="78"/>
      <c r="N6942" s="78"/>
      <c r="P6942" s="85"/>
    </row>
    <row r="6943" spans="11:16">
      <c r="K6943" s="85">
        <v>35</v>
      </c>
      <c r="L6943" s="78"/>
      <c r="M6943" s="78"/>
      <c r="N6943" s="78"/>
      <c r="P6943" s="85"/>
    </row>
    <row r="6944" spans="11:16">
      <c r="K6944" s="85">
        <v>26</v>
      </c>
      <c r="L6944" s="78"/>
      <c r="M6944" s="78"/>
      <c r="N6944" s="78"/>
      <c r="P6944" s="85"/>
    </row>
    <row r="6945" spans="11:16">
      <c r="K6945" s="85">
        <v>25</v>
      </c>
      <c r="L6945" s="78"/>
      <c r="M6945" s="78"/>
      <c r="N6945" s="78"/>
      <c r="P6945" s="85"/>
    </row>
    <row r="6946" spans="11:16">
      <c r="K6946" s="85">
        <v>26</v>
      </c>
      <c r="L6946" s="78"/>
      <c r="M6946" s="78"/>
      <c r="N6946" s="78"/>
      <c r="P6946" s="85"/>
    </row>
    <row r="6947" spans="11:16">
      <c r="K6947" s="85">
        <v>27</v>
      </c>
      <c r="L6947" s="78"/>
      <c r="M6947" s="78"/>
      <c r="N6947" s="78"/>
      <c r="P6947" s="85"/>
    </row>
    <row r="6948" spans="11:16">
      <c r="K6948" s="85">
        <v>28</v>
      </c>
      <c r="L6948" s="78"/>
      <c r="M6948" s="78"/>
      <c r="N6948" s="78"/>
      <c r="P6948" s="85"/>
    </row>
    <row r="6949" spans="11:16">
      <c r="K6949" s="85">
        <v>29</v>
      </c>
      <c r="L6949" s="78"/>
      <c r="M6949" s="78"/>
      <c r="N6949" s="78"/>
      <c r="P6949" s="85"/>
    </row>
    <row r="6950" spans="11:16">
      <c r="K6950" s="85">
        <v>30</v>
      </c>
      <c r="L6950" s="78"/>
      <c r="M6950" s="78"/>
      <c r="N6950" s="78"/>
      <c r="P6950" s="85"/>
    </row>
    <row r="6951" spans="11:16">
      <c r="K6951" s="85">
        <v>31</v>
      </c>
      <c r="L6951" s="78"/>
      <c r="M6951" s="78"/>
      <c r="N6951" s="78"/>
      <c r="P6951" s="85"/>
    </row>
    <row r="6952" spans="11:16">
      <c r="K6952" s="85">
        <v>32</v>
      </c>
      <c r="L6952" s="78"/>
      <c r="M6952" s="78"/>
      <c r="N6952" s="78"/>
      <c r="P6952" s="85"/>
    </row>
    <row r="6953" spans="11:16">
      <c r="K6953" s="85">
        <v>33</v>
      </c>
      <c r="L6953" s="78"/>
      <c r="M6953" s="78"/>
      <c r="N6953" s="78"/>
      <c r="P6953" s="85"/>
    </row>
    <row r="6954" spans="11:16">
      <c r="K6954" s="85">
        <v>34</v>
      </c>
      <c r="L6954" s="78"/>
      <c r="M6954" s="78"/>
      <c r="N6954" s="78"/>
      <c r="P6954" s="85"/>
    </row>
    <row r="6955" spans="11:16">
      <c r="K6955" s="85">
        <v>35</v>
      </c>
      <c r="L6955" s="78"/>
      <c r="M6955" s="78"/>
      <c r="N6955" s="78"/>
      <c r="P6955" s="85"/>
    </row>
    <row r="6956" spans="11:16">
      <c r="K6956" s="85">
        <v>36</v>
      </c>
      <c r="L6956" s="78"/>
      <c r="M6956" s="78"/>
      <c r="N6956" s="78"/>
      <c r="P6956" s="85"/>
    </row>
    <row r="6957" spans="11:16">
      <c r="K6957" s="85">
        <v>25</v>
      </c>
      <c r="L6957" s="78"/>
      <c r="M6957" s="78"/>
      <c r="N6957" s="78"/>
      <c r="P6957" s="85"/>
    </row>
    <row r="6958" spans="11:16">
      <c r="K6958" s="85">
        <v>26</v>
      </c>
      <c r="L6958" s="78"/>
      <c r="M6958" s="78"/>
      <c r="N6958" s="78"/>
      <c r="P6958" s="85"/>
    </row>
    <row r="6959" spans="11:16">
      <c r="K6959" s="85">
        <v>27</v>
      </c>
      <c r="L6959" s="78"/>
      <c r="M6959" s="78"/>
      <c r="N6959" s="78"/>
      <c r="P6959" s="85"/>
    </row>
    <row r="6960" spans="11:16">
      <c r="K6960" s="85">
        <v>31</v>
      </c>
      <c r="L6960" s="78"/>
      <c r="M6960" s="78"/>
      <c r="N6960" s="78"/>
      <c r="P6960" s="85"/>
    </row>
    <row r="6961" spans="11:16">
      <c r="K6961" s="85">
        <v>32</v>
      </c>
      <c r="L6961" s="78"/>
      <c r="M6961" s="78"/>
      <c r="N6961" s="78"/>
      <c r="P6961" s="85"/>
    </row>
    <row r="6962" spans="11:16">
      <c r="K6962" s="85">
        <v>25</v>
      </c>
      <c r="L6962" s="78"/>
      <c r="M6962" s="78"/>
      <c r="N6962" s="78"/>
      <c r="P6962" s="85"/>
    </row>
    <row r="6963" spans="11:16">
      <c r="K6963" s="85">
        <v>26</v>
      </c>
      <c r="L6963" s="78"/>
      <c r="M6963" s="78"/>
      <c r="N6963" s="78"/>
      <c r="P6963" s="85"/>
    </row>
    <row r="6964" spans="11:16">
      <c r="K6964" s="85">
        <v>27</v>
      </c>
      <c r="L6964" s="78"/>
      <c r="M6964" s="78"/>
      <c r="N6964" s="78"/>
      <c r="P6964" s="85"/>
    </row>
    <row r="6965" spans="11:16">
      <c r="K6965" s="85">
        <v>28</v>
      </c>
      <c r="L6965" s="78"/>
      <c r="M6965" s="78"/>
      <c r="N6965" s="78"/>
      <c r="P6965" s="85"/>
    </row>
    <row r="6966" spans="11:16">
      <c r="K6966" s="85">
        <v>29</v>
      </c>
      <c r="L6966" s="78"/>
      <c r="M6966" s="78"/>
      <c r="N6966" s="78"/>
      <c r="P6966" s="85"/>
    </row>
    <row r="6967" spans="11:16">
      <c r="K6967" s="85">
        <v>30</v>
      </c>
      <c r="L6967" s="78"/>
      <c r="M6967" s="78"/>
      <c r="N6967" s="78"/>
      <c r="P6967" s="85"/>
    </row>
    <row r="6968" spans="11:16">
      <c r="K6968" s="85">
        <v>31</v>
      </c>
      <c r="L6968" s="78"/>
      <c r="M6968" s="78"/>
      <c r="N6968" s="78"/>
      <c r="P6968" s="85"/>
    </row>
    <row r="6969" spans="11:16">
      <c r="K6969" s="85">
        <v>32</v>
      </c>
      <c r="L6969" s="78"/>
      <c r="M6969" s="78"/>
      <c r="N6969" s="78"/>
      <c r="P6969" s="85"/>
    </row>
    <row r="6970" spans="11:16">
      <c r="K6970" s="85">
        <v>33</v>
      </c>
      <c r="L6970" s="78"/>
      <c r="M6970" s="78"/>
      <c r="N6970" s="78"/>
      <c r="P6970" s="85"/>
    </row>
    <row r="6971" spans="11:16">
      <c r="K6971" s="85">
        <v>34</v>
      </c>
      <c r="L6971" s="78"/>
      <c r="M6971" s="78"/>
      <c r="N6971" s="78"/>
      <c r="P6971" s="85"/>
    </row>
    <row r="6972" spans="11:16">
      <c r="K6972" s="85">
        <v>35</v>
      </c>
      <c r="L6972" s="78"/>
      <c r="M6972" s="78"/>
      <c r="N6972" s="78"/>
      <c r="P6972" s="85"/>
    </row>
    <row r="6973" spans="11:16">
      <c r="K6973" s="85">
        <v>36</v>
      </c>
      <c r="L6973" s="78"/>
      <c r="M6973" s="78"/>
      <c r="N6973" s="78"/>
      <c r="P6973" s="85"/>
    </row>
    <row r="6974" spans="11:16">
      <c r="K6974" s="85">
        <v>25</v>
      </c>
      <c r="L6974" s="78"/>
      <c r="M6974" s="78"/>
      <c r="N6974" s="78"/>
      <c r="P6974" s="85"/>
    </row>
    <row r="6975" spans="11:16">
      <c r="K6975" s="85">
        <v>27</v>
      </c>
      <c r="L6975" s="78"/>
      <c r="M6975" s="78"/>
      <c r="N6975" s="78"/>
      <c r="P6975" s="85"/>
    </row>
    <row r="6976" spans="11:16">
      <c r="K6976" s="85">
        <v>28</v>
      </c>
      <c r="L6976" s="78"/>
      <c r="M6976" s="78"/>
      <c r="N6976" s="78"/>
      <c r="P6976" s="85"/>
    </row>
    <row r="6977" spans="11:16">
      <c r="K6977" s="85">
        <v>31</v>
      </c>
      <c r="L6977" s="78"/>
      <c r="M6977" s="78"/>
      <c r="N6977" s="78"/>
      <c r="P6977" s="85"/>
    </row>
    <row r="6978" spans="11:16">
      <c r="K6978" s="85">
        <v>35</v>
      </c>
      <c r="L6978" s="78"/>
      <c r="M6978" s="78"/>
      <c r="N6978" s="78"/>
      <c r="P6978" s="85"/>
    </row>
    <row r="6979" spans="11:16">
      <c r="K6979" s="85">
        <v>36</v>
      </c>
      <c r="L6979" s="78"/>
      <c r="M6979" s="78"/>
      <c r="N6979" s="78"/>
      <c r="P6979" s="85"/>
    </row>
    <row r="6980" spans="11:16">
      <c r="K6980" s="85">
        <v>25</v>
      </c>
      <c r="L6980" s="78"/>
      <c r="M6980" s="78"/>
      <c r="N6980" s="78"/>
      <c r="P6980" s="85"/>
    </row>
    <row r="6981" spans="11:16">
      <c r="K6981" s="85">
        <v>26</v>
      </c>
      <c r="L6981" s="78"/>
      <c r="M6981" s="78"/>
      <c r="N6981" s="78"/>
      <c r="P6981" s="85"/>
    </row>
    <row r="6982" spans="11:16">
      <c r="K6982" s="85">
        <v>27</v>
      </c>
      <c r="L6982" s="78"/>
      <c r="M6982" s="78"/>
      <c r="N6982" s="78"/>
      <c r="P6982" s="85"/>
    </row>
    <row r="6983" spans="11:16">
      <c r="K6983" s="85">
        <v>28</v>
      </c>
      <c r="L6983" s="78"/>
      <c r="M6983" s="78"/>
      <c r="N6983" s="78"/>
      <c r="P6983" s="85"/>
    </row>
    <row r="6984" spans="11:16">
      <c r="K6984" s="85">
        <v>29</v>
      </c>
      <c r="L6984" s="78"/>
      <c r="M6984" s="78"/>
      <c r="N6984" s="78"/>
      <c r="P6984" s="85"/>
    </row>
    <row r="6985" spans="11:16">
      <c r="K6985" s="85">
        <v>30</v>
      </c>
      <c r="L6985" s="78"/>
      <c r="M6985" s="78"/>
      <c r="N6985" s="78"/>
      <c r="P6985" s="85"/>
    </row>
    <row r="6986" spans="11:16">
      <c r="K6986" s="85">
        <v>31</v>
      </c>
      <c r="L6986" s="78"/>
      <c r="M6986" s="78"/>
      <c r="N6986" s="78"/>
      <c r="P6986" s="85"/>
    </row>
    <row r="6987" spans="11:16">
      <c r="K6987" s="85">
        <v>32</v>
      </c>
      <c r="L6987" s="78"/>
      <c r="M6987" s="78"/>
      <c r="N6987" s="78"/>
      <c r="P6987" s="85"/>
    </row>
    <row r="6988" spans="11:16">
      <c r="K6988" s="85">
        <v>34</v>
      </c>
      <c r="L6988" s="78"/>
      <c r="M6988" s="78"/>
      <c r="N6988" s="78"/>
      <c r="P6988" s="85"/>
    </row>
    <row r="6989" spans="11:16">
      <c r="K6989" s="85">
        <v>35</v>
      </c>
      <c r="L6989" s="78"/>
      <c r="M6989" s="78"/>
      <c r="N6989" s="78"/>
      <c r="P6989" s="85"/>
    </row>
    <row r="6990" spans="11:16">
      <c r="K6990" s="85">
        <v>26</v>
      </c>
      <c r="L6990" s="78"/>
      <c r="M6990" s="78"/>
      <c r="N6990" s="78"/>
      <c r="P6990" s="85"/>
    </row>
    <row r="6991" spans="11:16">
      <c r="K6991" s="85">
        <v>27</v>
      </c>
      <c r="L6991" s="78"/>
      <c r="M6991" s="78"/>
      <c r="N6991" s="78"/>
      <c r="P6991" s="85"/>
    </row>
    <row r="6992" spans="11:16">
      <c r="K6992" s="85">
        <v>28</v>
      </c>
      <c r="L6992" s="78"/>
      <c r="M6992" s="78"/>
      <c r="N6992" s="78"/>
      <c r="P6992" s="85"/>
    </row>
    <row r="6993" spans="11:16">
      <c r="K6993" s="85">
        <v>30</v>
      </c>
      <c r="L6993" s="78"/>
      <c r="M6993" s="78"/>
      <c r="N6993" s="78"/>
      <c r="P6993" s="85"/>
    </row>
    <row r="6994" spans="11:16">
      <c r="K6994" s="85">
        <v>31</v>
      </c>
      <c r="L6994" s="78"/>
      <c r="M6994" s="78"/>
      <c r="N6994" s="78"/>
      <c r="P6994" s="85"/>
    </row>
    <row r="6995" spans="11:16">
      <c r="K6995" s="85">
        <v>32</v>
      </c>
      <c r="L6995" s="78"/>
      <c r="M6995" s="78"/>
      <c r="N6995" s="78"/>
      <c r="P6995" s="85"/>
    </row>
    <row r="6996" spans="11:16">
      <c r="K6996" s="85">
        <v>34</v>
      </c>
      <c r="L6996" s="78"/>
      <c r="M6996" s="78"/>
      <c r="N6996" s="78"/>
      <c r="P6996" s="85"/>
    </row>
    <row r="6997" spans="11:16">
      <c r="K6997" s="85">
        <v>35</v>
      </c>
      <c r="L6997" s="78"/>
      <c r="M6997" s="78"/>
      <c r="N6997" s="78"/>
      <c r="P6997" s="85"/>
    </row>
    <row r="6998" spans="11:16">
      <c r="K6998" s="85">
        <v>36</v>
      </c>
      <c r="L6998" s="78"/>
      <c r="M6998" s="78"/>
      <c r="N6998" s="78"/>
      <c r="P6998" s="85"/>
    </row>
    <row r="6999" spans="11:16">
      <c r="K6999" s="85">
        <v>25</v>
      </c>
      <c r="L6999" s="78"/>
      <c r="M6999" s="78"/>
      <c r="N6999" s="78"/>
      <c r="P6999" s="85"/>
    </row>
    <row r="7000" spans="11:16">
      <c r="K7000" s="85">
        <v>26</v>
      </c>
      <c r="L7000" s="78"/>
      <c r="M7000" s="78"/>
      <c r="N7000" s="78"/>
      <c r="P7000" s="85"/>
    </row>
    <row r="7001" spans="11:16">
      <c r="K7001" s="85">
        <v>27</v>
      </c>
      <c r="L7001" s="78"/>
      <c r="M7001" s="78"/>
      <c r="N7001" s="78"/>
      <c r="P7001" s="85"/>
    </row>
    <row r="7002" spans="11:16">
      <c r="K7002" s="85">
        <v>29</v>
      </c>
      <c r="L7002" s="78"/>
      <c r="M7002" s="78"/>
      <c r="N7002" s="78"/>
      <c r="P7002" s="85"/>
    </row>
    <row r="7003" spans="11:16">
      <c r="K7003" s="85">
        <v>30</v>
      </c>
      <c r="L7003" s="78"/>
      <c r="M7003" s="78"/>
      <c r="N7003" s="78"/>
      <c r="P7003" s="85"/>
    </row>
    <row r="7004" spans="11:16">
      <c r="K7004" s="85">
        <v>31</v>
      </c>
      <c r="L7004" s="78"/>
      <c r="M7004" s="78"/>
      <c r="N7004" s="78"/>
      <c r="P7004" s="85"/>
    </row>
    <row r="7005" spans="11:16">
      <c r="K7005" s="85">
        <v>32</v>
      </c>
      <c r="L7005" s="78"/>
      <c r="M7005" s="78"/>
      <c r="N7005" s="78"/>
      <c r="P7005" s="85"/>
    </row>
    <row r="7006" spans="11:16">
      <c r="K7006" s="85">
        <v>34</v>
      </c>
      <c r="L7006" s="78"/>
      <c r="M7006" s="78"/>
      <c r="N7006" s="78"/>
      <c r="P7006" s="85"/>
    </row>
    <row r="7007" spans="11:16">
      <c r="K7007" s="85">
        <v>35</v>
      </c>
      <c r="L7007" s="78"/>
      <c r="M7007" s="78"/>
      <c r="N7007" s="78"/>
      <c r="P7007" s="85"/>
    </row>
    <row r="7008" spans="11:16">
      <c r="K7008" s="85">
        <v>36</v>
      </c>
      <c r="L7008" s="78"/>
      <c r="M7008" s="78"/>
      <c r="N7008" s="78"/>
      <c r="P7008" s="85"/>
    </row>
    <row r="7009" spans="11:16">
      <c r="K7009" s="85">
        <v>25</v>
      </c>
      <c r="L7009" s="78"/>
      <c r="M7009" s="78"/>
      <c r="N7009" s="78"/>
      <c r="P7009" s="85"/>
    </row>
    <row r="7010" spans="11:16">
      <c r="K7010" s="85">
        <v>26</v>
      </c>
      <c r="L7010" s="78"/>
      <c r="M7010" s="78"/>
      <c r="N7010" s="78"/>
      <c r="P7010" s="85"/>
    </row>
    <row r="7011" spans="11:16">
      <c r="K7011" s="85">
        <v>27</v>
      </c>
      <c r="L7011" s="78"/>
      <c r="M7011" s="78"/>
      <c r="N7011" s="78"/>
      <c r="P7011" s="85"/>
    </row>
    <row r="7012" spans="11:16">
      <c r="K7012" s="85">
        <v>28</v>
      </c>
      <c r="L7012" s="78"/>
      <c r="M7012" s="78"/>
      <c r="N7012" s="78"/>
      <c r="P7012" s="85"/>
    </row>
    <row r="7013" spans="11:16">
      <c r="K7013" s="85">
        <v>29</v>
      </c>
      <c r="L7013" s="78"/>
      <c r="M7013" s="78"/>
      <c r="N7013" s="78"/>
      <c r="P7013" s="85"/>
    </row>
    <row r="7014" spans="11:16">
      <c r="K7014" s="85">
        <v>30</v>
      </c>
      <c r="L7014" s="78"/>
      <c r="M7014" s="78"/>
      <c r="N7014" s="78"/>
      <c r="P7014" s="85"/>
    </row>
    <row r="7015" spans="11:16">
      <c r="K7015" s="85">
        <v>31</v>
      </c>
      <c r="L7015" s="78"/>
      <c r="M7015" s="78"/>
      <c r="N7015" s="78"/>
      <c r="P7015" s="85"/>
    </row>
    <row r="7016" spans="11:16">
      <c r="K7016" s="85">
        <v>32</v>
      </c>
      <c r="L7016" s="78"/>
      <c r="M7016" s="78"/>
      <c r="N7016" s="78"/>
      <c r="P7016" s="85"/>
    </row>
    <row r="7017" spans="11:16">
      <c r="K7017" s="85">
        <v>34</v>
      </c>
      <c r="L7017" s="78"/>
      <c r="M7017" s="78"/>
      <c r="N7017" s="78"/>
      <c r="P7017" s="85"/>
    </row>
    <row r="7018" spans="11:16">
      <c r="K7018" s="85">
        <v>35</v>
      </c>
      <c r="L7018" s="78"/>
      <c r="M7018" s="78"/>
      <c r="N7018" s="78"/>
      <c r="P7018" s="85"/>
    </row>
    <row r="7019" spans="11:16">
      <c r="K7019" s="85">
        <v>36</v>
      </c>
      <c r="L7019" s="78"/>
      <c r="M7019" s="78"/>
      <c r="N7019" s="78"/>
      <c r="P7019" s="85"/>
    </row>
    <row r="7020" spans="11:16">
      <c r="K7020" s="85">
        <v>26</v>
      </c>
      <c r="L7020" s="78"/>
      <c r="M7020" s="78"/>
      <c r="N7020" s="78"/>
      <c r="P7020" s="85"/>
    </row>
    <row r="7021" spans="11:16">
      <c r="K7021" s="85">
        <v>27</v>
      </c>
      <c r="L7021" s="78"/>
      <c r="M7021" s="78"/>
      <c r="N7021" s="78"/>
      <c r="P7021" s="85"/>
    </row>
    <row r="7022" spans="11:16">
      <c r="K7022" s="85">
        <v>29</v>
      </c>
      <c r="L7022" s="78"/>
      <c r="M7022" s="78"/>
      <c r="N7022" s="78"/>
      <c r="P7022" s="85"/>
    </row>
    <row r="7023" spans="11:16">
      <c r="K7023" s="85">
        <v>31</v>
      </c>
      <c r="L7023" s="78"/>
      <c r="M7023" s="78"/>
      <c r="N7023" s="78"/>
      <c r="P7023" s="85"/>
    </row>
    <row r="7024" spans="11:16">
      <c r="K7024" s="85">
        <v>35</v>
      </c>
      <c r="L7024" s="78"/>
      <c r="M7024" s="78"/>
      <c r="N7024" s="78"/>
      <c r="P7024" s="85"/>
    </row>
    <row r="7025" spans="11:16">
      <c r="K7025" s="85">
        <v>27</v>
      </c>
      <c r="L7025" s="78"/>
      <c r="M7025" s="78"/>
      <c r="N7025" s="78"/>
      <c r="P7025" s="85"/>
    </row>
    <row r="7026" spans="11:16">
      <c r="K7026" s="85">
        <v>28</v>
      </c>
      <c r="L7026" s="78"/>
      <c r="M7026" s="78"/>
      <c r="N7026" s="78"/>
      <c r="P7026" s="85"/>
    </row>
    <row r="7027" spans="11:16">
      <c r="K7027" s="85">
        <v>35</v>
      </c>
      <c r="L7027" s="78"/>
      <c r="M7027" s="78"/>
      <c r="N7027" s="78"/>
      <c r="P7027" s="85"/>
    </row>
    <row r="7028" spans="11:16">
      <c r="K7028" s="85">
        <v>25</v>
      </c>
      <c r="L7028" s="78"/>
      <c r="M7028" s="78"/>
      <c r="N7028" s="78"/>
      <c r="P7028" s="85"/>
    </row>
    <row r="7029" spans="11:16">
      <c r="K7029" s="85">
        <v>27</v>
      </c>
      <c r="L7029" s="78"/>
      <c r="M7029" s="78"/>
      <c r="N7029" s="78"/>
      <c r="P7029" s="85"/>
    </row>
    <row r="7030" spans="11:16">
      <c r="K7030" s="85">
        <v>28</v>
      </c>
      <c r="L7030" s="78"/>
      <c r="M7030" s="78"/>
      <c r="N7030" s="78"/>
      <c r="P7030" s="85"/>
    </row>
    <row r="7031" spans="11:16">
      <c r="K7031" s="85">
        <v>31</v>
      </c>
      <c r="L7031" s="78"/>
      <c r="M7031" s="78"/>
      <c r="N7031" s="78"/>
      <c r="P7031" s="85"/>
    </row>
    <row r="7032" spans="11:16">
      <c r="K7032" s="85">
        <v>32</v>
      </c>
      <c r="L7032" s="78"/>
      <c r="M7032" s="78"/>
      <c r="N7032" s="78"/>
      <c r="P7032" s="85"/>
    </row>
    <row r="7033" spans="11:16">
      <c r="K7033" s="85">
        <v>34</v>
      </c>
      <c r="L7033" s="78"/>
      <c r="M7033" s="78"/>
      <c r="N7033" s="78"/>
      <c r="P7033" s="85"/>
    </row>
    <row r="7034" spans="11:16">
      <c r="K7034" s="85">
        <v>35</v>
      </c>
      <c r="L7034" s="78"/>
      <c r="M7034" s="78"/>
      <c r="N7034" s="78"/>
      <c r="P7034" s="85"/>
    </row>
    <row r="7035" spans="11:16">
      <c r="K7035" s="85">
        <v>27</v>
      </c>
      <c r="L7035" s="78"/>
      <c r="M7035" s="78"/>
      <c r="N7035" s="78"/>
      <c r="P7035" s="85"/>
    </row>
    <row r="7036" spans="11:16">
      <c r="K7036" s="85">
        <v>31</v>
      </c>
      <c r="L7036" s="78"/>
      <c r="M7036" s="78"/>
      <c r="N7036" s="78"/>
      <c r="P7036" s="85"/>
    </row>
    <row r="7037" spans="11:16">
      <c r="K7037" s="85">
        <v>35</v>
      </c>
      <c r="L7037" s="78"/>
      <c r="M7037" s="78"/>
      <c r="N7037" s="78"/>
      <c r="P7037" s="85"/>
    </row>
    <row r="7038" spans="11:16">
      <c r="K7038" s="85">
        <v>25</v>
      </c>
      <c r="L7038" s="78"/>
      <c r="M7038" s="78"/>
      <c r="N7038" s="78"/>
      <c r="P7038" s="85"/>
    </row>
    <row r="7039" spans="11:16">
      <c r="K7039" s="85">
        <v>26</v>
      </c>
      <c r="L7039" s="78"/>
      <c r="M7039" s="78"/>
      <c r="N7039" s="78"/>
      <c r="P7039" s="85"/>
    </row>
    <row r="7040" spans="11:16">
      <c r="K7040" s="85">
        <v>27</v>
      </c>
      <c r="L7040" s="78"/>
      <c r="M7040" s="78"/>
      <c r="N7040" s="78"/>
      <c r="P7040" s="85"/>
    </row>
    <row r="7041" spans="11:16">
      <c r="K7041" s="85">
        <v>28</v>
      </c>
      <c r="L7041" s="78"/>
      <c r="M7041" s="78"/>
      <c r="N7041" s="78"/>
      <c r="P7041" s="85"/>
    </row>
    <row r="7042" spans="11:16">
      <c r="K7042" s="85">
        <v>30</v>
      </c>
      <c r="L7042" s="78"/>
      <c r="M7042" s="78"/>
      <c r="N7042" s="78"/>
      <c r="P7042" s="85"/>
    </row>
    <row r="7043" spans="11:16">
      <c r="K7043" s="85">
        <v>31</v>
      </c>
      <c r="L7043" s="78"/>
      <c r="M7043" s="78"/>
      <c r="N7043" s="78"/>
      <c r="P7043" s="85"/>
    </row>
    <row r="7044" spans="11:16">
      <c r="K7044" s="85">
        <v>32</v>
      </c>
      <c r="L7044" s="78"/>
      <c r="M7044" s="78"/>
      <c r="N7044" s="78"/>
      <c r="P7044" s="85"/>
    </row>
    <row r="7045" spans="11:16">
      <c r="K7045" s="85">
        <v>33</v>
      </c>
      <c r="L7045" s="78"/>
      <c r="M7045" s="78"/>
      <c r="N7045" s="78"/>
      <c r="P7045" s="85"/>
    </row>
    <row r="7046" spans="11:16">
      <c r="K7046" s="85">
        <v>34</v>
      </c>
      <c r="L7046" s="78"/>
      <c r="M7046" s="78"/>
      <c r="N7046" s="78"/>
      <c r="P7046" s="85"/>
    </row>
    <row r="7047" spans="11:16">
      <c r="K7047" s="85">
        <v>35</v>
      </c>
      <c r="L7047" s="78"/>
      <c r="M7047" s="78"/>
      <c r="N7047" s="78"/>
      <c r="P7047" s="85"/>
    </row>
    <row r="7048" spans="11:16">
      <c r="K7048" s="85">
        <v>36</v>
      </c>
      <c r="L7048" s="78"/>
      <c r="M7048" s="78"/>
      <c r="N7048" s="78"/>
      <c r="P7048" s="85"/>
    </row>
    <row r="7049" spans="11:16">
      <c r="K7049" s="85">
        <v>25</v>
      </c>
      <c r="L7049" s="78"/>
      <c r="M7049" s="78"/>
      <c r="N7049" s="78"/>
      <c r="P7049" s="85"/>
    </row>
    <row r="7050" spans="11:16">
      <c r="K7050" s="85">
        <v>26</v>
      </c>
      <c r="L7050" s="78"/>
      <c r="M7050" s="78"/>
      <c r="N7050" s="78"/>
      <c r="P7050" s="85"/>
    </row>
    <row r="7051" spans="11:16">
      <c r="K7051" s="85">
        <v>27</v>
      </c>
      <c r="L7051" s="78"/>
      <c r="M7051" s="78"/>
      <c r="N7051" s="78"/>
      <c r="P7051" s="85"/>
    </row>
    <row r="7052" spans="11:16">
      <c r="K7052" s="85">
        <v>28</v>
      </c>
      <c r="L7052" s="78"/>
      <c r="M7052" s="78"/>
      <c r="N7052" s="78"/>
      <c r="P7052" s="85"/>
    </row>
    <row r="7053" spans="11:16">
      <c r="K7053" s="85">
        <v>29</v>
      </c>
      <c r="L7053" s="78"/>
      <c r="M7053" s="78"/>
      <c r="N7053" s="78"/>
      <c r="P7053" s="85"/>
    </row>
    <row r="7054" spans="11:16">
      <c r="K7054" s="85">
        <v>30</v>
      </c>
      <c r="L7054" s="78"/>
      <c r="M7054" s="78"/>
      <c r="N7054" s="78"/>
      <c r="P7054" s="85"/>
    </row>
    <row r="7055" spans="11:16">
      <c r="K7055" s="85">
        <v>31</v>
      </c>
      <c r="L7055" s="78"/>
      <c r="M7055" s="78"/>
      <c r="N7055" s="78"/>
      <c r="P7055" s="85"/>
    </row>
    <row r="7056" spans="11:16">
      <c r="K7056" s="85">
        <v>32</v>
      </c>
      <c r="L7056" s="78"/>
      <c r="M7056" s="78"/>
      <c r="N7056" s="78"/>
      <c r="P7056" s="85"/>
    </row>
    <row r="7057" spans="11:16">
      <c r="K7057" s="85">
        <v>33</v>
      </c>
      <c r="L7057" s="78"/>
      <c r="M7057" s="78"/>
      <c r="N7057" s="78"/>
      <c r="P7057" s="85"/>
    </row>
    <row r="7058" spans="11:16">
      <c r="K7058" s="85">
        <v>27</v>
      </c>
      <c r="L7058" s="78"/>
      <c r="M7058" s="78"/>
      <c r="N7058" s="78"/>
      <c r="P7058" s="85"/>
    </row>
    <row r="7059" spans="11:16">
      <c r="K7059" s="85">
        <v>28</v>
      </c>
      <c r="L7059" s="78"/>
      <c r="M7059" s="78"/>
      <c r="N7059" s="78"/>
      <c r="P7059" s="85"/>
    </row>
    <row r="7060" spans="11:16">
      <c r="K7060" s="85">
        <v>31</v>
      </c>
      <c r="L7060" s="78"/>
      <c r="M7060" s="78"/>
      <c r="N7060" s="78"/>
      <c r="P7060" s="85"/>
    </row>
    <row r="7061" spans="11:16">
      <c r="K7061" s="85">
        <v>34</v>
      </c>
      <c r="L7061" s="78"/>
      <c r="M7061" s="78"/>
      <c r="N7061" s="78"/>
      <c r="P7061" s="85"/>
    </row>
    <row r="7062" spans="11:16">
      <c r="K7062" s="85">
        <v>35</v>
      </c>
      <c r="L7062" s="78"/>
      <c r="M7062" s="78"/>
      <c r="N7062" s="78"/>
      <c r="P7062" s="85"/>
    </row>
    <row r="7063" spans="11:16">
      <c r="K7063" s="85">
        <v>25</v>
      </c>
      <c r="L7063" s="78"/>
      <c r="M7063" s="78"/>
      <c r="N7063" s="78"/>
      <c r="P7063" s="85"/>
    </row>
    <row r="7064" spans="11:16">
      <c r="K7064" s="85">
        <v>26</v>
      </c>
      <c r="L7064" s="78"/>
      <c r="M7064" s="78"/>
      <c r="N7064" s="78"/>
      <c r="P7064" s="85"/>
    </row>
    <row r="7065" spans="11:16">
      <c r="K7065" s="85">
        <v>27</v>
      </c>
      <c r="L7065" s="78"/>
      <c r="M7065" s="78"/>
      <c r="N7065" s="78"/>
      <c r="P7065" s="85"/>
    </row>
    <row r="7066" spans="11:16">
      <c r="K7066" s="85">
        <v>28</v>
      </c>
      <c r="L7066" s="78"/>
      <c r="M7066" s="78"/>
      <c r="N7066" s="78"/>
      <c r="P7066" s="85"/>
    </row>
    <row r="7067" spans="11:16">
      <c r="K7067" s="85">
        <v>29</v>
      </c>
      <c r="L7067" s="78"/>
      <c r="M7067" s="78"/>
      <c r="N7067" s="78"/>
      <c r="P7067" s="85"/>
    </row>
    <row r="7068" spans="11:16">
      <c r="K7068" s="85">
        <v>30</v>
      </c>
      <c r="L7068" s="78"/>
      <c r="M7068" s="78"/>
      <c r="N7068" s="78"/>
      <c r="P7068" s="85"/>
    </row>
    <row r="7069" spans="11:16">
      <c r="K7069" s="85">
        <v>31</v>
      </c>
      <c r="L7069" s="78"/>
      <c r="M7069" s="78"/>
      <c r="N7069" s="78"/>
      <c r="P7069" s="85"/>
    </row>
    <row r="7070" spans="11:16">
      <c r="K7070" s="85">
        <v>32</v>
      </c>
      <c r="L7070" s="78"/>
      <c r="M7070" s="78"/>
      <c r="N7070" s="78"/>
      <c r="P7070" s="85"/>
    </row>
    <row r="7071" spans="11:16">
      <c r="K7071" s="85">
        <v>33</v>
      </c>
      <c r="L7071" s="78"/>
      <c r="M7071" s="78"/>
      <c r="N7071" s="78"/>
      <c r="P7071" s="85"/>
    </row>
    <row r="7072" spans="11:16">
      <c r="K7072" s="85">
        <v>34</v>
      </c>
      <c r="L7072" s="78"/>
      <c r="M7072" s="78"/>
      <c r="N7072" s="78"/>
      <c r="P7072" s="85"/>
    </row>
    <row r="7073" spans="11:16">
      <c r="K7073" s="85">
        <v>35</v>
      </c>
      <c r="L7073" s="78"/>
      <c r="M7073" s="78"/>
      <c r="N7073" s="78"/>
      <c r="P7073" s="85"/>
    </row>
    <row r="7074" spans="11:16">
      <c r="K7074" s="85">
        <v>36</v>
      </c>
      <c r="L7074" s="78"/>
      <c r="M7074" s="78"/>
      <c r="N7074" s="78"/>
      <c r="P7074" s="85"/>
    </row>
    <row r="7075" spans="11:16">
      <c r="K7075" s="85">
        <v>25</v>
      </c>
      <c r="L7075" s="78"/>
      <c r="M7075" s="78"/>
      <c r="N7075" s="78"/>
      <c r="P7075" s="85"/>
    </row>
    <row r="7076" spans="11:16">
      <c r="K7076" s="85">
        <v>27</v>
      </c>
      <c r="L7076" s="78"/>
      <c r="M7076" s="78"/>
      <c r="N7076" s="78"/>
      <c r="P7076" s="85"/>
    </row>
    <row r="7077" spans="11:16">
      <c r="K7077" s="85">
        <v>28</v>
      </c>
      <c r="L7077" s="78"/>
      <c r="M7077" s="78"/>
      <c r="N7077" s="78"/>
      <c r="P7077" s="85"/>
    </row>
    <row r="7078" spans="11:16">
      <c r="K7078" s="85">
        <v>31</v>
      </c>
      <c r="L7078" s="78"/>
      <c r="M7078" s="78"/>
      <c r="N7078" s="78"/>
      <c r="P7078" s="85"/>
    </row>
    <row r="7079" spans="11:16">
      <c r="K7079" s="85">
        <v>32</v>
      </c>
      <c r="L7079" s="78"/>
      <c r="M7079" s="78"/>
      <c r="N7079" s="78"/>
      <c r="P7079" s="85"/>
    </row>
    <row r="7080" spans="11:16">
      <c r="K7080" s="85">
        <v>33</v>
      </c>
      <c r="L7080" s="78"/>
      <c r="M7080" s="78"/>
      <c r="N7080" s="78"/>
      <c r="P7080" s="85"/>
    </row>
    <row r="7081" spans="11:16">
      <c r="K7081" s="85">
        <v>34</v>
      </c>
      <c r="L7081" s="78"/>
      <c r="M7081" s="78"/>
      <c r="N7081" s="78"/>
      <c r="P7081" s="85"/>
    </row>
    <row r="7082" spans="11:16">
      <c r="K7082" s="85">
        <v>35</v>
      </c>
      <c r="L7082" s="78"/>
      <c r="M7082" s="78"/>
      <c r="N7082" s="78"/>
      <c r="P7082" s="85"/>
    </row>
    <row r="7083" spans="11:16">
      <c r="K7083" s="85">
        <v>26</v>
      </c>
      <c r="L7083" s="78"/>
      <c r="M7083" s="78"/>
      <c r="N7083" s="78"/>
      <c r="P7083" s="85"/>
    </row>
    <row r="7084" spans="11:16">
      <c r="K7084" s="85">
        <v>27</v>
      </c>
      <c r="L7084" s="78"/>
      <c r="M7084" s="78"/>
      <c r="N7084" s="78"/>
      <c r="P7084" s="85"/>
    </row>
    <row r="7085" spans="11:16">
      <c r="K7085" s="85">
        <v>30</v>
      </c>
      <c r="L7085" s="78"/>
      <c r="M7085" s="78"/>
      <c r="N7085" s="78"/>
      <c r="P7085" s="85"/>
    </row>
    <row r="7086" spans="11:16">
      <c r="K7086" s="85">
        <v>32</v>
      </c>
      <c r="L7086" s="78"/>
      <c r="M7086" s="78"/>
      <c r="N7086" s="78"/>
      <c r="P7086" s="85"/>
    </row>
    <row r="7087" spans="11:16">
      <c r="K7087" s="85">
        <v>34</v>
      </c>
      <c r="L7087" s="78"/>
      <c r="M7087" s="78"/>
      <c r="N7087" s="78"/>
      <c r="P7087" s="85"/>
    </row>
    <row r="7088" spans="11:16">
      <c r="K7088" s="85">
        <v>35</v>
      </c>
      <c r="L7088" s="78"/>
      <c r="M7088" s="78"/>
      <c r="N7088" s="78"/>
      <c r="P7088" s="85"/>
    </row>
    <row r="7089" spans="11:16">
      <c r="K7089" s="85">
        <v>25</v>
      </c>
      <c r="L7089" s="78"/>
      <c r="M7089" s="78"/>
      <c r="N7089" s="78"/>
      <c r="P7089" s="85"/>
    </row>
    <row r="7090" spans="11:16">
      <c r="K7090" s="85">
        <v>26</v>
      </c>
      <c r="L7090" s="78"/>
      <c r="M7090" s="78"/>
      <c r="N7090" s="78"/>
      <c r="P7090" s="85"/>
    </row>
    <row r="7091" spans="11:16">
      <c r="K7091" s="85">
        <v>27</v>
      </c>
      <c r="L7091" s="78"/>
      <c r="M7091" s="78"/>
      <c r="N7091" s="78"/>
      <c r="P7091" s="85"/>
    </row>
    <row r="7092" spans="11:16">
      <c r="K7092" s="85">
        <v>31</v>
      </c>
      <c r="L7092" s="78"/>
      <c r="M7092" s="78"/>
      <c r="N7092" s="78"/>
      <c r="P7092" s="85"/>
    </row>
    <row r="7093" spans="11:16">
      <c r="K7093" s="85">
        <v>25</v>
      </c>
      <c r="L7093" s="78"/>
      <c r="M7093" s="78"/>
      <c r="N7093" s="78"/>
      <c r="P7093" s="85"/>
    </row>
    <row r="7094" spans="11:16">
      <c r="K7094" s="85">
        <v>27</v>
      </c>
      <c r="L7094" s="78"/>
      <c r="M7094" s="78"/>
      <c r="N7094" s="78"/>
      <c r="P7094" s="85"/>
    </row>
    <row r="7095" spans="11:16">
      <c r="K7095" s="85">
        <v>28</v>
      </c>
      <c r="L7095" s="78"/>
      <c r="M7095" s="78"/>
      <c r="N7095" s="78"/>
      <c r="P7095" s="85"/>
    </row>
    <row r="7096" spans="11:16">
      <c r="K7096" s="85">
        <v>30</v>
      </c>
      <c r="L7096" s="78"/>
      <c r="M7096" s="78"/>
      <c r="N7096" s="78"/>
      <c r="P7096" s="85"/>
    </row>
    <row r="7097" spans="11:16">
      <c r="K7097" s="85">
        <v>31</v>
      </c>
      <c r="L7097" s="78"/>
      <c r="M7097" s="78"/>
      <c r="N7097" s="78"/>
      <c r="P7097" s="85"/>
    </row>
    <row r="7098" spans="11:16">
      <c r="K7098" s="85">
        <v>32</v>
      </c>
      <c r="L7098" s="78"/>
      <c r="M7098" s="78"/>
      <c r="N7098" s="78"/>
      <c r="P7098" s="85"/>
    </row>
    <row r="7099" spans="11:16">
      <c r="K7099" s="85">
        <v>25</v>
      </c>
      <c r="L7099" s="78"/>
      <c r="M7099" s="78"/>
      <c r="N7099" s="78"/>
      <c r="P7099" s="85"/>
    </row>
    <row r="7100" spans="11:16">
      <c r="K7100" s="85">
        <v>26</v>
      </c>
      <c r="L7100" s="78"/>
      <c r="M7100" s="78"/>
      <c r="N7100" s="78"/>
      <c r="P7100" s="85"/>
    </row>
    <row r="7101" spans="11:16">
      <c r="K7101" s="85">
        <v>27</v>
      </c>
      <c r="L7101" s="78"/>
      <c r="M7101" s="78"/>
      <c r="N7101" s="78"/>
      <c r="P7101" s="85"/>
    </row>
    <row r="7102" spans="11:16">
      <c r="K7102" s="85">
        <v>28</v>
      </c>
      <c r="L7102" s="78"/>
      <c r="M7102" s="78"/>
      <c r="N7102" s="78"/>
      <c r="P7102" s="85"/>
    </row>
    <row r="7103" spans="11:16">
      <c r="K7103" s="85">
        <v>29</v>
      </c>
      <c r="L7103" s="78"/>
      <c r="M7103" s="78"/>
      <c r="N7103" s="78"/>
      <c r="P7103" s="85"/>
    </row>
    <row r="7104" spans="11:16">
      <c r="K7104" s="85">
        <v>30</v>
      </c>
      <c r="L7104" s="78"/>
      <c r="M7104" s="78"/>
      <c r="N7104" s="78"/>
      <c r="P7104" s="85"/>
    </row>
    <row r="7105" spans="11:16">
      <c r="K7105" s="85">
        <v>31</v>
      </c>
      <c r="L7105" s="78"/>
      <c r="M7105" s="78"/>
      <c r="N7105" s="78"/>
      <c r="P7105" s="85"/>
    </row>
    <row r="7106" spans="11:16">
      <c r="K7106" s="85">
        <v>32</v>
      </c>
      <c r="L7106" s="78"/>
      <c r="M7106" s="78"/>
      <c r="N7106" s="78"/>
      <c r="P7106" s="85"/>
    </row>
    <row r="7107" spans="11:16">
      <c r="K7107" s="85">
        <v>34</v>
      </c>
      <c r="L7107" s="78"/>
      <c r="M7107" s="78"/>
      <c r="N7107" s="78"/>
      <c r="P7107" s="85"/>
    </row>
    <row r="7108" spans="11:16">
      <c r="K7108" s="85">
        <v>35</v>
      </c>
      <c r="L7108" s="78"/>
      <c r="M7108" s="78"/>
      <c r="N7108" s="78"/>
      <c r="P7108" s="85"/>
    </row>
    <row r="7109" spans="11:16">
      <c r="K7109" s="85">
        <v>25</v>
      </c>
      <c r="L7109" s="78"/>
      <c r="M7109" s="78"/>
      <c r="N7109" s="78"/>
      <c r="P7109" s="85"/>
    </row>
    <row r="7110" spans="11:16">
      <c r="K7110" s="85">
        <v>26</v>
      </c>
      <c r="L7110" s="78"/>
      <c r="M7110" s="78"/>
      <c r="N7110" s="78"/>
      <c r="P7110" s="85"/>
    </row>
    <row r="7111" spans="11:16">
      <c r="K7111" s="85">
        <v>27</v>
      </c>
      <c r="L7111" s="78"/>
      <c r="M7111" s="78"/>
      <c r="N7111" s="78"/>
      <c r="P7111" s="85"/>
    </row>
    <row r="7112" spans="11:16">
      <c r="K7112" s="85">
        <v>29</v>
      </c>
      <c r="L7112" s="78"/>
      <c r="M7112" s="78"/>
      <c r="N7112" s="78"/>
      <c r="P7112" s="85"/>
    </row>
    <row r="7113" spans="11:16">
      <c r="K7113" s="85">
        <v>30</v>
      </c>
      <c r="L7113" s="78"/>
      <c r="M7113" s="78"/>
      <c r="N7113" s="78"/>
      <c r="P7113" s="85"/>
    </row>
    <row r="7114" spans="11:16">
      <c r="K7114" s="85">
        <v>31</v>
      </c>
      <c r="L7114" s="78"/>
      <c r="M7114" s="78"/>
      <c r="N7114" s="78"/>
      <c r="P7114" s="85"/>
    </row>
    <row r="7115" spans="11:16">
      <c r="K7115" s="85">
        <v>32</v>
      </c>
      <c r="L7115" s="78"/>
      <c r="M7115" s="78"/>
      <c r="N7115" s="78"/>
      <c r="P7115" s="85"/>
    </row>
    <row r="7116" spans="11:16">
      <c r="K7116" s="85">
        <v>33</v>
      </c>
      <c r="L7116" s="78"/>
      <c r="M7116" s="78"/>
      <c r="N7116" s="78"/>
      <c r="P7116" s="85"/>
    </row>
    <row r="7117" spans="11:16">
      <c r="K7117" s="85">
        <v>34</v>
      </c>
      <c r="L7117" s="78"/>
      <c r="M7117" s="78"/>
      <c r="N7117" s="78"/>
      <c r="P7117" s="85"/>
    </row>
    <row r="7118" spans="11:16">
      <c r="K7118" s="85">
        <v>35</v>
      </c>
      <c r="L7118" s="78"/>
      <c r="M7118" s="78"/>
      <c r="N7118" s="78"/>
      <c r="P7118" s="85"/>
    </row>
    <row r="7119" spans="11:16">
      <c r="K7119" s="85">
        <v>36</v>
      </c>
      <c r="L7119" s="78"/>
      <c r="M7119" s="78"/>
      <c r="N7119" s="78"/>
      <c r="P7119" s="85"/>
    </row>
    <row r="7120" spans="11:16">
      <c r="K7120" s="85">
        <v>25</v>
      </c>
      <c r="L7120" s="78"/>
      <c r="M7120" s="78"/>
      <c r="N7120" s="78"/>
      <c r="P7120" s="85"/>
    </row>
    <row r="7121" spans="11:16">
      <c r="K7121" s="85">
        <v>26</v>
      </c>
      <c r="L7121" s="78"/>
      <c r="M7121" s="78"/>
      <c r="N7121" s="78"/>
      <c r="P7121" s="85"/>
    </row>
    <row r="7122" spans="11:16">
      <c r="K7122" s="85">
        <v>27</v>
      </c>
      <c r="L7122" s="78"/>
      <c r="M7122" s="78"/>
      <c r="N7122" s="78"/>
      <c r="P7122" s="85"/>
    </row>
    <row r="7123" spans="11:16">
      <c r="K7123" s="85">
        <v>29</v>
      </c>
      <c r="L7123" s="78"/>
      <c r="M7123" s="78"/>
      <c r="N7123" s="78"/>
      <c r="P7123" s="85"/>
    </row>
    <row r="7124" spans="11:16">
      <c r="K7124" s="85">
        <v>30</v>
      </c>
      <c r="L7124" s="78"/>
      <c r="M7124" s="78"/>
      <c r="N7124" s="78"/>
      <c r="P7124" s="85"/>
    </row>
    <row r="7125" spans="11:16">
      <c r="K7125" s="85">
        <v>31</v>
      </c>
      <c r="L7125" s="78"/>
      <c r="M7125" s="78"/>
      <c r="N7125" s="78"/>
      <c r="P7125" s="85"/>
    </row>
    <row r="7126" spans="11:16">
      <c r="K7126" s="85">
        <v>34</v>
      </c>
      <c r="L7126" s="78"/>
      <c r="M7126" s="78"/>
      <c r="N7126" s="78"/>
      <c r="P7126" s="85"/>
    </row>
    <row r="7127" spans="11:16">
      <c r="K7127" s="85">
        <v>35</v>
      </c>
      <c r="L7127" s="78"/>
      <c r="M7127" s="78"/>
      <c r="N7127" s="78"/>
      <c r="P7127" s="85"/>
    </row>
    <row r="7128" spans="11:16">
      <c r="K7128" s="85">
        <v>25</v>
      </c>
      <c r="L7128" s="78"/>
      <c r="M7128" s="78"/>
      <c r="N7128" s="78"/>
      <c r="P7128" s="85"/>
    </row>
    <row r="7129" spans="11:16">
      <c r="K7129" s="85">
        <v>27</v>
      </c>
      <c r="L7129" s="78"/>
      <c r="M7129" s="78"/>
      <c r="N7129" s="78"/>
      <c r="P7129" s="85"/>
    </row>
    <row r="7130" spans="11:16">
      <c r="K7130" s="85">
        <v>28</v>
      </c>
      <c r="L7130" s="78"/>
      <c r="M7130" s="78"/>
      <c r="N7130" s="78"/>
      <c r="P7130" s="85"/>
    </row>
    <row r="7131" spans="11:16">
      <c r="K7131" s="85">
        <v>31</v>
      </c>
      <c r="L7131" s="78"/>
      <c r="M7131" s="78"/>
      <c r="N7131" s="78"/>
      <c r="P7131" s="85"/>
    </row>
    <row r="7132" spans="11:16">
      <c r="K7132" s="85">
        <v>32</v>
      </c>
      <c r="L7132" s="78"/>
      <c r="M7132" s="78"/>
      <c r="N7132" s="78"/>
      <c r="P7132" s="85"/>
    </row>
    <row r="7133" spans="11:16">
      <c r="K7133" s="85">
        <v>33</v>
      </c>
      <c r="L7133" s="78"/>
      <c r="M7133" s="78"/>
      <c r="N7133" s="78"/>
      <c r="P7133" s="85"/>
    </row>
    <row r="7134" spans="11:16">
      <c r="K7134" s="85">
        <v>34</v>
      </c>
      <c r="L7134" s="78"/>
      <c r="M7134" s="78"/>
      <c r="N7134" s="78"/>
      <c r="P7134" s="85"/>
    </row>
    <row r="7135" spans="11:16">
      <c r="K7135" s="85">
        <v>35</v>
      </c>
      <c r="L7135" s="78"/>
      <c r="M7135" s="78"/>
      <c r="N7135" s="78"/>
      <c r="P7135" s="85"/>
    </row>
    <row r="7136" spans="11:16">
      <c r="K7136" s="85">
        <v>26</v>
      </c>
      <c r="L7136" s="78"/>
      <c r="M7136" s="78"/>
      <c r="N7136" s="78"/>
      <c r="P7136" s="85"/>
    </row>
    <row r="7137" spans="11:16">
      <c r="K7137" s="85">
        <v>27</v>
      </c>
      <c r="L7137" s="78"/>
      <c r="M7137" s="78"/>
      <c r="N7137" s="78"/>
      <c r="P7137" s="85"/>
    </row>
    <row r="7138" spans="11:16">
      <c r="K7138" s="85">
        <v>34</v>
      </c>
      <c r="L7138" s="78"/>
      <c r="M7138" s="78"/>
      <c r="N7138" s="78"/>
      <c r="P7138" s="85"/>
    </row>
    <row r="7139" spans="11:16">
      <c r="K7139" s="85">
        <v>35</v>
      </c>
      <c r="L7139" s="78"/>
      <c r="M7139" s="78"/>
      <c r="N7139" s="78"/>
      <c r="P7139" s="85"/>
    </row>
    <row r="7140" spans="11:16">
      <c r="K7140" s="85">
        <v>25</v>
      </c>
      <c r="L7140" s="78"/>
      <c r="M7140" s="78"/>
      <c r="N7140" s="78"/>
      <c r="P7140" s="85"/>
    </row>
    <row r="7141" spans="11:16">
      <c r="K7141" s="85">
        <v>26</v>
      </c>
      <c r="L7141" s="78"/>
      <c r="M7141" s="78"/>
      <c r="N7141" s="78"/>
      <c r="P7141" s="85"/>
    </row>
    <row r="7142" spans="11:16">
      <c r="K7142" s="85">
        <v>27</v>
      </c>
      <c r="L7142" s="78"/>
      <c r="M7142" s="78"/>
      <c r="N7142" s="78"/>
      <c r="P7142" s="85"/>
    </row>
    <row r="7143" spans="11:16">
      <c r="K7143" s="85">
        <v>28</v>
      </c>
      <c r="L7143" s="78"/>
      <c r="M7143" s="78"/>
      <c r="N7143" s="78"/>
      <c r="P7143" s="85"/>
    </row>
    <row r="7144" spans="11:16">
      <c r="K7144" s="85">
        <v>31</v>
      </c>
      <c r="L7144" s="78"/>
      <c r="M7144" s="78"/>
      <c r="N7144" s="78"/>
      <c r="P7144" s="85"/>
    </row>
    <row r="7145" spans="11:16">
      <c r="K7145" s="85">
        <v>34</v>
      </c>
      <c r="L7145" s="78"/>
      <c r="M7145" s="78"/>
      <c r="N7145" s="78"/>
      <c r="P7145" s="85"/>
    </row>
    <row r="7146" spans="11:16">
      <c r="K7146" s="85">
        <v>35</v>
      </c>
      <c r="L7146" s="78"/>
      <c r="M7146" s="78"/>
      <c r="N7146" s="78"/>
      <c r="P7146" s="85"/>
    </row>
    <row r="7147" spans="11:16">
      <c r="K7147" s="85">
        <v>36</v>
      </c>
      <c r="L7147" s="78"/>
      <c r="M7147" s="78"/>
      <c r="N7147" s="78"/>
      <c r="P7147" s="85"/>
    </row>
    <row r="7148" spans="11:16">
      <c r="K7148" s="85">
        <v>25</v>
      </c>
      <c r="L7148" s="78"/>
      <c r="M7148" s="78"/>
      <c r="N7148" s="78"/>
      <c r="P7148" s="85"/>
    </row>
    <row r="7149" spans="11:16">
      <c r="K7149" s="85">
        <v>26</v>
      </c>
      <c r="L7149" s="78"/>
      <c r="M7149" s="78"/>
      <c r="N7149" s="78"/>
      <c r="P7149" s="85"/>
    </row>
    <row r="7150" spans="11:16">
      <c r="K7150" s="85">
        <v>27</v>
      </c>
      <c r="L7150" s="78"/>
      <c r="M7150" s="78"/>
      <c r="N7150" s="78"/>
      <c r="P7150" s="85"/>
    </row>
    <row r="7151" spans="11:16">
      <c r="K7151" s="85">
        <v>28</v>
      </c>
      <c r="L7151" s="78"/>
      <c r="M7151" s="78"/>
      <c r="N7151" s="78"/>
      <c r="P7151" s="85"/>
    </row>
    <row r="7152" spans="11:16">
      <c r="K7152" s="85">
        <v>30</v>
      </c>
      <c r="L7152" s="78"/>
      <c r="M7152" s="78"/>
      <c r="N7152" s="78"/>
      <c r="P7152" s="85"/>
    </row>
    <row r="7153" spans="11:16">
      <c r="K7153" s="85">
        <v>31</v>
      </c>
      <c r="L7153" s="78"/>
      <c r="M7153" s="78"/>
      <c r="N7153" s="78"/>
      <c r="P7153" s="85"/>
    </row>
    <row r="7154" spans="11:16">
      <c r="K7154" s="85">
        <v>32</v>
      </c>
      <c r="L7154" s="78"/>
      <c r="M7154" s="78"/>
      <c r="N7154" s="78"/>
      <c r="P7154" s="85"/>
    </row>
    <row r="7155" spans="11:16">
      <c r="K7155" s="85">
        <v>33</v>
      </c>
      <c r="L7155" s="78"/>
      <c r="M7155" s="78"/>
      <c r="N7155" s="78"/>
      <c r="P7155" s="85"/>
    </row>
    <row r="7156" spans="11:16">
      <c r="K7156" s="85">
        <v>34</v>
      </c>
      <c r="L7156" s="78"/>
      <c r="M7156" s="78"/>
      <c r="N7156" s="78"/>
      <c r="P7156" s="85"/>
    </row>
    <row r="7157" spans="11:16">
      <c r="K7157" s="85">
        <v>35</v>
      </c>
      <c r="L7157" s="78"/>
      <c r="M7157" s="78"/>
      <c r="N7157" s="78"/>
      <c r="P7157" s="85"/>
    </row>
    <row r="7158" spans="11:16">
      <c r="K7158" s="85">
        <v>36</v>
      </c>
      <c r="L7158" s="78"/>
      <c r="M7158" s="78"/>
      <c r="N7158" s="78"/>
      <c r="P7158" s="85"/>
    </row>
    <row r="7159" spans="11:16">
      <c r="K7159" s="85">
        <v>25</v>
      </c>
      <c r="L7159" s="78"/>
      <c r="M7159" s="78"/>
      <c r="N7159" s="78"/>
      <c r="P7159" s="85"/>
    </row>
    <row r="7160" spans="11:16">
      <c r="K7160" s="85">
        <v>27</v>
      </c>
      <c r="L7160" s="78"/>
      <c r="M7160" s="78"/>
      <c r="N7160" s="78"/>
      <c r="P7160" s="85"/>
    </row>
    <row r="7161" spans="11:16">
      <c r="K7161" s="85">
        <v>30</v>
      </c>
      <c r="L7161" s="78"/>
      <c r="M7161" s="78"/>
      <c r="N7161" s="78"/>
      <c r="P7161" s="85"/>
    </row>
    <row r="7162" spans="11:16">
      <c r="K7162" s="85">
        <v>31</v>
      </c>
      <c r="L7162" s="78"/>
      <c r="M7162" s="78"/>
      <c r="N7162" s="78"/>
      <c r="P7162" s="85"/>
    </row>
    <row r="7163" spans="11:16">
      <c r="K7163" s="85">
        <v>25</v>
      </c>
      <c r="L7163" s="78"/>
      <c r="M7163" s="78"/>
      <c r="N7163" s="78"/>
      <c r="P7163" s="85"/>
    </row>
    <row r="7164" spans="11:16">
      <c r="K7164" s="85">
        <v>27</v>
      </c>
      <c r="L7164" s="78"/>
      <c r="M7164" s="78"/>
      <c r="N7164" s="78"/>
      <c r="P7164" s="85"/>
    </row>
    <row r="7165" spans="11:16">
      <c r="K7165" s="85">
        <v>28</v>
      </c>
      <c r="L7165" s="78"/>
      <c r="M7165" s="78"/>
      <c r="N7165" s="78"/>
      <c r="P7165" s="85"/>
    </row>
    <row r="7166" spans="11:16">
      <c r="K7166" s="85">
        <v>30</v>
      </c>
      <c r="L7166" s="78"/>
      <c r="M7166" s="78"/>
      <c r="N7166" s="78"/>
      <c r="P7166" s="85"/>
    </row>
    <row r="7167" spans="11:16">
      <c r="K7167" s="85">
        <v>31</v>
      </c>
      <c r="L7167" s="78"/>
      <c r="M7167" s="78"/>
      <c r="N7167" s="78"/>
      <c r="P7167" s="85"/>
    </row>
    <row r="7168" spans="11:16">
      <c r="K7168" s="85">
        <v>32</v>
      </c>
      <c r="L7168" s="78"/>
      <c r="M7168" s="78"/>
      <c r="N7168" s="78"/>
      <c r="P7168" s="85"/>
    </row>
    <row r="7169" spans="11:16">
      <c r="K7169" s="85">
        <v>34</v>
      </c>
      <c r="L7169" s="78"/>
      <c r="M7169" s="78"/>
      <c r="N7169" s="78"/>
      <c r="P7169" s="85"/>
    </row>
    <row r="7170" spans="11:16">
      <c r="K7170" s="85">
        <v>35</v>
      </c>
      <c r="L7170" s="78"/>
      <c r="M7170" s="78"/>
      <c r="N7170" s="78"/>
      <c r="P7170" s="85"/>
    </row>
    <row r="7171" spans="11:16">
      <c r="K7171" s="85">
        <v>36</v>
      </c>
      <c r="L7171" s="78"/>
      <c r="M7171" s="78"/>
      <c r="N7171" s="78"/>
      <c r="P7171" s="85"/>
    </row>
    <row r="7172" spans="11:16">
      <c r="K7172" s="85">
        <v>25</v>
      </c>
      <c r="L7172" s="78"/>
      <c r="M7172" s="78"/>
      <c r="N7172" s="78"/>
      <c r="P7172" s="85"/>
    </row>
    <row r="7173" spans="11:16">
      <c r="K7173" s="85">
        <v>26</v>
      </c>
      <c r="L7173" s="78"/>
      <c r="M7173" s="78"/>
      <c r="N7173" s="78"/>
      <c r="P7173" s="85"/>
    </row>
    <row r="7174" spans="11:16">
      <c r="K7174" s="85">
        <v>27</v>
      </c>
      <c r="L7174" s="78"/>
      <c r="M7174" s="78"/>
      <c r="N7174" s="78"/>
      <c r="P7174" s="85"/>
    </row>
    <row r="7175" spans="11:16">
      <c r="K7175" s="85">
        <v>30</v>
      </c>
      <c r="L7175" s="78"/>
      <c r="M7175" s="78"/>
      <c r="N7175" s="78"/>
      <c r="P7175" s="85"/>
    </row>
    <row r="7176" spans="11:16">
      <c r="K7176" s="85">
        <v>31</v>
      </c>
      <c r="L7176" s="78"/>
      <c r="M7176" s="78"/>
      <c r="N7176" s="78"/>
      <c r="P7176" s="85"/>
    </row>
    <row r="7177" spans="11:16">
      <c r="K7177" s="85">
        <v>32</v>
      </c>
      <c r="L7177" s="78"/>
      <c r="M7177" s="78"/>
      <c r="N7177" s="78"/>
      <c r="P7177" s="85"/>
    </row>
    <row r="7178" spans="11:16">
      <c r="K7178" s="85">
        <v>35</v>
      </c>
      <c r="L7178" s="78"/>
      <c r="M7178" s="78"/>
      <c r="N7178" s="78"/>
      <c r="P7178" s="85"/>
    </row>
    <row r="7179" spans="11:16">
      <c r="K7179" s="85">
        <v>36</v>
      </c>
      <c r="L7179" s="78"/>
      <c r="M7179" s="78"/>
      <c r="N7179" s="78"/>
      <c r="P7179" s="85"/>
    </row>
    <row r="7180" spans="11:16">
      <c r="K7180" s="85">
        <v>26</v>
      </c>
      <c r="L7180" s="78"/>
      <c r="M7180" s="78"/>
      <c r="N7180" s="78"/>
      <c r="P7180" s="85"/>
    </row>
    <row r="7181" spans="11:16">
      <c r="K7181" s="85">
        <v>27</v>
      </c>
      <c r="L7181" s="78"/>
      <c r="M7181" s="78"/>
      <c r="N7181" s="78"/>
      <c r="P7181" s="85"/>
    </row>
    <row r="7182" spans="11:16">
      <c r="K7182" s="85">
        <v>28</v>
      </c>
      <c r="L7182" s="78"/>
      <c r="M7182" s="78"/>
      <c r="N7182" s="78"/>
      <c r="P7182" s="85"/>
    </row>
    <row r="7183" spans="11:16">
      <c r="K7183" s="85">
        <v>30</v>
      </c>
      <c r="L7183" s="78"/>
      <c r="M7183" s="78"/>
      <c r="N7183" s="78"/>
      <c r="P7183" s="85"/>
    </row>
    <row r="7184" spans="11:16">
      <c r="K7184" s="85">
        <v>31</v>
      </c>
      <c r="L7184" s="78"/>
      <c r="M7184" s="78"/>
      <c r="N7184" s="78"/>
      <c r="P7184" s="85"/>
    </row>
    <row r="7185" spans="11:16">
      <c r="K7185" s="85">
        <v>32</v>
      </c>
      <c r="L7185" s="78"/>
      <c r="M7185" s="78"/>
      <c r="N7185" s="78"/>
      <c r="P7185" s="85"/>
    </row>
    <row r="7186" spans="11:16">
      <c r="K7186" s="85">
        <v>34</v>
      </c>
      <c r="L7186" s="78"/>
      <c r="M7186" s="78"/>
      <c r="N7186" s="78"/>
      <c r="P7186" s="85"/>
    </row>
    <row r="7187" spans="11:16">
      <c r="K7187" s="85">
        <v>35</v>
      </c>
      <c r="L7187" s="78"/>
      <c r="M7187" s="78"/>
      <c r="N7187" s="78"/>
      <c r="P7187" s="85"/>
    </row>
    <row r="7188" spans="11:16">
      <c r="K7188" s="85">
        <v>36</v>
      </c>
      <c r="L7188" s="78"/>
      <c r="M7188" s="78"/>
      <c r="N7188" s="78"/>
      <c r="P7188" s="85"/>
    </row>
    <row r="7189" spans="11:16">
      <c r="K7189" s="85">
        <v>25</v>
      </c>
      <c r="L7189" s="78"/>
      <c r="M7189" s="78"/>
      <c r="N7189" s="78"/>
      <c r="P7189" s="85"/>
    </row>
    <row r="7190" spans="11:16">
      <c r="K7190" s="85">
        <v>26</v>
      </c>
      <c r="L7190" s="78"/>
      <c r="M7190" s="78"/>
      <c r="N7190" s="78"/>
      <c r="P7190" s="85"/>
    </row>
    <row r="7191" spans="11:16">
      <c r="K7191" s="85">
        <v>27</v>
      </c>
      <c r="L7191" s="78"/>
      <c r="M7191" s="78"/>
      <c r="N7191" s="78"/>
      <c r="P7191" s="85"/>
    </row>
    <row r="7192" spans="11:16">
      <c r="K7192" s="85">
        <v>28</v>
      </c>
      <c r="L7192" s="78"/>
      <c r="M7192" s="78"/>
      <c r="N7192" s="78"/>
      <c r="P7192" s="85"/>
    </row>
    <row r="7193" spans="11:16">
      <c r="K7193" s="85">
        <v>29</v>
      </c>
      <c r="L7193" s="78"/>
      <c r="M7193" s="78"/>
      <c r="N7193" s="78"/>
      <c r="P7193" s="85"/>
    </row>
    <row r="7194" spans="11:16">
      <c r="K7194" s="85">
        <v>30</v>
      </c>
      <c r="L7194" s="78"/>
      <c r="M7194" s="78"/>
      <c r="N7194" s="78"/>
      <c r="P7194" s="85"/>
    </row>
    <row r="7195" spans="11:16">
      <c r="K7195" s="85">
        <v>31</v>
      </c>
      <c r="L7195" s="78"/>
      <c r="M7195" s="78"/>
      <c r="N7195" s="78"/>
      <c r="P7195" s="85"/>
    </row>
    <row r="7196" spans="11:16">
      <c r="K7196" s="85">
        <v>32</v>
      </c>
      <c r="L7196" s="78"/>
      <c r="M7196" s="78"/>
      <c r="N7196" s="78"/>
      <c r="P7196" s="85"/>
    </row>
    <row r="7197" spans="11:16">
      <c r="K7197" s="85">
        <v>33</v>
      </c>
      <c r="L7197" s="78"/>
      <c r="M7197" s="78"/>
      <c r="N7197" s="78"/>
      <c r="P7197" s="85"/>
    </row>
    <row r="7198" spans="11:16">
      <c r="K7198" s="85">
        <v>34</v>
      </c>
      <c r="L7198" s="78"/>
      <c r="M7198" s="78"/>
      <c r="N7198" s="78"/>
      <c r="P7198" s="85"/>
    </row>
    <row r="7199" spans="11:16">
      <c r="K7199" s="85">
        <v>35</v>
      </c>
      <c r="L7199" s="78"/>
      <c r="M7199" s="78"/>
      <c r="N7199" s="78"/>
      <c r="P7199" s="85"/>
    </row>
    <row r="7200" spans="11:16">
      <c r="K7200" s="85">
        <v>36</v>
      </c>
      <c r="L7200" s="78"/>
      <c r="M7200" s="78"/>
      <c r="N7200" s="78"/>
      <c r="P7200" s="85"/>
    </row>
    <row r="7201" spans="11:16">
      <c r="K7201" s="85">
        <v>25</v>
      </c>
      <c r="L7201" s="78"/>
      <c r="M7201" s="78"/>
      <c r="N7201" s="78"/>
      <c r="P7201" s="85"/>
    </row>
    <row r="7202" spans="11:16">
      <c r="K7202" s="85">
        <v>27</v>
      </c>
      <c r="L7202" s="78"/>
      <c r="M7202" s="78"/>
      <c r="N7202" s="78"/>
      <c r="P7202" s="85"/>
    </row>
    <row r="7203" spans="11:16">
      <c r="K7203" s="85">
        <v>28</v>
      </c>
      <c r="L7203" s="78"/>
      <c r="M7203" s="78"/>
      <c r="N7203" s="78"/>
      <c r="P7203" s="85"/>
    </row>
    <row r="7204" spans="11:16">
      <c r="K7204" s="85">
        <v>29</v>
      </c>
      <c r="L7204" s="78"/>
      <c r="M7204" s="78"/>
      <c r="N7204" s="78"/>
      <c r="P7204" s="85"/>
    </row>
    <row r="7205" spans="11:16">
      <c r="K7205" s="85">
        <v>31</v>
      </c>
      <c r="L7205" s="78"/>
      <c r="M7205" s="78"/>
      <c r="N7205" s="78"/>
      <c r="P7205" s="85"/>
    </row>
    <row r="7206" spans="11:16">
      <c r="K7206" s="85">
        <v>32</v>
      </c>
      <c r="L7206" s="78"/>
      <c r="M7206" s="78"/>
      <c r="N7206" s="78"/>
      <c r="P7206" s="85"/>
    </row>
    <row r="7207" spans="11:16">
      <c r="K7207" s="85">
        <v>33</v>
      </c>
      <c r="L7207" s="78"/>
      <c r="M7207" s="78"/>
      <c r="N7207" s="78"/>
      <c r="P7207" s="85"/>
    </row>
    <row r="7208" spans="11:16">
      <c r="K7208" s="85">
        <v>34</v>
      </c>
      <c r="L7208" s="78"/>
      <c r="M7208" s="78"/>
      <c r="N7208" s="78"/>
      <c r="P7208" s="85"/>
    </row>
    <row r="7209" spans="11:16">
      <c r="K7209" s="85">
        <v>35</v>
      </c>
      <c r="L7209" s="78"/>
      <c r="M7209" s="78"/>
      <c r="N7209" s="78"/>
      <c r="P7209" s="85"/>
    </row>
    <row r="7210" spans="11:16">
      <c r="K7210" s="85">
        <v>36</v>
      </c>
      <c r="L7210" s="78"/>
      <c r="M7210" s="78"/>
      <c r="N7210" s="78"/>
      <c r="P7210" s="85"/>
    </row>
    <row r="7211" spans="11:16">
      <c r="K7211" s="85">
        <v>25</v>
      </c>
      <c r="L7211" s="78"/>
      <c r="M7211" s="78"/>
      <c r="N7211" s="78"/>
      <c r="P7211" s="85"/>
    </row>
    <row r="7212" spans="11:16">
      <c r="K7212" s="85">
        <v>26</v>
      </c>
      <c r="L7212" s="78"/>
      <c r="M7212" s="78"/>
      <c r="N7212" s="78"/>
      <c r="P7212" s="85"/>
    </row>
    <row r="7213" spans="11:16">
      <c r="K7213" s="85">
        <v>27</v>
      </c>
      <c r="L7213" s="78"/>
      <c r="M7213" s="78"/>
      <c r="N7213" s="78"/>
      <c r="P7213" s="85"/>
    </row>
    <row r="7214" spans="11:16">
      <c r="K7214" s="85">
        <v>28</v>
      </c>
      <c r="L7214" s="78"/>
      <c r="M7214" s="78"/>
      <c r="N7214" s="78"/>
      <c r="P7214" s="85"/>
    </row>
    <row r="7215" spans="11:16">
      <c r="K7215" s="85">
        <v>31</v>
      </c>
      <c r="L7215" s="78"/>
      <c r="M7215" s="78"/>
      <c r="N7215" s="78"/>
      <c r="P7215" s="85"/>
    </row>
    <row r="7216" spans="11:16">
      <c r="K7216" s="85">
        <v>33</v>
      </c>
      <c r="L7216" s="78"/>
      <c r="M7216" s="78"/>
      <c r="N7216" s="78"/>
      <c r="P7216" s="85"/>
    </row>
    <row r="7217" spans="11:16">
      <c r="K7217" s="85">
        <v>34</v>
      </c>
      <c r="L7217" s="78"/>
      <c r="M7217" s="78"/>
      <c r="N7217" s="78"/>
      <c r="P7217" s="85"/>
    </row>
    <row r="7218" spans="11:16">
      <c r="K7218" s="85">
        <v>35</v>
      </c>
      <c r="L7218" s="78"/>
      <c r="M7218" s="78"/>
      <c r="N7218" s="78"/>
      <c r="P7218" s="85"/>
    </row>
    <row r="7219" spans="11:16">
      <c r="K7219" s="85">
        <v>25</v>
      </c>
      <c r="L7219" s="78"/>
      <c r="M7219" s="78"/>
      <c r="N7219" s="78"/>
      <c r="P7219" s="85"/>
    </row>
    <row r="7220" spans="11:16">
      <c r="K7220" s="85">
        <v>27</v>
      </c>
      <c r="L7220" s="78"/>
      <c r="M7220" s="78"/>
      <c r="N7220" s="78"/>
      <c r="P7220" s="85"/>
    </row>
    <row r="7221" spans="11:16">
      <c r="K7221" s="85">
        <v>34</v>
      </c>
      <c r="L7221" s="78"/>
      <c r="M7221" s="78"/>
      <c r="N7221" s="78"/>
      <c r="P7221" s="85"/>
    </row>
    <row r="7222" spans="11:16">
      <c r="K7222" s="85">
        <v>35</v>
      </c>
      <c r="L7222" s="78"/>
      <c r="M7222" s="78"/>
      <c r="N7222" s="78"/>
      <c r="P7222" s="85"/>
    </row>
    <row r="7223" spans="11:16">
      <c r="K7223" s="85">
        <v>25</v>
      </c>
      <c r="L7223" s="78"/>
      <c r="M7223" s="78"/>
      <c r="N7223" s="78"/>
      <c r="P7223" s="85"/>
    </row>
    <row r="7224" spans="11:16">
      <c r="K7224" s="85">
        <v>26</v>
      </c>
      <c r="L7224" s="78"/>
      <c r="M7224" s="78"/>
      <c r="N7224" s="78"/>
      <c r="P7224" s="85"/>
    </row>
    <row r="7225" spans="11:16">
      <c r="K7225" s="85">
        <v>27</v>
      </c>
      <c r="L7225" s="78"/>
      <c r="M7225" s="78"/>
      <c r="N7225" s="78"/>
      <c r="P7225" s="85"/>
    </row>
    <row r="7226" spans="11:16">
      <c r="K7226" s="85">
        <v>28</v>
      </c>
      <c r="L7226" s="78"/>
      <c r="M7226" s="78"/>
      <c r="N7226" s="78"/>
      <c r="P7226" s="85"/>
    </row>
    <row r="7227" spans="11:16">
      <c r="K7227" s="85">
        <v>29</v>
      </c>
      <c r="L7227" s="78"/>
      <c r="M7227" s="78"/>
      <c r="N7227" s="78"/>
      <c r="P7227" s="85"/>
    </row>
    <row r="7228" spans="11:16">
      <c r="K7228" s="85">
        <v>30</v>
      </c>
      <c r="L7228" s="78"/>
      <c r="M7228" s="78"/>
      <c r="N7228" s="78"/>
      <c r="P7228" s="85"/>
    </row>
    <row r="7229" spans="11:16">
      <c r="K7229" s="85">
        <v>31</v>
      </c>
      <c r="L7229" s="78"/>
      <c r="M7229" s="78"/>
      <c r="N7229" s="78"/>
      <c r="P7229" s="85"/>
    </row>
    <row r="7230" spans="11:16">
      <c r="K7230" s="85">
        <v>32</v>
      </c>
      <c r="L7230" s="78"/>
      <c r="M7230" s="78"/>
      <c r="N7230" s="78"/>
      <c r="P7230" s="85"/>
    </row>
    <row r="7231" spans="11:16">
      <c r="K7231" s="85">
        <v>33</v>
      </c>
      <c r="L7231" s="78"/>
      <c r="M7231" s="78"/>
      <c r="N7231" s="78"/>
      <c r="P7231" s="85"/>
    </row>
    <row r="7232" spans="11:16">
      <c r="K7232" s="85">
        <v>34</v>
      </c>
      <c r="L7232" s="78"/>
      <c r="M7232" s="78"/>
      <c r="N7232" s="78"/>
      <c r="P7232" s="85"/>
    </row>
    <row r="7233" spans="11:16">
      <c r="K7233" s="85">
        <v>35</v>
      </c>
      <c r="L7233" s="78"/>
      <c r="M7233" s="78"/>
      <c r="N7233" s="78"/>
      <c r="P7233" s="85"/>
    </row>
    <row r="7234" spans="11:16">
      <c r="K7234" s="85">
        <v>36</v>
      </c>
      <c r="L7234" s="78"/>
      <c r="M7234" s="78"/>
      <c r="N7234" s="78"/>
      <c r="P7234" s="85"/>
    </row>
    <row r="7235" spans="11:16">
      <c r="K7235" s="85">
        <v>25</v>
      </c>
      <c r="L7235" s="78"/>
      <c r="M7235" s="78"/>
      <c r="N7235" s="78"/>
      <c r="P7235" s="85"/>
    </row>
    <row r="7236" spans="11:16">
      <c r="K7236" s="85">
        <v>26</v>
      </c>
      <c r="L7236" s="78"/>
      <c r="M7236" s="78"/>
      <c r="N7236" s="78"/>
      <c r="P7236" s="85"/>
    </row>
    <row r="7237" spans="11:16">
      <c r="K7237" s="85">
        <v>27</v>
      </c>
      <c r="L7237" s="78"/>
      <c r="M7237" s="78"/>
      <c r="N7237" s="78"/>
      <c r="P7237" s="85"/>
    </row>
    <row r="7238" spans="11:16">
      <c r="K7238" s="85">
        <v>28</v>
      </c>
      <c r="L7238" s="78"/>
      <c r="M7238" s="78"/>
      <c r="N7238" s="78"/>
      <c r="P7238" s="85"/>
    </row>
    <row r="7239" spans="11:16">
      <c r="K7239" s="85">
        <v>32</v>
      </c>
      <c r="L7239" s="78"/>
      <c r="M7239" s="78"/>
      <c r="N7239" s="78"/>
      <c r="P7239" s="85"/>
    </row>
    <row r="7240" spans="11:16">
      <c r="K7240" s="85">
        <v>33</v>
      </c>
      <c r="L7240" s="78"/>
      <c r="M7240" s="78"/>
      <c r="N7240" s="78"/>
      <c r="P7240" s="85"/>
    </row>
    <row r="7241" spans="11:16">
      <c r="K7241" s="85">
        <v>25</v>
      </c>
      <c r="L7241" s="78"/>
      <c r="M7241" s="78"/>
      <c r="N7241" s="78"/>
      <c r="P7241" s="85"/>
    </row>
    <row r="7242" spans="11:16">
      <c r="K7242" s="85">
        <v>31</v>
      </c>
      <c r="L7242" s="78"/>
      <c r="M7242" s="78"/>
      <c r="N7242" s="78"/>
      <c r="P7242" s="85"/>
    </row>
    <row r="7243" spans="11:16">
      <c r="K7243" s="85">
        <v>32</v>
      </c>
      <c r="L7243" s="78"/>
      <c r="M7243" s="78"/>
      <c r="N7243" s="78"/>
      <c r="P7243" s="85"/>
    </row>
    <row r="7244" spans="11:16">
      <c r="K7244" s="85">
        <v>34</v>
      </c>
      <c r="L7244" s="78"/>
      <c r="M7244" s="78"/>
      <c r="N7244" s="78"/>
      <c r="P7244" s="85"/>
    </row>
    <row r="7245" spans="11:16">
      <c r="K7245" s="85">
        <v>35</v>
      </c>
      <c r="L7245" s="78"/>
      <c r="M7245" s="78"/>
      <c r="N7245" s="78"/>
      <c r="P7245" s="85"/>
    </row>
    <row r="7246" spans="11:16">
      <c r="K7246" s="85">
        <v>25</v>
      </c>
      <c r="L7246" s="78"/>
      <c r="M7246" s="78"/>
      <c r="N7246" s="78"/>
      <c r="P7246" s="85"/>
    </row>
    <row r="7247" spans="11:16">
      <c r="K7247" s="85">
        <v>26</v>
      </c>
      <c r="L7247" s="78"/>
      <c r="M7247" s="78"/>
      <c r="N7247" s="78"/>
      <c r="P7247" s="85"/>
    </row>
    <row r="7248" spans="11:16">
      <c r="K7248" s="85">
        <v>27</v>
      </c>
      <c r="L7248" s="78"/>
      <c r="M7248" s="78"/>
      <c r="N7248" s="78"/>
      <c r="P7248" s="85"/>
    </row>
    <row r="7249" spans="11:16">
      <c r="K7249" s="85">
        <v>28</v>
      </c>
      <c r="L7249" s="78"/>
      <c r="M7249" s="78"/>
      <c r="N7249" s="78"/>
      <c r="P7249" s="85"/>
    </row>
    <row r="7250" spans="11:16">
      <c r="K7250" s="85">
        <v>29</v>
      </c>
      <c r="L7250" s="78"/>
      <c r="M7250" s="78"/>
      <c r="N7250" s="78"/>
      <c r="P7250" s="85"/>
    </row>
    <row r="7251" spans="11:16">
      <c r="K7251" s="85">
        <v>30</v>
      </c>
      <c r="L7251" s="78"/>
      <c r="M7251" s="78"/>
      <c r="N7251" s="78"/>
      <c r="P7251" s="85"/>
    </row>
    <row r="7252" spans="11:16">
      <c r="K7252" s="85">
        <v>31</v>
      </c>
      <c r="L7252" s="78"/>
      <c r="M7252" s="78"/>
      <c r="N7252" s="78"/>
      <c r="P7252" s="85"/>
    </row>
    <row r="7253" spans="11:16">
      <c r="K7253" s="85">
        <v>32</v>
      </c>
      <c r="L7253" s="78"/>
      <c r="M7253" s="78"/>
      <c r="N7253" s="78"/>
      <c r="P7253" s="85"/>
    </row>
    <row r="7254" spans="11:16">
      <c r="K7254" s="85">
        <v>33</v>
      </c>
      <c r="L7254" s="78"/>
      <c r="M7254" s="78"/>
      <c r="N7254" s="78"/>
      <c r="P7254" s="85"/>
    </row>
    <row r="7255" spans="11:16">
      <c r="K7255" s="85">
        <v>34</v>
      </c>
      <c r="L7255" s="78"/>
      <c r="M7255" s="78"/>
      <c r="N7255" s="78"/>
      <c r="P7255" s="85"/>
    </row>
    <row r="7256" spans="11:16">
      <c r="K7256" s="85">
        <v>35</v>
      </c>
      <c r="L7256" s="78"/>
      <c r="M7256" s="78"/>
      <c r="N7256" s="78"/>
      <c r="P7256" s="85"/>
    </row>
    <row r="7257" spans="11:16">
      <c r="K7257" s="85">
        <v>36</v>
      </c>
      <c r="L7257" s="78"/>
      <c r="M7257" s="78"/>
      <c r="N7257" s="78"/>
      <c r="P7257" s="85"/>
    </row>
    <row r="7258" spans="11:16">
      <c r="K7258" s="85">
        <v>25</v>
      </c>
      <c r="L7258" s="78"/>
      <c r="M7258" s="78"/>
      <c r="N7258" s="78"/>
      <c r="P7258" s="85"/>
    </row>
    <row r="7259" spans="11:16">
      <c r="K7259" s="85">
        <v>26</v>
      </c>
      <c r="L7259" s="78"/>
      <c r="M7259" s="78"/>
      <c r="N7259" s="78"/>
      <c r="P7259" s="85"/>
    </row>
    <row r="7260" spans="11:16">
      <c r="K7260" s="85">
        <v>27</v>
      </c>
      <c r="L7260" s="78"/>
      <c r="M7260" s="78"/>
      <c r="N7260" s="78"/>
      <c r="P7260" s="85"/>
    </row>
    <row r="7261" spans="11:16">
      <c r="K7261" s="85">
        <v>28</v>
      </c>
      <c r="L7261" s="78"/>
      <c r="M7261" s="78"/>
      <c r="N7261" s="78"/>
      <c r="P7261" s="85"/>
    </row>
    <row r="7262" spans="11:16">
      <c r="K7262" s="85">
        <v>29</v>
      </c>
      <c r="L7262" s="78"/>
      <c r="M7262" s="78"/>
      <c r="N7262" s="78"/>
      <c r="P7262" s="85"/>
    </row>
    <row r="7263" spans="11:16">
      <c r="K7263" s="85">
        <v>30</v>
      </c>
      <c r="L7263" s="78"/>
      <c r="M7263" s="78"/>
      <c r="N7263" s="78"/>
      <c r="P7263" s="85"/>
    </row>
    <row r="7264" spans="11:16">
      <c r="K7264" s="85">
        <v>31</v>
      </c>
      <c r="L7264" s="78"/>
      <c r="M7264" s="78"/>
      <c r="N7264" s="78"/>
      <c r="P7264" s="85"/>
    </row>
    <row r="7265" spans="11:16">
      <c r="K7265" s="85">
        <v>32</v>
      </c>
      <c r="L7265" s="78"/>
      <c r="M7265" s="78"/>
      <c r="N7265" s="78"/>
      <c r="P7265" s="85"/>
    </row>
    <row r="7266" spans="11:16">
      <c r="K7266" s="85">
        <v>33</v>
      </c>
      <c r="L7266" s="78"/>
      <c r="M7266" s="78"/>
      <c r="N7266" s="78"/>
      <c r="P7266" s="85"/>
    </row>
    <row r="7267" spans="11:16">
      <c r="K7267" s="85">
        <v>34</v>
      </c>
      <c r="L7267" s="78"/>
      <c r="M7267" s="78"/>
      <c r="N7267" s="78"/>
      <c r="P7267" s="85"/>
    </row>
    <row r="7268" spans="11:16">
      <c r="K7268" s="85">
        <v>35</v>
      </c>
      <c r="L7268" s="78"/>
      <c r="M7268" s="78"/>
      <c r="N7268" s="78"/>
      <c r="P7268" s="85"/>
    </row>
    <row r="7269" spans="11:16">
      <c r="K7269" s="85">
        <v>36</v>
      </c>
      <c r="L7269" s="78"/>
      <c r="M7269" s="78"/>
      <c r="N7269" s="78"/>
      <c r="P7269" s="85"/>
    </row>
    <row r="7270" spans="11:16">
      <c r="K7270" s="85">
        <v>25</v>
      </c>
      <c r="L7270" s="78"/>
      <c r="M7270" s="78"/>
      <c r="N7270" s="78"/>
      <c r="P7270" s="85"/>
    </row>
    <row r="7271" spans="11:16">
      <c r="K7271" s="85">
        <v>26</v>
      </c>
      <c r="L7271" s="78"/>
      <c r="M7271" s="78"/>
      <c r="N7271" s="78"/>
      <c r="P7271" s="85"/>
    </row>
    <row r="7272" spans="11:16">
      <c r="K7272" s="85">
        <v>27</v>
      </c>
      <c r="L7272" s="78"/>
      <c r="M7272" s="78"/>
      <c r="N7272" s="78"/>
      <c r="P7272" s="85"/>
    </row>
    <row r="7273" spans="11:16">
      <c r="K7273" s="85">
        <v>28</v>
      </c>
      <c r="L7273" s="78"/>
      <c r="M7273" s="78"/>
      <c r="N7273" s="78"/>
      <c r="P7273" s="85"/>
    </row>
    <row r="7274" spans="11:16">
      <c r="K7274" s="85">
        <v>30</v>
      </c>
      <c r="L7274" s="78"/>
      <c r="M7274" s="78"/>
      <c r="N7274" s="78"/>
      <c r="P7274" s="85"/>
    </row>
    <row r="7275" spans="11:16">
      <c r="K7275" s="85">
        <v>34</v>
      </c>
      <c r="L7275" s="78"/>
      <c r="M7275" s="78"/>
      <c r="N7275" s="78"/>
      <c r="P7275" s="85"/>
    </row>
    <row r="7276" spans="11:16">
      <c r="K7276" s="85">
        <v>26</v>
      </c>
      <c r="L7276" s="78"/>
      <c r="M7276" s="78"/>
      <c r="N7276" s="78"/>
      <c r="P7276" s="85"/>
    </row>
    <row r="7277" spans="11:16">
      <c r="K7277" s="85">
        <v>27</v>
      </c>
      <c r="L7277" s="78"/>
      <c r="M7277" s="78"/>
      <c r="N7277" s="78"/>
      <c r="P7277" s="85"/>
    </row>
    <row r="7278" spans="11:16">
      <c r="K7278" s="85">
        <v>28</v>
      </c>
      <c r="L7278" s="78"/>
      <c r="M7278" s="78"/>
      <c r="N7278" s="78"/>
      <c r="P7278" s="85"/>
    </row>
    <row r="7279" spans="11:16">
      <c r="K7279" s="85">
        <v>30</v>
      </c>
      <c r="L7279" s="78"/>
      <c r="M7279" s="78"/>
      <c r="N7279" s="78"/>
      <c r="P7279" s="85"/>
    </row>
    <row r="7280" spans="11:16">
      <c r="K7280" s="85">
        <v>31</v>
      </c>
      <c r="L7280" s="78"/>
      <c r="M7280" s="78"/>
      <c r="N7280" s="78"/>
      <c r="P7280" s="85"/>
    </row>
    <row r="7281" spans="11:16">
      <c r="K7281" s="85">
        <v>32</v>
      </c>
      <c r="L7281" s="78"/>
      <c r="M7281" s="78"/>
      <c r="N7281" s="78"/>
      <c r="P7281" s="85"/>
    </row>
    <row r="7282" spans="11:16">
      <c r="K7282" s="85">
        <v>33</v>
      </c>
      <c r="L7282" s="78"/>
      <c r="M7282" s="78"/>
      <c r="N7282" s="78"/>
      <c r="P7282" s="85"/>
    </row>
    <row r="7283" spans="11:16">
      <c r="K7283" s="85">
        <v>34</v>
      </c>
      <c r="L7283" s="78"/>
      <c r="M7283" s="78"/>
      <c r="N7283" s="78"/>
      <c r="P7283" s="85"/>
    </row>
    <row r="7284" spans="11:16">
      <c r="K7284" s="85">
        <v>35</v>
      </c>
      <c r="L7284" s="78"/>
      <c r="M7284" s="78"/>
      <c r="N7284" s="78"/>
      <c r="P7284" s="85"/>
    </row>
    <row r="7285" spans="11:16">
      <c r="K7285" s="85">
        <v>27</v>
      </c>
      <c r="L7285" s="78"/>
      <c r="M7285" s="78"/>
      <c r="N7285" s="78"/>
      <c r="P7285" s="85"/>
    </row>
    <row r="7286" spans="11:16">
      <c r="K7286" s="85">
        <v>31</v>
      </c>
      <c r="L7286" s="78"/>
      <c r="M7286" s="78"/>
      <c r="N7286" s="78"/>
      <c r="P7286" s="85"/>
    </row>
    <row r="7287" spans="11:16">
      <c r="K7287" s="85">
        <v>34</v>
      </c>
      <c r="L7287" s="78"/>
      <c r="M7287" s="78"/>
      <c r="N7287" s="78"/>
      <c r="P7287" s="85"/>
    </row>
    <row r="7288" spans="11:16">
      <c r="K7288" s="85">
        <v>26</v>
      </c>
      <c r="L7288" s="78"/>
      <c r="M7288" s="78"/>
      <c r="N7288" s="78"/>
      <c r="P7288" s="85"/>
    </row>
    <row r="7289" spans="11:16">
      <c r="K7289" s="85">
        <v>27</v>
      </c>
      <c r="L7289" s="78"/>
      <c r="M7289" s="78"/>
      <c r="N7289" s="78"/>
      <c r="P7289" s="85"/>
    </row>
    <row r="7290" spans="11:16">
      <c r="K7290" s="85">
        <v>31</v>
      </c>
      <c r="L7290" s="78"/>
      <c r="M7290" s="78"/>
      <c r="N7290" s="78"/>
      <c r="P7290" s="85"/>
    </row>
    <row r="7291" spans="11:16">
      <c r="K7291" s="85">
        <v>33</v>
      </c>
      <c r="L7291" s="78"/>
      <c r="M7291" s="78"/>
      <c r="N7291" s="78"/>
      <c r="P7291" s="85"/>
    </row>
    <row r="7292" spans="11:16">
      <c r="K7292" s="85">
        <v>34</v>
      </c>
      <c r="L7292" s="78"/>
      <c r="M7292" s="78"/>
      <c r="N7292" s="78"/>
      <c r="P7292" s="85"/>
    </row>
    <row r="7293" spans="11:16">
      <c r="K7293" s="85">
        <v>35</v>
      </c>
      <c r="L7293" s="78"/>
      <c r="M7293" s="78"/>
      <c r="N7293" s="78"/>
      <c r="P7293" s="85"/>
    </row>
    <row r="7294" spans="11:16">
      <c r="K7294" s="85">
        <v>25</v>
      </c>
      <c r="L7294" s="78"/>
      <c r="M7294" s="78"/>
      <c r="N7294" s="78"/>
      <c r="P7294" s="85"/>
    </row>
    <row r="7295" spans="11:16">
      <c r="K7295" s="85">
        <v>26</v>
      </c>
      <c r="L7295" s="78"/>
      <c r="M7295" s="78"/>
      <c r="N7295" s="78"/>
      <c r="P7295" s="85"/>
    </row>
    <row r="7296" spans="11:16">
      <c r="K7296" s="85">
        <v>27</v>
      </c>
      <c r="L7296" s="78"/>
      <c r="M7296" s="78"/>
      <c r="N7296" s="78"/>
      <c r="P7296" s="85"/>
    </row>
    <row r="7297" spans="11:16">
      <c r="K7297" s="85">
        <v>29</v>
      </c>
      <c r="L7297" s="78"/>
      <c r="M7297" s="78"/>
      <c r="N7297" s="78"/>
      <c r="P7297" s="85"/>
    </row>
    <row r="7298" spans="11:16">
      <c r="K7298" s="85">
        <v>30</v>
      </c>
      <c r="L7298" s="78"/>
      <c r="M7298" s="78"/>
      <c r="N7298" s="78"/>
      <c r="P7298" s="85"/>
    </row>
    <row r="7299" spans="11:16">
      <c r="K7299" s="85">
        <v>31</v>
      </c>
      <c r="L7299" s="78"/>
      <c r="M7299" s="78"/>
      <c r="N7299" s="78"/>
      <c r="P7299" s="85"/>
    </row>
    <row r="7300" spans="11:16">
      <c r="K7300" s="85">
        <v>32</v>
      </c>
      <c r="L7300" s="78"/>
      <c r="M7300" s="78"/>
      <c r="N7300" s="78"/>
      <c r="P7300" s="85"/>
    </row>
    <row r="7301" spans="11:16">
      <c r="K7301" s="85">
        <v>33</v>
      </c>
      <c r="L7301" s="78"/>
      <c r="M7301" s="78"/>
      <c r="N7301" s="78"/>
      <c r="P7301" s="85"/>
    </row>
    <row r="7302" spans="11:16">
      <c r="K7302" s="85">
        <v>34</v>
      </c>
      <c r="L7302" s="78"/>
      <c r="M7302" s="78"/>
      <c r="N7302" s="78"/>
      <c r="P7302" s="85"/>
    </row>
    <row r="7303" spans="11:16">
      <c r="K7303" s="85">
        <v>36</v>
      </c>
      <c r="L7303" s="78"/>
      <c r="M7303" s="78"/>
      <c r="N7303" s="78"/>
      <c r="P7303" s="85"/>
    </row>
    <row r="7304" spans="11:16">
      <c r="K7304" s="85">
        <v>27</v>
      </c>
      <c r="L7304" s="78"/>
      <c r="M7304" s="78"/>
      <c r="N7304" s="78"/>
      <c r="P7304" s="85"/>
    </row>
    <row r="7305" spans="11:16">
      <c r="K7305" s="85">
        <v>29</v>
      </c>
      <c r="L7305" s="78"/>
      <c r="M7305" s="78"/>
      <c r="N7305" s="78"/>
      <c r="P7305" s="85"/>
    </row>
    <row r="7306" spans="11:16">
      <c r="K7306" s="85">
        <v>30</v>
      </c>
      <c r="L7306" s="78"/>
      <c r="M7306" s="78"/>
      <c r="N7306" s="78"/>
      <c r="P7306" s="85"/>
    </row>
    <row r="7307" spans="11:16">
      <c r="K7307" s="85">
        <v>31</v>
      </c>
      <c r="L7307" s="78"/>
      <c r="M7307" s="78"/>
      <c r="N7307" s="78"/>
      <c r="P7307" s="85"/>
    </row>
    <row r="7308" spans="11:16">
      <c r="K7308" s="85">
        <v>32</v>
      </c>
      <c r="L7308" s="78"/>
      <c r="M7308" s="78"/>
      <c r="N7308" s="78"/>
      <c r="P7308" s="85"/>
    </row>
    <row r="7309" spans="11:16">
      <c r="K7309" s="85">
        <v>25</v>
      </c>
      <c r="L7309" s="78"/>
      <c r="M7309" s="78"/>
      <c r="N7309" s="78"/>
      <c r="P7309" s="85"/>
    </row>
    <row r="7310" spans="11:16">
      <c r="K7310" s="85">
        <v>26</v>
      </c>
      <c r="L7310" s="78"/>
      <c r="M7310" s="78"/>
      <c r="N7310" s="78"/>
      <c r="P7310" s="85"/>
    </row>
    <row r="7311" spans="11:16">
      <c r="K7311" s="85">
        <v>27</v>
      </c>
      <c r="L7311" s="78"/>
      <c r="M7311" s="78"/>
      <c r="N7311" s="78"/>
      <c r="P7311" s="85"/>
    </row>
    <row r="7312" spans="11:16">
      <c r="K7312" s="85">
        <v>28</v>
      </c>
      <c r="L7312" s="78"/>
      <c r="M7312" s="78"/>
      <c r="N7312" s="78"/>
      <c r="P7312" s="85"/>
    </row>
    <row r="7313" spans="11:16">
      <c r="K7313" s="85">
        <v>29</v>
      </c>
      <c r="L7313" s="78"/>
      <c r="M7313" s="78"/>
      <c r="N7313" s="78"/>
      <c r="P7313" s="85"/>
    </row>
    <row r="7314" spans="11:16">
      <c r="K7314" s="85">
        <v>30</v>
      </c>
      <c r="L7314" s="78"/>
      <c r="M7314" s="78"/>
      <c r="N7314" s="78"/>
      <c r="P7314" s="85"/>
    </row>
    <row r="7315" spans="11:16">
      <c r="K7315" s="85">
        <v>31</v>
      </c>
      <c r="L7315" s="78"/>
      <c r="M7315" s="78"/>
      <c r="N7315" s="78"/>
      <c r="P7315" s="85"/>
    </row>
    <row r="7316" spans="11:16">
      <c r="K7316" s="85">
        <v>32</v>
      </c>
      <c r="L7316" s="78"/>
      <c r="M7316" s="78"/>
      <c r="N7316" s="78"/>
      <c r="P7316" s="85"/>
    </row>
    <row r="7317" spans="11:16">
      <c r="K7317" s="85">
        <v>33</v>
      </c>
      <c r="L7317" s="78"/>
      <c r="M7317" s="78"/>
      <c r="N7317" s="78"/>
      <c r="P7317" s="85"/>
    </row>
    <row r="7318" spans="11:16">
      <c r="K7318" s="85">
        <v>27</v>
      </c>
      <c r="L7318" s="78"/>
      <c r="M7318" s="78"/>
      <c r="N7318" s="78"/>
      <c r="P7318" s="85"/>
    </row>
    <row r="7319" spans="11:16">
      <c r="K7319" s="85">
        <v>25</v>
      </c>
      <c r="L7319" s="78"/>
      <c r="M7319" s="78"/>
      <c r="N7319" s="78"/>
      <c r="P7319" s="85"/>
    </row>
    <row r="7320" spans="11:16">
      <c r="K7320" s="85">
        <v>26</v>
      </c>
      <c r="L7320" s="78"/>
      <c r="M7320" s="78"/>
      <c r="N7320" s="78"/>
      <c r="P7320" s="85"/>
    </row>
    <row r="7321" spans="11:16">
      <c r="K7321" s="85">
        <v>27</v>
      </c>
      <c r="L7321" s="78"/>
      <c r="M7321" s="78"/>
      <c r="N7321" s="78"/>
      <c r="P7321" s="85"/>
    </row>
    <row r="7322" spans="11:16">
      <c r="K7322" s="85">
        <v>28</v>
      </c>
      <c r="L7322" s="78"/>
      <c r="M7322" s="78"/>
      <c r="N7322" s="78"/>
      <c r="P7322" s="85"/>
    </row>
    <row r="7323" spans="11:16">
      <c r="K7323" s="85">
        <v>31</v>
      </c>
      <c r="L7323" s="78"/>
      <c r="M7323" s="78"/>
      <c r="N7323" s="78"/>
      <c r="P7323" s="85"/>
    </row>
    <row r="7324" spans="11:16">
      <c r="K7324" s="85">
        <v>34</v>
      </c>
      <c r="L7324" s="78"/>
      <c r="M7324" s="78"/>
      <c r="N7324" s="78"/>
      <c r="P7324" s="85"/>
    </row>
    <row r="7325" spans="11:16">
      <c r="K7325" s="85">
        <v>35</v>
      </c>
      <c r="L7325" s="78"/>
      <c r="M7325" s="78"/>
      <c r="N7325" s="78"/>
      <c r="P7325" s="85"/>
    </row>
    <row r="7326" spans="11:16">
      <c r="K7326" s="85">
        <v>26</v>
      </c>
      <c r="L7326" s="78"/>
      <c r="M7326" s="78"/>
      <c r="N7326" s="78"/>
      <c r="P7326" s="85"/>
    </row>
    <row r="7327" spans="11:16">
      <c r="K7327" s="85">
        <v>27</v>
      </c>
      <c r="L7327" s="78"/>
      <c r="M7327" s="78"/>
      <c r="N7327" s="78"/>
      <c r="P7327" s="85"/>
    </row>
    <row r="7328" spans="11:16">
      <c r="K7328" s="85">
        <v>31</v>
      </c>
      <c r="L7328" s="78"/>
      <c r="M7328" s="78"/>
      <c r="N7328" s="78"/>
      <c r="P7328" s="85"/>
    </row>
    <row r="7329" spans="11:16">
      <c r="K7329" s="85">
        <v>35</v>
      </c>
      <c r="L7329" s="78"/>
      <c r="M7329" s="78"/>
      <c r="N7329" s="78"/>
      <c r="P7329" s="85"/>
    </row>
    <row r="7330" spans="11:16">
      <c r="K7330" s="85">
        <v>27</v>
      </c>
      <c r="L7330" s="78"/>
      <c r="M7330" s="78"/>
      <c r="N7330" s="78"/>
      <c r="P7330" s="85"/>
    </row>
    <row r="7331" spans="11:16">
      <c r="K7331" s="85">
        <v>34</v>
      </c>
      <c r="L7331" s="78"/>
      <c r="M7331" s="78"/>
      <c r="N7331" s="78"/>
      <c r="P7331" s="85"/>
    </row>
    <row r="7332" spans="11:16">
      <c r="K7332" s="85">
        <v>27</v>
      </c>
      <c r="L7332" s="78"/>
      <c r="M7332" s="78"/>
      <c r="N7332" s="78"/>
      <c r="P7332" s="85"/>
    </row>
    <row r="7333" spans="11:16">
      <c r="K7333" s="85">
        <v>28</v>
      </c>
      <c r="L7333" s="78"/>
      <c r="M7333" s="78"/>
      <c r="N7333" s="78"/>
      <c r="P7333" s="85"/>
    </row>
    <row r="7334" spans="11:16">
      <c r="K7334" s="85">
        <v>30</v>
      </c>
      <c r="L7334" s="78"/>
      <c r="M7334" s="78"/>
      <c r="N7334" s="78"/>
      <c r="P7334" s="85"/>
    </row>
    <row r="7335" spans="11:16">
      <c r="K7335" s="85">
        <v>34</v>
      </c>
      <c r="L7335" s="78"/>
      <c r="M7335" s="78"/>
      <c r="N7335" s="78"/>
      <c r="P7335" s="85"/>
    </row>
    <row r="7336" spans="11:16">
      <c r="K7336" s="85">
        <v>35</v>
      </c>
      <c r="L7336" s="78"/>
      <c r="M7336" s="78"/>
      <c r="N7336" s="78"/>
      <c r="P7336" s="85"/>
    </row>
    <row r="7337" spans="11:16">
      <c r="K7337" s="85">
        <v>27</v>
      </c>
      <c r="L7337" s="78"/>
      <c r="M7337" s="78"/>
      <c r="N7337" s="78"/>
      <c r="P7337" s="85"/>
    </row>
    <row r="7338" spans="11:16">
      <c r="K7338" s="85">
        <v>28</v>
      </c>
      <c r="L7338" s="78"/>
      <c r="M7338" s="78"/>
      <c r="N7338" s="78"/>
      <c r="P7338" s="85"/>
    </row>
    <row r="7339" spans="11:16">
      <c r="K7339" s="85">
        <v>31</v>
      </c>
      <c r="L7339" s="78"/>
      <c r="M7339" s="78"/>
      <c r="N7339" s="78"/>
      <c r="P7339" s="85"/>
    </row>
    <row r="7340" spans="11:16">
      <c r="K7340" s="85">
        <v>35</v>
      </c>
      <c r="L7340" s="78"/>
      <c r="M7340" s="78"/>
      <c r="N7340" s="78"/>
      <c r="P7340" s="85"/>
    </row>
    <row r="7341" spans="11:16">
      <c r="K7341" s="85">
        <v>27</v>
      </c>
      <c r="L7341" s="78"/>
      <c r="M7341" s="78"/>
      <c r="N7341" s="78"/>
      <c r="P7341" s="85"/>
    </row>
    <row r="7342" spans="11:16">
      <c r="K7342" s="85">
        <v>34</v>
      </c>
      <c r="L7342" s="78"/>
      <c r="M7342" s="78"/>
      <c r="N7342" s="78"/>
      <c r="P7342" s="85"/>
    </row>
    <row r="7343" spans="11:16">
      <c r="K7343" s="85">
        <v>25</v>
      </c>
      <c r="L7343" s="78"/>
      <c r="M7343" s="78"/>
      <c r="N7343" s="78"/>
      <c r="P7343" s="85"/>
    </row>
    <row r="7344" spans="11:16">
      <c r="K7344" s="85">
        <v>26</v>
      </c>
      <c r="L7344" s="78"/>
      <c r="M7344" s="78"/>
      <c r="N7344" s="78"/>
      <c r="P7344" s="85"/>
    </row>
    <row r="7345" spans="11:16">
      <c r="K7345" s="85">
        <v>27</v>
      </c>
      <c r="L7345" s="78"/>
      <c r="M7345" s="78"/>
      <c r="N7345" s="78"/>
      <c r="P7345" s="85"/>
    </row>
    <row r="7346" spans="11:16">
      <c r="K7346" s="85">
        <v>28</v>
      </c>
      <c r="L7346" s="78"/>
      <c r="M7346" s="78"/>
      <c r="N7346" s="78"/>
      <c r="P7346" s="85"/>
    </row>
    <row r="7347" spans="11:16">
      <c r="K7347" s="85">
        <v>29</v>
      </c>
      <c r="L7347" s="78"/>
      <c r="M7347" s="78"/>
      <c r="N7347" s="78"/>
      <c r="P7347" s="85"/>
    </row>
    <row r="7348" spans="11:16">
      <c r="K7348" s="85">
        <v>30</v>
      </c>
      <c r="L7348" s="78"/>
      <c r="M7348" s="78"/>
      <c r="N7348" s="78"/>
      <c r="P7348" s="85"/>
    </row>
    <row r="7349" spans="11:16">
      <c r="K7349" s="85">
        <v>31</v>
      </c>
      <c r="L7349" s="78"/>
      <c r="M7349" s="78"/>
      <c r="N7349" s="78"/>
      <c r="P7349" s="85"/>
    </row>
    <row r="7350" spans="11:16">
      <c r="K7350" s="85">
        <v>32</v>
      </c>
      <c r="L7350" s="78"/>
      <c r="M7350" s="78"/>
      <c r="N7350" s="78"/>
      <c r="P7350" s="85"/>
    </row>
    <row r="7351" spans="11:16">
      <c r="K7351" s="85">
        <v>33</v>
      </c>
      <c r="L7351" s="78"/>
      <c r="M7351" s="78"/>
      <c r="N7351" s="78"/>
      <c r="P7351" s="85"/>
    </row>
    <row r="7352" spans="11:16">
      <c r="K7352" s="85">
        <v>34</v>
      </c>
      <c r="L7352" s="78"/>
      <c r="M7352" s="78"/>
      <c r="N7352" s="78"/>
      <c r="P7352" s="85"/>
    </row>
    <row r="7353" spans="11:16">
      <c r="K7353" s="85">
        <v>35</v>
      </c>
      <c r="L7353" s="78"/>
      <c r="M7353" s="78"/>
      <c r="N7353" s="78"/>
      <c r="P7353" s="85"/>
    </row>
    <row r="7354" spans="11:16">
      <c r="K7354" s="85">
        <v>36</v>
      </c>
      <c r="L7354" s="78"/>
      <c r="M7354" s="78"/>
      <c r="N7354" s="78"/>
      <c r="P7354" s="85"/>
    </row>
    <row r="7355" spans="11:16">
      <c r="K7355" s="85">
        <v>25</v>
      </c>
      <c r="L7355" s="78"/>
      <c r="M7355" s="78"/>
      <c r="N7355" s="78"/>
      <c r="P7355" s="85"/>
    </row>
    <row r="7356" spans="11:16">
      <c r="K7356" s="85">
        <v>26</v>
      </c>
      <c r="L7356" s="78"/>
      <c r="M7356" s="78"/>
      <c r="N7356" s="78"/>
      <c r="P7356" s="85"/>
    </row>
    <row r="7357" spans="11:16">
      <c r="K7357" s="85">
        <v>27</v>
      </c>
      <c r="L7357" s="78"/>
      <c r="M7357" s="78"/>
      <c r="N7357" s="78"/>
      <c r="P7357" s="85"/>
    </row>
    <row r="7358" spans="11:16">
      <c r="K7358" s="85">
        <v>28</v>
      </c>
      <c r="L7358" s="78"/>
      <c r="M7358" s="78"/>
      <c r="N7358" s="78"/>
      <c r="P7358" s="85"/>
    </row>
    <row r="7359" spans="11:16">
      <c r="K7359" s="85">
        <v>29</v>
      </c>
      <c r="L7359" s="78"/>
      <c r="M7359" s="78"/>
      <c r="N7359" s="78"/>
      <c r="P7359" s="85"/>
    </row>
    <row r="7360" spans="11:16">
      <c r="K7360" s="85">
        <v>30</v>
      </c>
      <c r="L7360" s="78"/>
      <c r="M7360" s="78"/>
      <c r="N7360" s="78"/>
      <c r="P7360" s="85"/>
    </row>
    <row r="7361" spans="11:16">
      <c r="K7361" s="85">
        <v>31</v>
      </c>
      <c r="L7361" s="78"/>
      <c r="M7361" s="78"/>
      <c r="N7361" s="78"/>
      <c r="P7361" s="85"/>
    </row>
    <row r="7362" spans="11:16">
      <c r="K7362" s="85">
        <v>32</v>
      </c>
      <c r="L7362" s="78"/>
      <c r="M7362" s="78"/>
      <c r="N7362" s="78"/>
      <c r="P7362" s="85"/>
    </row>
    <row r="7363" spans="11:16">
      <c r="K7363" s="85">
        <v>34</v>
      </c>
      <c r="L7363" s="78"/>
      <c r="M7363" s="78"/>
      <c r="N7363" s="78"/>
      <c r="P7363" s="85"/>
    </row>
    <row r="7364" spans="11:16">
      <c r="K7364" s="85">
        <v>35</v>
      </c>
      <c r="L7364" s="78"/>
      <c r="M7364" s="78"/>
      <c r="N7364" s="78"/>
      <c r="P7364" s="85"/>
    </row>
    <row r="7365" spans="11:16">
      <c r="K7365" s="85">
        <v>25</v>
      </c>
      <c r="L7365" s="78"/>
      <c r="M7365" s="78"/>
      <c r="N7365" s="78"/>
      <c r="P7365" s="85"/>
    </row>
    <row r="7366" spans="11:16">
      <c r="K7366" s="85">
        <v>26</v>
      </c>
      <c r="L7366" s="78"/>
      <c r="M7366" s="78"/>
      <c r="N7366" s="78"/>
      <c r="P7366" s="85"/>
    </row>
    <row r="7367" spans="11:16">
      <c r="K7367" s="85">
        <v>27</v>
      </c>
      <c r="L7367" s="78"/>
      <c r="M7367" s="78"/>
      <c r="N7367" s="78"/>
      <c r="P7367" s="85"/>
    </row>
    <row r="7368" spans="11:16">
      <c r="K7368" s="85">
        <v>28</v>
      </c>
      <c r="L7368" s="78"/>
      <c r="M7368" s="78"/>
      <c r="N7368" s="78"/>
      <c r="P7368" s="85"/>
    </row>
    <row r="7369" spans="11:16">
      <c r="K7369" s="85">
        <v>29</v>
      </c>
      <c r="L7369" s="78"/>
      <c r="M7369" s="78"/>
      <c r="N7369" s="78"/>
      <c r="P7369" s="85"/>
    </row>
    <row r="7370" spans="11:16">
      <c r="K7370" s="85">
        <v>30</v>
      </c>
      <c r="L7370" s="78"/>
      <c r="M7370" s="78"/>
      <c r="N7370" s="78"/>
      <c r="P7370" s="85"/>
    </row>
    <row r="7371" spans="11:16">
      <c r="K7371" s="85">
        <v>31</v>
      </c>
      <c r="L7371" s="78"/>
      <c r="M7371" s="78"/>
      <c r="N7371" s="78"/>
      <c r="P7371" s="85"/>
    </row>
    <row r="7372" spans="11:16">
      <c r="K7372" s="85">
        <v>35</v>
      </c>
      <c r="L7372" s="78"/>
      <c r="M7372" s="78"/>
      <c r="N7372" s="78"/>
      <c r="P7372" s="85"/>
    </row>
    <row r="7373" spans="11:16">
      <c r="K7373" s="85">
        <v>25</v>
      </c>
      <c r="L7373" s="78"/>
      <c r="M7373" s="78"/>
      <c r="N7373" s="78"/>
      <c r="P7373" s="85"/>
    </row>
    <row r="7374" spans="11:16">
      <c r="K7374" s="85">
        <v>28</v>
      </c>
      <c r="L7374" s="78"/>
      <c r="M7374" s="78"/>
      <c r="N7374" s="78"/>
      <c r="P7374" s="85"/>
    </row>
    <row r="7375" spans="11:16">
      <c r="K7375" s="85">
        <v>34</v>
      </c>
      <c r="L7375" s="78"/>
      <c r="M7375" s="78"/>
      <c r="N7375" s="78"/>
      <c r="P7375" s="85"/>
    </row>
    <row r="7376" spans="11:16">
      <c r="K7376" s="85">
        <v>35</v>
      </c>
      <c r="L7376" s="78"/>
      <c r="M7376" s="78"/>
      <c r="N7376" s="78"/>
      <c r="P7376" s="85"/>
    </row>
    <row r="7377" spans="11:16">
      <c r="K7377" s="85">
        <v>25</v>
      </c>
      <c r="L7377" s="78"/>
      <c r="M7377" s="78"/>
      <c r="N7377" s="78"/>
      <c r="P7377" s="85"/>
    </row>
    <row r="7378" spans="11:16">
      <c r="K7378" s="85">
        <v>26</v>
      </c>
      <c r="L7378" s="78"/>
      <c r="M7378" s="78"/>
      <c r="N7378" s="78"/>
      <c r="P7378" s="85"/>
    </row>
    <row r="7379" spans="11:16">
      <c r="K7379" s="85">
        <v>27</v>
      </c>
      <c r="L7379" s="78"/>
      <c r="M7379" s="78"/>
      <c r="N7379" s="78"/>
      <c r="P7379" s="85"/>
    </row>
    <row r="7380" spans="11:16">
      <c r="K7380" s="85">
        <v>28</v>
      </c>
      <c r="L7380" s="78"/>
      <c r="M7380" s="78"/>
      <c r="N7380" s="78"/>
      <c r="P7380" s="85"/>
    </row>
    <row r="7381" spans="11:16">
      <c r="K7381" s="85">
        <v>29</v>
      </c>
      <c r="L7381" s="78"/>
      <c r="M7381" s="78"/>
      <c r="N7381" s="78"/>
      <c r="P7381" s="85"/>
    </row>
    <row r="7382" spans="11:16">
      <c r="K7382" s="85">
        <v>30</v>
      </c>
      <c r="L7382" s="78"/>
      <c r="M7382" s="78"/>
      <c r="N7382" s="78"/>
      <c r="P7382" s="85"/>
    </row>
    <row r="7383" spans="11:16">
      <c r="K7383" s="85">
        <v>31</v>
      </c>
      <c r="L7383" s="78"/>
      <c r="M7383" s="78"/>
      <c r="N7383" s="78"/>
      <c r="P7383" s="85"/>
    </row>
    <row r="7384" spans="11:16">
      <c r="K7384" s="85">
        <v>32</v>
      </c>
      <c r="L7384" s="78"/>
      <c r="M7384" s="78"/>
      <c r="N7384" s="78"/>
      <c r="P7384" s="85"/>
    </row>
    <row r="7385" spans="11:16">
      <c r="K7385" s="85">
        <v>33</v>
      </c>
      <c r="L7385" s="78"/>
      <c r="M7385" s="78"/>
      <c r="N7385" s="78"/>
      <c r="P7385" s="85"/>
    </row>
    <row r="7386" spans="11:16">
      <c r="K7386" s="85">
        <v>34</v>
      </c>
      <c r="L7386" s="78"/>
      <c r="M7386" s="78"/>
      <c r="N7386" s="78"/>
      <c r="P7386" s="85"/>
    </row>
    <row r="7387" spans="11:16">
      <c r="K7387" s="85">
        <v>35</v>
      </c>
      <c r="L7387" s="78"/>
      <c r="M7387" s="78"/>
      <c r="N7387" s="78"/>
      <c r="P7387" s="85"/>
    </row>
    <row r="7388" spans="11:16">
      <c r="K7388" s="85">
        <v>26</v>
      </c>
      <c r="L7388" s="78"/>
      <c r="M7388" s="78"/>
      <c r="N7388" s="78"/>
      <c r="P7388" s="85"/>
    </row>
    <row r="7389" spans="11:16">
      <c r="K7389" s="85">
        <v>27</v>
      </c>
      <c r="L7389" s="78"/>
      <c r="M7389" s="78"/>
      <c r="N7389" s="78"/>
      <c r="P7389" s="85"/>
    </row>
    <row r="7390" spans="11:16">
      <c r="K7390" s="85">
        <v>28</v>
      </c>
      <c r="L7390" s="78"/>
      <c r="M7390" s="78"/>
      <c r="N7390" s="78"/>
      <c r="P7390" s="85"/>
    </row>
    <row r="7391" spans="11:16">
      <c r="K7391" s="85">
        <v>31</v>
      </c>
      <c r="L7391" s="78"/>
      <c r="M7391" s="78"/>
      <c r="N7391" s="78"/>
      <c r="P7391" s="85"/>
    </row>
    <row r="7392" spans="11:16">
      <c r="K7392" s="85">
        <v>32</v>
      </c>
      <c r="L7392" s="78"/>
      <c r="M7392" s="78"/>
      <c r="N7392" s="78"/>
      <c r="P7392" s="85"/>
    </row>
    <row r="7393" spans="11:16">
      <c r="K7393" s="85">
        <v>33</v>
      </c>
      <c r="L7393" s="78"/>
      <c r="M7393" s="78"/>
      <c r="N7393" s="78"/>
      <c r="P7393" s="85"/>
    </row>
    <row r="7394" spans="11:16">
      <c r="K7394" s="85">
        <v>34</v>
      </c>
      <c r="L7394" s="78"/>
      <c r="M7394" s="78"/>
      <c r="N7394" s="78"/>
      <c r="P7394" s="85"/>
    </row>
    <row r="7395" spans="11:16">
      <c r="K7395" s="85">
        <v>35</v>
      </c>
      <c r="L7395" s="78"/>
      <c r="M7395" s="78"/>
      <c r="N7395" s="78"/>
      <c r="P7395" s="85"/>
    </row>
    <row r="7396" spans="11:16">
      <c r="K7396" s="85">
        <v>36</v>
      </c>
      <c r="L7396" s="78"/>
      <c r="M7396" s="78"/>
      <c r="N7396" s="78"/>
      <c r="P7396" s="85"/>
    </row>
    <row r="7397" spans="11:16">
      <c r="K7397" s="85">
        <v>25</v>
      </c>
      <c r="L7397" s="78"/>
      <c r="M7397" s="78"/>
      <c r="N7397" s="78"/>
      <c r="P7397" s="85"/>
    </row>
    <row r="7398" spans="11:16">
      <c r="K7398" s="85">
        <v>26</v>
      </c>
      <c r="L7398" s="78"/>
      <c r="M7398" s="78"/>
      <c r="N7398" s="78"/>
      <c r="P7398" s="85"/>
    </row>
    <row r="7399" spans="11:16">
      <c r="K7399" s="85">
        <v>27</v>
      </c>
      <c r="L7399" s="78"/>
      <c r="M7399" s="78"/>
      <c r="N7399" s="78"/>
      <c r="P7399" s="85"/>
    </row>
    <row r="7400" spans="11:16">
      <c r="K7400" s="85">
        <v>28</v>
      </c>
      <c r="L7400" s="78"/>
      <c r="M7400" s="78"/>
      <c r="N7400" s="78"/>
      <c r="P7400" s="85"/>
    </row>
    <row r="7401" spans="11:16">
      <c r="K7401" s="85">
        <v>29</v>
      </c>
      <c r="L7401" s="78"/>
      <c r="M7401" s="78"/>
      <c r="N7401" s="78"/>
      <c r="P7401" s="85"/>
    </row>
    <row r="7402" spans="11:16">
      <c r="K7402" s="85">
        <v>30</v>
      </c>
      <c r="L7402" s="78"/>
      <c r="M7402" s="78"/>
      <c r="N7402" s="78"/>
      <c r="P7402" s="85"/>
    </row>
    <row r="7403" spans="11:16">
      <c r="K7403" s="85">
        <v>31</v>
      </c>
      <c r="L7403" s="78"/>
      <c r="M7403" s="78"/>
      <c r="N7403" s="78"/>
      <c r="P7403" s="85"/>
    </row>
    <row r="7404" spans="11:16">
      <c r="K7404" s="85">
        <v>32</v>
      </c>
      <c r="L7404" s="78"/>
      <c r="M7404" s="78"/>
      <c r="N7404" s="78"/>
      <c r="P7404" s="85"/>
    </row>
    <row r="7405" spans="11:16">
      <c r="K7405" s="85">
        <v>34</v>
      </c>
      <c r="L7405" s="78"/>
      <c r="M7405" s="78"/>
      <c r="N7405" s="78"/>
      <c r="P7405" s="85"/>
    </row>
    <row r="7406" spans="11:16">
      <c r="K7406" s="85">
        <v>35</v>
      </c>
      <c r="L7406" s="78"/>
      <c r="M7406" s="78"/>
      <c r="N7406" s="78"/>
      <c r="P7406" s="85"/>
    </row>
    <row r="7407" spans="11:16">
      <c r="K7407" s="85">
        <v>25</v>
      </c>
      <c r="L7407" s="78"/>
      <c r="M7407" s="78"/>
      <c r="N7407" s="78"/>
      <c r="P7407" s="85"/>
    </row>
    <row r="7408" spans="11:16">
      <c r="K7408" s="85">
        <v>27</v>
      </c>
      <c r="L7408" s="78"/>
      <c r="M7408" s="78"/>
      <c r="N7408" s="78"/>
      <c r="P7408" s="85"/>
    </row>
    <row r="7409" spans="11:16">
      <c r="K7409" s="85">
        <v>33</v>
      </c>
      <c r="L7409" s="78"/>
      <c r="M7409" s="78"/>
      <c r="N7409" s="78"/>
      <c r="P7409" s="85"/>
    </row>
    <row r="7410" spans="11:16">
      <c r="K7410" s="85">
        <v>25</v>
      </c>
      <c r="L7410" s="78"/>
      <c r="M7410" s="78"/>
      <c r="N7410" s="78"/>
      <c r="P7410" s="85"/>
    </row>
    <row r="7411" spans="11:16">
      <c r="K7411" s="85">
        <v>26</v>
      </c>
      <c r="L7411" s="78"/>
      <c r="M7411" s="78"/>
      <c r="N7411" s="78"/>
      <c r="P7411" s="85"/>
    </row>
    <row r="7412" spans="11:16">
      <c r="K7412" s="85">
        <v>27</v>
      </c>
      <c r="L7412" s="78"/>
      <c r="M7412" s="78"/>
      <c r="N7412" s="78"/>
      <c r="P7412" s="85"/>
    </row>
    <row r="7413" spans="11:16">
      <c r="K7413" s="85">
        <v>28</v>
      </c>
      <c r="L7413" s="78"/>
      <c r="M7413" s="78"/>
      <c r="N7413" s="78"/>
      <c r="P7413" s="85"/>
    </row>
    <row r="7414" spans="11:16">
      <c r="K7414" s="85">
        <v>29</v>
      </c>
      <c r="L7414" s="78"/>
      <c r="M7414" s="78"/>
      <c r="N7414" s="78"/>
      <c r="P7414" s="85"/>
    </row>
    <row r="7415" spans="11:16">
      <c r="K7415" s="85">
        <v>30</v>
      </c>
      <c r="L7415" s="78"/>
      <c r="M7415" s="78"/>
      <c r="N7415" s="78"/>
      <c r="P7415" s="85"/>
    </row>
    <row r="7416" spans="11:16">
      <c r="K7416" s="85">
        <v>31</v>
      </c>
      <c r="L7416" s="78"/>
      <c r="M7416" s="78"/>
      <c r="N7416" s="78"/>
      <c r="P7416" s="85"/>
    </row>
    <row r="7417" spans="11:16">
      <c r="K7417" s="85">
        <v>32</v>
      </c>
      <c r="L7417" s="78"/>
      <c r="M7417" s="78"/>
      <c r="N7417" s="78"/>
      <c r="P7417" s="85"/>
    </row>
    <row r="7418" spans="11:16">
      <c r="K7418" s="85">
        <v>33</v>
      </c>
      <c r="L7418" s="78"/>
      <c r="M7418" s="78"/>
      <c r="N7418" s="78"/>
      <c r="P7418" s="85"/>
    </row>
    <row r="7419" spans="11:16">
      <c r="K7419" s="85">
        <v>34</v>
      </c>
      <c r="L7419" s="78"/>
      <c r="M7419" s="78"/>
      <c r="N7419" s="78"/>
      <c r="P7419" s="85"/>
    </row>
    <row r="7420" spans="11:16">
      <c r="K7420" s="85">
        <v>35</v>
      </c>
      <c r="L7420" s="78"/>
      <c r="M7420" s="78"/>
      <c r="N7420" s="78"/>
      <c r="P7420" s="85"/>
    </row>
    <row r="7421" spans="11:16">
      <c r="K7421" s="85">
        <v>25</v>
      </c>
      <c r="L7421" s="78"/>
      <c r="M7421" s="78"/>
      <c r="N7421" s="78"/>
      <c r="P7421" s="85"/>
    </row>
    <row r="7422" spans="11:16">
      <c r="K7422" s="85">
        <v>26</v>
      </c>
      <c r="L7422" s="78"/>
      <c r="M7422" s="78"/>
      <c r="N7422" s="78"/>
      <c r="P7422" s="85"/>
    </row>
    <row r="7423" spans="11:16">
      <c r="K7423" s="85">
        <v>34</v>
      </c>
      <c r="L7423" s="78"/>
      <c r="M7423" s="78"/>
      <c r="N7423" s="78"/>
      <c r="P7423" s="85"/>
    </row>
    <row r="7424" spans="11:16">
      <c r="K7424" s="85">
        <v>35</v>
      </c>
      <c r="L7424" s="78"/>
      <c r="M7424" s="78"/>
      <c r="N7424" s="78"/>
      <c r="P7424" s="85"/>
    </row>
    <row r="7425" spans="11:16">
      <c r="K7425" s="85">
        <v>36</v>
      </c>
      <c r="L7425" s="78"/>
      <c r="M7425" s="78"/>
      <c r="N7425" s="78"/>
      <c r="P7425" s="85"/>
    </row>
    <row r="7426" spans="11:16">
      <c r="K7426" s="85">
        <v>25</v>
      </c>
      <c r="L7426" s="78"/>
      <c r="M7426" s="78"/>
      <c r="N7426" s="78"/>
      <c r="P7426" s="85"/>
    </row>
    <row r="7427" spans="11:16">
      <c r="K7427" s="85">
        <v>26</v>
      </c>
      <c r="L7427" s="78"/>
      <c r="M7427" s="78"/>
      <c r="N7427" s="78"/>
      <c r="P7427" s="85"/>
    </row>
    <row r="7428" spans="11:16">
      <c r="K7428" s="85">
        <v>27</v>
      </c>
      <c r="L7428" s="78"/>
      <c r="M7428" s="78"/>
      <c r="N7428" s="78"/>
      <c r="P7428" s="85"/>
    </row>
    <row r="7429" spans="11:16">
      <c r="K7429" s="85">
        <v>28</v>
      </c>
      <c r="L7429" s="78"/>
      <c r="M7429" s="78"/>
      <c r="N7429" s="78"/>
      <c r="P7429" s="85"/>
    </row>
    <row r="7430" spans="11:16">
      <c r="K7430" s="85">
        <v>30</v>
      </c>
      <c r="L7430" s="78"/>
      <c r="M7430" s="78"/>
      <c r="N7430" s="78"/>
      <c r="P7430" s="85"/>
    </row>
    <row r="7431" spans="11:16">
      <c r="K7431" s="85">
        <v>31</v>
      </c>
      <c r="L7431" s="78"/>
      <c r="M7431" s="78"/>
      <c r="N7431" s="78"/>
      <c r="P7431" s="85"/>
    </row>
    <row r="7432" spans="11:16">
      <c r="K7432" s="85">
        <v>32</v>
      </c>
      <c r="L7432" s="78"/>
      <c r="M7432" s="78"/>
      <c r="N7432" s="78"/>
      <c r="P7432" s="85"/>
    </row>
    <row r="7433" spans="11:16">
      <c r="K7433" s="85">
        <v>33</v>
      </c>
      <c r="L7433" s="78"/>
      <c r="M7433" s="78"/>
      <c r="N7433" s="78"/>
      <c r="P7433" s="85"/>
    </row>
    <row r="7434" spans="11:16">
      <c r="K7434" s="85">
        <v>34</v>
      </c>
      <c r="L7434" s="78"/>
      <c r="M7434" s="78"/>
      <c r="N7434" s="78"/>
      <c r="P7434" s="85"/>
    </row>
    <row r="7435" spans="11:16">
      <c r="K7435" s="85">
        <v>35</v>
      </c>
      <c r="L7435" s="78"/>
      <c r="M7435" s="78"/>
      <c r="N7435" s="78"/>
      <c r="P7435" s="85"/>
    </row>
    <row r="7436" spans="11:16">
      <c r="K7436" s="85">
        <v>26</v>
      </c>
      <c r="L7436" s="78"/>
      <c r="M7436" s="78"/>
      <c r="N7436" s="78"/>
      <c r="P7436" s="85"/>
    </row>
    <row r="7437" spans="11:16">
      <c r="K7437" s="85">
        <v>27</v>
      </c>
      <c r="L7437" s="78"/>
      <c r="M7437" s="78"/>
      <c r="N7437" s="78"/>
      <c r="P7437" s="85"/>
    </row>
    <row r="7438" spans="11:16">
      <c r="K7438" s="85">
        <v>31</v>
      </c>
      <c r="L7438" s="78"/>
      <c r="M7438" s="78"/>
      <c r="N7438" s="78"/>
      <c r="P7438" s="85"/>
    </row>
    <row r="7439" spans="11:16">
      <c r="K7439" s="85">
        <v>34</v>
      </c>
      <c r="L7439" s="78"/>
      <c r="M7439" s="78"/>
      <c r="N7439" s="78"/>
      <c r="P7439" s="85"/>
    </row>
    <row r="7440" spans="11:16">
      <c r="K7440" s="85">
        <v>35</v>
      </c>
      <c r="L7440" s="78"/>
      <c r="M7440" s="78"/>
      <c r="N7440" s="78"/>
      <c r="P7440" s="85"/>
    </row>
    <row r="7441" spans="11:16">
      <c r="K7441" s="85">
        <v>36</v>
      </c>
      <c r="L7441" s="78"/>
      <c r="M7441" s="78"/>
      <c r="N7441" s="78"/>
      <c r="P7441" s="85"/>
    </row>
    <row r="7442" spans="11:16">
      <c r="K7442" s="85">
        <v>25</v>
      </c>
      <c r="L7442" s="78"/>
      <c r="M7442" s="78"/>
      <c r="N7442" s="78"/>
      <c r="P7442" s="85"/>
    </row>
    <row r="7443" spans="11:16">
      <c r="K7443" s="85">
        <v>26</v>
      </c>
      <c r="L7443" s="78"/>
      <c r="M7443" s="78"/>
      <c r="N7443" s="78"/>
      <c r="P7443" s="85"/>
    </row>
    <row r="7444" spans="11:16">
      <c r="K7444" s="85">
        <v>27</v>
      </c>
      <c r="L7444" s="78"/>
      <c r="M7444" s="78"/>
      <c r="N7444" s="78"/>
      <c r="P7444" s="85"/>
    </row>
    <row r="7445" spans="11:16">
      <c r="K7445" s="85">
        <v>28</v>
      </c>
      <c r="L7445" s="78"/>
      <c r="M7445" s="78"/>
      <c r="N7445" s="78"/>
      <c r="P7445" s="85"/>
    </row>
    <row r="7446" spans="11:16">
      <c r="K7446" s="85">
        <v>29</v>
      </c>
      <c r="L7446" s="78"/>
      <c r="M7446" s="78"/>
      <c r="N7446" s="78"/>
      <c r="P7446" s="85"/>
    </row>
    <row r="7447" spans="11:16">
      <c r="K7447" s="85">
        <v>30</v>
      </c>
      <c r="L7447" s="78"/>
      <c r="M7447" s="78"/>
      <c r="N7447" s="78"/>
      <c r="P7447" s="85"/>
    </row>
    <row r="7448" spans="11:16">
      <c r="K7448" s="85">
        <v>31</v>
      </c>
      <c r="L7448" s="78"/>
      <c r="M7448" s="78"/>
      <c r="N7448" s="78"/>
      <c r="P7448" s="85"/>
    </row>
    <row r="7449" spans="11:16">
      <c r="K7449" s="85">
        <v>32</v>
      </c>
      <c r="L7449" s="78"/>
      <c r="M7449" s="78"/>
      <c r="N7449" s="78"/>
      <c r="P7449" s="85"/>
    </row>
    <row r="7450" spans="11:16">
      <c r="K7450" s="85">
        <v>34</v>
      </c>
      <c r="L7450" s="78"/>
      <c r="M7450" s="78"/>
      <c r="N7450" s="78"/>
      <c r="P7450" s="85"/>
    </row>
    <row r="7451" spans="11:16">
      <c r="K7451" s="85">
        <v>35</v>
      </c>
      <c r="L7451" s="78"/>
      <c r="M7451" s="78"/>
      <c r="N7451" s="78"/>
      <c r="P7451" s="85"/>
    </row>
    <row r="7452" spans="11:16">
      <c r="K7452" s="85">
        <v>27</v>
      </c>
      <c r="L7452" s="78"/>
      <c r="M7452" s="78"/>
      <c r="N7452" s="78"/>
      <c r="P7452" s="85"/>
    </row>
    <row r="7453" spans="11:16">
      <c r="K7453" s="85">
        <v>28</v>
      </c>
      <c r="L7453" s="78"/>
      <c r="M7453" s="78"/>
      <c r="N7453" s="78"/>
      <c r="P7453" s="85"/>
    </row>
    <row r="7454" spans="11:16">
      <c r="K7454" s="85">
        <v>31</v>
      </c>
      <c r="L7454" s="78"/>
      <c r="M7454" s="78"/>
      <c r="N7454" s="78"/>
      <c r="P7454" s="85"/>
    </row>
    <row r="7455" spans="11:16">
      <c r="K7455" s="85">
        <v>32</v>
      </c>
      <c r="L7455" s="78"/>
      <c r="M7455" s="78"/>
      <c r="N7455" s="78"/>
      <c r="P7455" s="85"/>
    </row>
    <row r="7456" spans="11:16">
      <c r="K7456" s="85">
        <v>34</v>
      </c>
      <c r="L7456" s="78"/>
      <c r="M7456" s="78"/>
      <c r="N7456" s="78"/>
      <c r="P7456" s="85"/>
    </row>
    <row r="7457" spans="11:16">
      <c r="K7457" s="85">
        <v>35</v>
      </c>
      <c r="L7457" s="78"/>
      <c r="M7457" s="78"/>
      <c r="N7457" s="78"/>
      <c r="P7457" s="85"/>
    </row>
    <row r="7458" spans="11:16">
      <c r="K7458" s="85">
        <v>27</v>
      </c>
      <c r="L7458" s="78"/>
      <c r="M7458" s="78"/>
      <c r="N7458" s="78"/>
      <c r="P7458" s="85"/>
    </row>
    <row r="7459" spans="11:16">
      <c r="K7459" s="85">
        <v>32</v>
      </c>
      <c r="L7459" s="78"/>
      <c r="M7459" s="78"/>
      <c r="N7459" s="78"/>
      <c r="P7459" s="85"/>
    </row>
    <row r="7460" spans="11:16">
      <c r="K7460" s="85">
        <v>25</v>
      </c>
      <c r="L7460" s="78"/>
      <c r="M7460" s="78"/>
      <c r="N7460" s="78"/>
      <c r="P7460" s="85"/>
    </row>
    <row r="7461" spans="11:16">
      <c r="K7461" s="85">
        <v>26</v>
      </c>
      <c r="L7461" s="78"/>
      <c r="M7461" s="78"/>
      <c r="N7461" s="78"/>
      <c r="P7461" s="85"/>
    </row>
    <row r="7462" spans="11:16">
      <c r="K7462" s="85">
        <v>27</v>
      </c>
      <c r="L7462" s="78"/>
      <c r="M7462" s="78"/>
      <c r="N7462" s="78"/>
      <c r="P7462" s="85"/>
    </row>
    <row r="7463" spans="11:16">
      <c r="K7463" s="85">
        <v>28</v>
      </c>
      <c r="L7463" s="78"/>
      <c r="M7463" s="78"/>
      <c r="N7463" s="78"/>
      <c r="P7463" s="85"/>
    </row>
    <row r="7464" spans="11:16">
      <c r="K7464" s="85">
        <v>29</v>
      </c>
      <c r="L7464" s="78"/>
      <c r="M7464" s="78"/>
      <c r="N7464" s="78"/>
      <c r="P7464" s="85"/>
    </row>
    <row r="7465" spans="11:16">
      <c r="K7465" s="85">
        <v>30</v>
      </c>
      <c r="L7465" s="78"/>
      <c r="M7465" s="78"/>
      <c r="N7465" s="78"/>
      <c r="P7465" s="85"/>
    </row>
    <row r="7466" spans="11:16">
      <c r="K7466" s="85">
        <v>31</v>
      </c>
      <c r="L7466" s="78"/>
      <c r="M7466" s="78"/>
      <c r="N7466" s="78"/>
      <c r="P7466" s="85"/>
    </row>
    <row r="7467" spans="11:16">
      <c r="K7467" s="85">
        <v>32</v>
      </c>
      <c r="L7467" s="78"/>
      <c r="M7467" s="78"/>
      <c r="N7467" s="78"/>
      <c r="P7467" s="85"/>
    </row>
    <row r="7468" spans="11:16">
      <c r="K7468" s="85">
        <v>33</v>
      </c>
      <c r="L7468" s="78"/>
      <c r="M7468" s="78"/>
      <c r="N7468" s="78"/>
      <c r="P7468" s="85"/>
    </row>
    <row r="7469" spans="11:16">
      <c r="K7469" s="85">
        <v>34</v>
      </c>
      <c r="L7469" s="78"/>
      <c r="M7469" s="78"/>
      <c r="N7469" s="78"/>
      <c r="P7469" s="85"/>
    </row>
    <row r="7470" spans="11:16">
      <c r="K7470" s="85">
        <v>35</v>
      </c>
      <c r="L7470" s="78"/>
      <c r="M7470" s="78"/>
      <c r="N7470" s="78"/>
      <c r="P7470" s="85"/>
    </row>
    <row r="7471" spans="11:16">
      <c r="K7471" s="85">
        <v>36</v>
      </c>
      <c r="L7471" s="78"/>
      <c r="M7471" s="78"/>
      <c r="N7471" s="78"/>
      <c r="P7471" s="85"/>
    </row>
    <row r="7472" spans="11:16">
      <c r="K7472" s="85">
        <v>27</v>
      </c>
      <c r="L7472" s="78"/>
      <c r="M7472" s="78"/>
      <c r="N7472" s="78"/>
      <c r="P7472" s="85"/>
    </row>
    <row r="7473" spans="11:16">
      <c r="K7473" s="85">
        <v>34</v>
      </c>
      <c r="L7473" s="78"/>
      <c r="M7473" s="78"/>
      <c r="N7473" s="78"/>
      <c r="P7473" s="85"/>
    </row>
    <row r="7474" spans="11:16">
      <c r="K7474" s="85">
        <v>35</v>
      </c>
      <c r="L7474" s="78"/>
      <c r="M7474" s="78"/>
      <c r="N7474" s="78"/>
      <c r="P7474" s="85"/>
    </row>
    <row r="7475" spans="11:16">
      <c r="K7475" s="85">
        <v>25</v>
      </c>
      <c r="L7475" s="78"/>
      <c r="M7475" s="78"/>
      <c r="N7475" s="78"/>
      <c r="P7475" s="85"/>
    </row>
    <row r="7476" spans="11:16">
      <c r="K7476" s="85">
        <v>26</v>
      </c>
      <c r="L7476" s="78"/>
      <c r="M7476" s="78"/>
      <c r="N7476" s="78"/>
      <c r="P7476" s="85"/>
    </row>
    <row r="7477" spans="11:16">
      <c r="K7477" s="85">
        <v>27</v>
      </c>
      <c r="L7477" s="78"/>
      <c r="M7477" s="78"/>
      <c r="N7477" s="78"/>
      <c r="P7477" s="85"/>
    </row>
    <row r="7478" spans="11:16">
      <c r="K7478" s="85">
        <v>28</v>
      </c>
      <c r="L7478" s="78"/>
      <c r="M7478" s="78"/>
      <c r="N7478" s="78"/>
      <c r="P7478" s="85"/>
    </row>
    <row r="7479" spans="11:16">
      <c r="K7479" s="85">
        <v>30</v>
      </c>
      <c r="L7479" s="78"/>
      <c r="M7479" s="78"/>
      <c r="N7479" s="78"/>
      <c r="P7479" s="85"/>
    </row>
    <row r="7480" spans="11:16">
      <c r="K7480" s="85">
        <v>31</v>
      </c>
      <c r="L7480" s="78"/>
      <c r="M7480" s="78"/>
      <c r="N7480" s="78"/>
      <c r="P7480" s="85"/>
    </row>
    <row r="7481" spans="11:16">
      <c r="K7481" s="85">
        <v>32</v>
      </c>
      <c r="L7481" s="78"/>
      <c r="M7481" s="78"/>
      <c r="N7481" s="78"/>
      <c r="P7481" s="85"/>
    </row>
    <row r="7482" spans="11:16">
      <c r="K7482" s="85">
        <v>33</v>
      </c>
      <c r="L7482" s="78"/>
      <c r="M7482" s="78"/>
      <c r="N7482" s="78"/>
      <c r="P7482" s="85"/>
    </row>
    <row r="7483" spans="11:16">
      <c r="K7483" s="85">
        <v>34</v>
      </c>
      <c r="L7483" s="78"/>
      <c r="M7483" s="78"/>
      <c r="N7483" s="78"/>
      <c r="P7483" s="85"/>
    </row>
    <row r="7484" spans="11:16">
      <c r="K7484" s="85">
        <v>35</v>
      </c>
      <c r="L7484" s="78"/>
      <c r="M7484" s="78"/>
      <c r="N7484" s="78"/>
      <c r="P7484" s="85"/>
    </row>
    <row r="7485" spans="11:16">
      <c r="K7485" s="85">
        <v>36</v>
      </c>
      <c r="L7485" s="78"/>
      <c r="M7485" s="78"/>
      <c r="N7485" s="78"/>
      <c r="P7485" s="85"/>
    </row>
    <row r="7486" spans="11:16">
      <c r="K7486" s="85">
        <v>25</v>
      </c>
      <c r="L7486" s="78"/>
      <c r="M7486" s="78"/>
      <c r="N7486" s="78"/>
      <c r="P7486" s="85"/>
    </row>
    <row r="7487" spans="11:16">
      <c r="K7487" s="85">
        <v>26</v>
      </c>
      <c r="L7487" s="78"/>
      <c r="M7487" s="78"/>
      <c r="N7487" s="78"/>
      <c r="P7487" s="85"/>
    </row>
    <row r="7488" spans="11:16">
      <c r="K7488" s="85">
        <v>27</v>
      </c>
      <c r="L7488" s="78"/>
      <c r="M7488" s="78"/>
      <c r="N7488" s="78"/>
      <c r="P7488" s="85"/>
    </row>
    <row r="7489" spans="11:16">
      <c r="K7489" s="85">
        <v>28</v>
      </c>
      <c r="L7489" s="78"/>
      <c r="M7489" s="78"/>
      <c r="N7489" s="78"/>
      <c r="P7489" s="85"/>
    </row>
    <row r="7490" spans="11:16">
      <c r="K7490" s="85">
        <v>30</v>
      </c>
      <c r="L7490" s="78"/>
      <c r="M7490" s="78"/>
      <c r="N7490" s="78"/>
      <c r="P7490" s="85"/>
    </row>
    <row r="7491" spans="11:16">
      <c r="K7491" s="85">
        <v>31</v>
      </c>
      <c r="L7491" s="78"/>
      <c r="M7491" s="78"/>
      <c r="N7491" s="78"/>
      <c r="P7491" s="85"/>
    </row>
    <row r="7492" spans="11:16">
      <c r="K7492" s="85">
        <v>32</v>
      </c>
      <c r="L7492" s="78"/>
      <c r="M7492" s="78"/>
      <c r="N7492" s="78"/>
      <c r="P7492" s="85"/>
    </row>
    <row r="7493" spans="11:16">
      <c r="K7493" s="85">
        <v>34</v>
      </c>
      <c r="L7493" s="78"/>
      <c r="M7493" s="78"/>
      <c r="N7493" s="78"/>
      <c r="P7493" s="85"/>
    </row>
    <row r="7494" spans="11:16">
      <c r="K7494" s="85">
        <v>35</v>
      </c>
      <c r="L7494" s="78"/>
      <c r="M7494" s="78"/>
      <c r="N7494" s="78"/>
      <c r="P7494" s="85"/>
    </row>
    <row r="7495" spans="11:16">
      <c r="K7495" s="85">
        <v>25</v>
      </c>
      <c r="L7495" s="78"/>
      <c r="M7495" s="78"/>
      <c r="N7495" s="78"/>
      <c r="P7495" s="85"/>
    </row>
    <row r="7496" spans="11:16">
      <c r="K7496" s="85">
        <v>26</v>
      </c>
      <c r="L7496" s="78"/>
      <c r="M7496" s="78"/>
      <c r="N7496" s="78"/>
      <c r="P7496" s="85"/>
    </row>
    <row r="7497" spans="11:16">
      <c r="K7497" s="85">
        <v>27</v>
      </c>
      <c r="L7497" s="78"/>
      <c r="M7497" s="78"/>
      <c r="N7497" s="78"/>
      <c r="P7497" s="85"/>
    </row>
    <row r="7498" spans="11:16">
      <c r="K7498" s="85">
        <v>28</v>
      </c>
      <c r="L7498" s="78"/>
      <c r="M7498" s="78"/>
      <c r="N7498" s="78"/>
      <c r="P7498" s="85"/>
    </row>
    <row r="7499" spans="11:16">
      <c r="K7499" s="85">
        <v>30</v>
      </c>
      <c r="L7499" s="78"/>
      <c r="M7499" s="78"/>
      <c r="N7499" s="78"/>
      <c r="P7499" s="85"/>
    </row>
    <row r="7500" spans="11:16">
      <c r="K7500" s="85">
        <v>31</v>
      </c>
      <c r="L7500" s="78"/>
      <c r="M7500" s="78"/>
      <c r="N7500" s="78"/>
      <c r="P7500" s="85"/>
    </row>
    <row r="7501" spans="11:16">
      <c r="K7501" s="85">
        <v>32</v>
      </c>
      <c r="L7501" s="78"/>
      <c r="M7501" s="78"/>
      <c r="N7501" s="78"/>
      <c r="P7501" s="85"/>
    </row>
    <row r="7502" spans="11:16">
      <c r="K7502" s="85">
        <v>34</v>
      </c>
      <c r="L7502" s="78"/>
      <c r="M7502" s="78"/>
      <c r="N7502" s="78"/>
      <c r="P7502" s="85"/>
    </row>
    <row r="7503" spans="11:16">
      <c r="K7503" s="85">
        <v>35</v>
      </c>
      <c r="L7503" s="78"/>
      <c r="M7503" s="78"/>
      <c r="N7503" s="78"/>
      <c r="P7503" s="85"/>
    </row>
    <row r="7504" spans="11:16">
      <c r="K7504" s="85">
        <v>36</v>
      </c>
      <c r="L7504" s="78"/>
      <c r="M7504" s="78"/>
      <c r="N7504" s="78"/>
      <c r="P7504" s="85"/>
    </row>
    <row r="7505" spans="11:16">
      <c r="K7505" s="85">
        <v>25</v>
      </c>
      <c r="L7505" s="78"/>
      <c r="M7505" s="78"/>
      <c r="N7505" s="78"/>
      <c r="P7505" s="85"/>
    </row>
    <row r="7506" spans="11:16">
      <c r="K7506" s="85">
        <v>26</v>
      </c>
      <c r="L7506" s="78"/>
      <c r="M7506" s="78"/>
      <c r="N7506" s="78"/>
      <c r="P7506" s="85"/>
    </row>
    <row r="7507" spans="11:16">
      <c r="K7507" s="85">
        <v>27</v>
      </c>
      <c r="L7507" s="78"/>
      <c r="M7507" s="78"/>
      <c r="N7507" s="78"/>
      <c r="P7507" s="85"/>
    </row>
    <row r="7508" spans="11:16">
      <c r="K7508" s="85">
        <v>28</v>
      </c>
      <c r="L7508" s="78"/>
      <c r="M7508" s="78"/>
      <c r="N7508" s="78"/>
      <c r="P7508" s="85"/>
    </row>
    <row r="7509" spans="11:16">
      <c r="K7509" s="85">
        <v>29</v>
      </c>
      <c r="L7509" s="78"/>
      <c r="M7509" s="78"/>
      <c r="N7509" s="78"/>
      <c r="P7509" s="85"/>
    </row>
    <row r="7510" spans="11:16">
      <c r="K7510" s="85">
        <v>30</v>
      </c>
      <c r="L7510" s="78"/>
      <c r="M7510" s="78"/>
      <c r="N7510" s="78"/>
      <c r="P7510" s="85"/>
    </row>
    <row r="7511" spans="11:16">
      <c r="K7511" s="85">
        <v>31</v>
      </c>
      <c r="L7511" s="78"/>
      <c r="M7511" s="78"/>
      <c r="N7511" s="78"/>
      <c r="P7511" s="85"/>
    </row>
    <row r="7512" spans="11:16">
      <c r="K7512" s="85">
        <v>32</v>
      </c>
      <c r="L7512" s="78"/>
      <c r="M7512" s="78"/>
      <c r="N7512" s="78"/>
      <c r="P7512" s="85"/>
    </row>
    <row r="7513" spans="11:16">
      <c r="K7513" s="85">
        <v>33</v>
      </c>
      <c r="L7513" s="78"/>
      <c r="M7513" s="78"/>
      <c r="N7513" s="78"/>
      <c r="P7513" s="85"/>
    </row>
    <row r="7514" spans="11:16">
      <c r="K7514" s="85">
        <v>34</v>
      </c>
      <c r="L7514" s="78"/>
      <c r="M7514" s="78"/>
      <c r="N7514" s="78"/>
      <c r="P7514" s="85"/>
    </row>
    <row r="7515" spans="11:16">
      <c r="K7515" s="85">
        <v>36</v>
      </c>
      <c r="L7515" s="78"/>
      <c r="M7515" s="78"/>
      <c r="N7515" s="78"/>
      <c r="P7515" s="85"/>
    </row>
    <row r="7516" spans="11:16">
      <c r="K7516" s="85">
        <v>25</v>
      </c>
      <c r="L7516" s="78"/>
      <c r="M7516" s="78"/>
      <c r="N7516" s="78"/>
      <c r="P7516" s="85"/>
    </row>
    <row r="7517" spans="11:16">
      <c r="K7517" s="85">
        <v>26</v>
      </c>
      <c r="L7517" s="78"/>
      <c r="M7517" s="78"/>
      <c r="N7517" s="78"/>
      <c r="P7517" s="85"/>
    </row>
    <row r="7518" spans="11:16">
      <c r="K7518" s="85">
        <v>27</v>
      </c>
      <c r="L7518" s="78"/>
      <c r="M7518" s="78"/>
      <c r="N7518" s="78"/>
      <c r="P7518" s="85"/>
    </row>
    <row r="7519" spans="11:16">
      <c r="K7519" s="85">
        <v>28</v>
      </c>
      <c r="L7519" s="78"/>
      <c r="M7519" s="78"/>
      <c r="N7519" s="78"/>
      <c r="P7519" s="85"/>
    </row>
    <row r="7520" spans="11:16">
      <c r="K7520" s="85">
        <v>29</v>
      </c>
      <c r="L7520" s="78"/>
      <c r="M7520" s="78"/>
      <c r="N7520" s="78"/>
      <c r="P7520" s="85"/>
    </row>
    <row r="7521" spans="11:16">
      <c r="K7521" s="85">
        <v>30</v>
      </c>
      <c r="L7521" s="78"/>
      <c r="M7521" s="78"/>
      <c r="N7521" s="78"/>
      <c r="P7521" s="85"/>
    </row>
    <row r="7522" spans="11:16">
      <c r="K7522" s="85">
        <v>31</v>
      </c>
      <c r="L7522" s="78"/>
      <c r="M7522" s="78"/>
      <c r="N7522" s="78"/>
      <c r="P7522" s="85"/>
    </row>
    <row r="7523" spans="11:16">
      <c r="K7523" s="85">
        <v>32</v>
      </c>
      <c r="L7523" s="78"/>
      <c r="M7523" s="78"/>
      <c r="N7523" s="78"/>
      <c r="P7523" s="85"/>
    </row>
    <row r="7524" spans="11:16">
      <c r="K7524" s="85">
        <v>33</v>
      </c>
      <c r="L7524" s="78"/>
      <c r="M7524" s="78"/>
      <c r="N7524" s="78"/>
      <c r="P7524" s="85"/>
    </row>
    <row r="7525" spans="11:16">
      <c r="K7525" s="85">
        <v>34</v>
      </c>
      <c r="L7525" s="78"/>
      <c r="M7525" s="78"/>
      <c r="N7525" s="78"/>
      <c r="P7525" s="85"/>
    </row>
    <row r="7526" spans="11:16">
      <c r="K7526" s="85">
        <v>36</v>
      </c>
      <c r="L7526" s="78"/>
      <c r="M7526" s="78"/>
      <c r="N7526" s="78"/>
      <c r="P7526" s="85"/>
    </row>
    <row r="7527" spans="11:16">
      <c r="K7527" s="85">
        <v>25</v>
      </c>
      <c r="L7527" s="78"/>
      <c r="M7527" s="78"/>
      <c r="N7527" s="78"/>
      <c r="P7527" s="85"/>
    </row>
    <row r="7528" spans="11:16">
      <c r="K7528" s="85">
        <v>26</v>
      </c>
      <c r="L7528" s="78"/>
      <c r="M7528" s="78"/>
      <c r="N7528" s="78"/>
      <c r="P7528" s="85"/>
    </row>
    <row r="7529" spans="11:16">
      <c r="K7529" s="85">
        <v>27</v>
      </c>
      <c r="L7529" s="78"/>
      <c r="M7529" s="78"/>
      <c r="N7529" s="78"/>
      <c r="P7529" s="85"/>
    </row>
    <row r="7530" spans="11:16">
      <c r="K7530" s="85">
        <v>28</v>
      </c>
      <c r="L7530" s="78"/>
      <c r="M7530" s="78"/>
      <c r="N7530" s="78"/>
      <c r="P7530" s="85"/>
    </row>
    <row r="7531" spans="11:16">
      <c r="K7531" s="85">
        <v>29</v>
      </c>
      <c r="L7531" s="78"/>
      <c r="M7531" s="78"/>
      <c r="N7531" s="78"/>
      <c r="P7531" s="85"/>
    </row>
    <row r="7532" spans="11:16">
      <c r="K7532" s="85">
        <v>30</v>
      </c>
      <c r="L7532" s="78"/>
      <c r="M7532" s="78"/>
      <c r="N7532" s="78"/>
      <c r="P7532" s="85"/>
    </row>
    <row r="7533" spans="11:16">
      <c r="K7533" s="85">
        <v>31</v>
      </c>
      <c r="L7533" s="78"/>
      <c r="M7533" s="78"/>
      <c r="N7533" s="78"/>
      <c r="P7533" s="85"/>
    </row>
    <row r="7534" spans="11:16">
      <c r="K7534" s="85">
        <v>32</v>
      </c>
      <c r="L7534" s="78"/>
      <c r="M7534" s="78"/>
      <c r="N7534" s="78"/>
      <c r="P7534" s="85"/>
    </row>
    <row r="7535" spans="11:16">
      <c r="K7535" s="85">
        <v>33</v>
      </c>
      <c r="L7535" s="78"/>
      <c r="M7535" s="78"/>
      <c r="N7535" s="78"/>
      <c r="P7535" s="85"/>
    </row>
    <row r="7536" spans="11:16">
      <c r="K7536" s="85">
        <v>34</v>
      </c>
      <c r="L7536" s="78"/>
      <c r="M7536" s="78"/>
      <c r="N7536" s="78"/>
      <c r="P7536" s="85"/>
    </row>
    <row r="7537" spans="11:16">
      <c r="K7537" s="85">
        <v>35</v>
      </c>
      <c r="L7537" s="78"/>
      <c r="M7537" s="78"/>
      <c r="N7537" s="78"/>
      <c r="P7537" s="85"/>
    </row>
    <row r="7538" spans="11:16">
      <c r="K7538" s="85">
        <v>36</v>
      </c>
      <c r="L7538" s="78"/>
      <c r="M7538" s="78"/>
      <c r="N7538" s="78"/>
      <c r="P7538" s="85"/>
    </row>
    <row r="7539" spans="11:16">
      <c r="K7539" s="85">
        <v>27</v>
      </c>
      <c r="L7539" s="78"/>
      <c r="M7539" s="78"/>
      <c r="N7539" s="78"/>
      <c r="P7539" s="85"/>
    </row>
    <row r="7540" spans="11:16">
      <c r="K7540" s="85">
        <v>28</v>
      </c>
      <c r="L7540" s="78"/>
      <c r="M7540" s="78"/>
      <c r="N7540" s="78"/>
      <c r="P7540" s="85"/>
    </row>
    <row r="7541" spans="11:16">
      <c r="K7541" s="85">
        <v>30</v>
      </c>
      <c r="L7541" s="78"/>
      <c r="M7541" s="78"/>
      <c r="N7541" s="78"/>
      <c r="P7541" s="85"/>
    </row>
    <row r="7542" spans="11:16">
      <c r="K7542" s="85">
        <v>31</v>
      </c>
      <c r="L7542" s="78"/>
      <c r="M7542" s="78"/>
      <c r="N7542" s="78"/>
      <c r="P7542" s="85"/>
    </row>
    <row r="7543" spans="11:16">
      <c r="K7543" s="85">
        <v>34</v>
      </c>
      <c r="L7543" s="78"/>
      <c r="M7543" s="78"/>
      <c r="N7543" s="78"/>
      <c r="P7543" s="85"/>
    </row>
    <row r="7544" spans="11:16">
      <c r="K7544" s="85">
        <v>35</v>
      </c>
      <c r="L7544" s="78"/>
      <c r="M7544" s="78"/>
      <c r="N7544" s="78"/>
      <c r="P7544" s="85"/>
    </row>
    <row r="7545" spans="11:16">
      <c r="K7545" s="85">
        <v>25</v>
      </c>
      <c r="L7545" s="78"/>
      <c r="M7545" s="78"/>
      <c r="N7545" s="78"/>
      <c r="P7545" s="85"/>
    </row>
    <row r="7546" spans="11:16">
      <c r="K7546" s="85">
        <v>27</v>
      </c>
      <c r="L7546" s="78"/>
      <c r="M7546" s="78"/>
      <c r="N7546" s="78"/>
      <c r="P7546" s="85"/>
    </row>
    <row r="7547" spans="11:16">
      <c r="K7547" s="85">
        <v>31</v>
      </c>
      <c r="L7547" s="78"/>
      <c r="M7547" s="78"/>
      <c r="N7547" s="78"/>
      <c r="P7547" s="85"/>
    </row>
    <row r="7548" spans="11:16">
      <c r="K7548" s="85">
        <v>32</v>
      </c>
      <c r="L7548" s="78"/>
      <c r="M7548" s="78"/>
      <c r="N7548" s="78"/>
      <c r="P7548" s="85"/>
    </row>
    <row r="7549" spans="11:16">
      <c r="K7549" s="85">
        <v>25</v>
      </c>
      <c r="L7549" s="78"/>
      <c r="M7549" s="78"/>
      <c r="N7549" s="78"/>
      <c r="P7549" s="85"/>
    </row>
    <row r="7550" spans="11:16">
      <c r="K7550" s="85">
        <v>26</v>
      </c>
      <c r="L7550" s="78"/>
      <c r="M7550" s="78"/>
      <c r="N7550" s="78"/>
      <c r="P7550" s="85"/>
    </row>
    <row r="7551" spans="11:16">
      <c r="K7551" s="85">
        <v>27</v>
      </c>
      <c r="L7551" s="78"/>
      <c r="M7551" s="78"/>
      <c r="N7551" s="78"/>
      <c r="P7551" s="85"/>
    </row>
    <row r="7552" spans="11:16">
      <c r="K7552" s="85">
        <v>28</v>
      </c>
      <c r="L7552" s="78"/>
      <c r="M7552" s="78"/>
      <c r="N7552" s="78"/>
      <c r="P7552" s="85"/>
    </row>
    <row r="7553" spans="11:16">
      <c r="K7553" s="85">
        <v>31</v>
      </c>
      <c r="L7553" s="78"/>
      <c r="M7553" s="78"/>
      <c r="N7553" s="78"/>
      <c r="P7553" s="85"/>
    </row>
    <row r="7554" spans="11:16">
      <c r="K7554" s="85">
        <v>34</v>
      </c>
      <c r="L7554" s="78"/>
      <c r="M7554" s="78"/>
      <c r="N7554" s="78"/>
      <c r="P7554" s="85"/>
    </row>
    <row r="7555" spans="11:16">
      <c r="K7555" s="85">
        <v>35</v>
      </c>
      <c r="L7555" s="78"/>
      <c r="M7555" s="78"/>
      <c r="N7555" s="78"/>
      <c r="P7555" s="85"/>
    </row>
    <row r="7556" spans="11:16">
      <c r="K7556" s="85">
        <v>36</v>
      </c>
      <c r="L7556" s="78"/>
      <c r="M7556" s="78"/>
      <c r="N7556" s="78"/>
      <c r="P7556" s="85"/>
    </row>
    <row r="7557" spans="11:16">
      <c r="K7557" s="85">
        <v>25</v>
      </c>
      <c r="L7557" s="78"/>
      <c r="M7557" s="78"/>
      <c r="N7557" s="78"/>
      <c r="P7557" s="85"/>
    </row>
    <row r="7558" spans="11:16">
      <c r="K7558" s="85">
        <v>26</v>
      </c>
      <c r="L7558" s="78"/>
      <c r="M7558" s="78"/>
      <c r="N7558" s="78"/>
      <c r="P7558" s="85"/>
    </row>
    <row r="7559" spans="11:16">
      <c r="K7559" s="85">
        <v>27</v>
      </c>
      <c r="L7559" s="78"/>
      <c r="M7559" s="78"/>
      <c r="N7559" s="78"/>
      <c r="P7559" s="85"/>
    </row>
    <row r="7560" spans="11:16">
      <c r="K7560" s="85">
        <v>28</v>
      </c>
      <c r="L7560" s="78"/>
      <c r="M7560" s="78"/>
      <c r="N7560" s="78"/>
      <c r="P7560" s="85"/>
    </row>
    <row r="7561" spans="11:16">
      <c r="K7561" s="85">
        <v>29</v>
      </c>
      <c r="L7561" s="78"/>
      <c r="M7561" s="78"/>
      <c r="N7561" s="78"/>
      <c r="P7561" s="85"/>
    </row>
    <row r="7562" spans="11:16">
      <c r="K7562" s="85">
        <v>30</v>
      </c>
      <c r="L7562" s="78"/>
      <c r="M7562" s="78"/>
      <c r="N7562" s="78"/>
      <c r="P7562" s="85"/>
    </row>
    <row r="7563" spans="11:16">
      <c r="K7563" s="85">
        <v>31</v>
      </c>
      <c r="L7563" s="78"/>
      <c r="M7563" s="78"/>
      <c r="N7563" s="78"/>
      <c r="P7563" s="85"/>
    </row>
    <row r="7564" spans="11:16">
      <c r="K7564" s="85">
        <v>34</v>
      </c>
      <c r="L7564" s="78"/>
      <c r="M7564" s="78"/>
      <c r="N7564" s="78"/>
      <c r="P7564" s="85"/>
    </row>
    <row r="7565" spans="11:16">
      <c r="K7565" s="85">
        <v>35</v>
      </c>
      <c r="L7565" s="78"/>
      <c r="M7565" s="78"/>
      <c r="N7565" s="78"/>
      <c r="P7565" s="85"/>
    </row>
    <row r="7566" spans="11:16">
      <c r="K7566" s="85">
        <v>36</v>
      </c>
      <c r="L7566" s="78"/>
      <c r="M7566" s="78"/>
      <c r="N7566" s="78"/>
      <c r="P7566" s="85"/>
    </row>
    <row r="7567" spans="11:16">
      <c r="K7567" s="85">
        <v>25</v>
      </c>
      <c r="L7567" s="78"/>
      <c r="M7567" s="78"/>
      <c r="N7567" s="78"/>
      <c r="P7567" s="85"/>
    </row>
    <row r="7568" spans="11:16">
      <c r="K7568" s="85">
        <v>26</v>
      </c>
      <c r="L7568" s="78"/>
      <c r="M7568" s="78"/>
      <c r="N7568" s="78"/>
      <c r="P7568" s="85"/>
    </row>
    <row r="7569" spans="11:16">
      <c r="K7569" s="85">
        <v>28</v>
      </c>
      <c r="L7569" s="78"/>
      <c r="M7569" s="78"/>
      <c r="N7569" s="78"/>
      <c r="P7569" s="85"/>
    </row>
    <row r="7570" spans="11:16">
      <c r="K7570" s="85">
        <v>29</v>
      </c>
      <c r="L7570" s="78"/>
      <c r="M7570" s="78"/>
      <c r="N7570" s="78"/>
      <c r="P7570" s="85"/>
    </row>
    <row r="7571" spans="11:16">
      <c r="K7571" s="85">
        <v>30</v>
      </c>
      <c r="L7571" s="78"/>
      <c r="M7571" s="78"/>
      <c r="N7571" s="78"/>
      <c r="P7571" s="85"/>
    </row>
    <row r="7572" spans="11:16">
      <c r="K7572" s="85">
        <v>31</v>
      </c>
      <c r="L7572" s="78"/>
      <c r="M7572" s="78"/>
      <c r="N7572" s="78"/>
      <c r="P7572" s="85"/>
    </row>
    <row r="7573" spans="11:16">
      <c r="K7573" s="85">
        <v>32</v>
      </c>
      <c r="L7573" s="78"/>
      <c r="M7573" s="78"/>
      <c r="N7573" s="78"/>
      <c r="P7573" s="85"/>
    </row>
    <row r="7574" spans="11:16">
      <c r="K7574" s="85">
        <v>34</v>
      </c>
      <c r="L7574" s="78"/>
      <c r="M7574" s="78"/>
      <c r="N7574" s="78"/>
      <c r="P7574" s="85"/>
    </row>
    <row r="7575" spans="11:16">
      <c r="K7575" s="85">
        <v>35</v>
      </c>
      <c r="L7575" s="78"/>
      <c r="M7575" s="78"/>
      <c r="N7575" s="78"/>
      <c r="P7575" s="85"/>
    </row>
    <row r="7576" spans="11:16">
      <c r="K7576" s="85">
        <v>36</v>
      </c>
      <c r="L7576" s="78"/>
      <c r="M7576" s="78"/>
      <c r="N7576" s="78"/>
      <c r="P7576" s="85"/>
    </row>
    <row r="7577" spans="11:16">
      <c r="K7577" s="85">
        <v>25</v>
      </c>
      <c r="L7577" s="78"/>
      <c r="M7577" s="78"/>
      <c r="N7577" s="78"/>
      <c r="P7577" s="85"/>
    </row>
    <row r="7578" spans="11:16">
      <c r="K7578" s="85">
        <v>26</v>
      </c>
      <c r="L7578" s="78"/>
      <c r="M7578" s="78"/>
      <c r="N7578" s="78"/>
      <c r="P7578" s="85"/>
    </row>
    <row r="7579" spans="11:16">
      <c r="K7579" s="85">
        <v>27</v>
      </c>
      <c r="L7579" s="78"/>
      <c r="M7579" s="78"/>
      <c r="N7579" s="78"/>
      <c r="P7579" s="85"/>
    </row>
    <row r="7580" spans="11:16">
      <c r="K7580" s="85">
        <v>28</v>
      </c>
      <c r="L7580" s="78"/>
      <c r="M7580" s="78"/>
      <c r="N7580" s="78"/>
      <c r="P7580" s="85"/>
    </row>
    <row r="7581" spans="11:16">
      <c r="K7581" s="85">
        <v>30</v>
      </c>
      <c r="L7581" s="78"/>
      <c r="M7581" s="78"/>
      <c r="N7581" s="78"/>
      <c r="P7581" s="85"/>
    </row>
    <row r="7582" spans="11:16">
      <c r="K7582" s="85">
        <v>31</v>
      </c>
      <c r="L7582" s="78"/>
      <c r="M7582" s="78"/>
      <c r="N7582" s="78"/>
      <c r="P7582" s="85"/>
    </row>
    <row r="7583" spans="11:16">
      <c r="K7583" s="85">
        <v>32</v>
      </c>
      <c r="L7583" s="78"/>
      <c r="M7583" s="78"/>
      <c r="N7583" s="78"/>
      <c r="P7583" s="85"/>
    </row>
    <row r="7584" spans="11:16">
      <c r="K7584" s="85">
        <v>33</v>
      </c>
      <c r="L7584" s="78"/>
      <c r="M7584" s="78"/>
      <c r="N7584" s="78"/>
      <c r="P7584" s="85"/>
    </row>
    <row r="7585" spans="11:16">
      <c r="K7585" s="85">
        <v>34</v>
      </c>
      <c r="L7585" s="78"/>
      <c r="M7585" s="78"/>
      <c r="N7585" s="78"/>
      <c r="P7585" s="85"/>
    </row>
    <row r="7586" spans="11:16">
      <c r="K7586" s="85">
        <v>35</v>
      </c>
      <c r="L7586" s="78"/>
      <c r="M7586" s="78"/>
      <c r="N7586" s="78"/>
      <c r="P7586" s="85"/>
    </row>
    <row r="7587" spans="11:16">
      <c r="K7587" s="85">
        <v>25</v>
      </c>
      <c r="L7587" s="78"/>
      <c r="M7587" s="78"/>
      <c r="N7587" s="78"/>
      <c r="P7587" s="85"/>
    </row>
    <row r="7588" spans="11:16">
      <c r="K7588" s="85">
        <v>26</v>
      </c>
      <c r="L7588" s="78"/>
      <c r="M7588" s="78"/>
      <c r="N7588" s="78"/>
      <c r="P7588" s="85"/>
    </row>
    <row r="7589" spans="11:16">
      <c r="K7589" s="85">
        <v>27</v>
      </c>
      <c r="L7589" s="78"/>
      <c r="M7589" s="78"/>
      <c r="N7589" s="78"/>
      <c r="P7589" s="85"/>
    </row>
    <row r="7590" spans="11:16">
      <c r="K7590" s="85">
        <v>30</v>
      </c>
      <c r="L7590" s="78"/>
      <c r="M7590" s="78"/>
      <c r="N7590" s="78"/>
      <c r="P7590" s="85"/>
    </row>
    <row r="7591" spans="11:16">
      <c r="K7591" s="85">
        <v>31</v>
      </c>
      <c r="L7591" s="78"/>
      <c r="M7591" s="78"/>
      <c r="N7591" s="78"/>
      <c r="P7591" s="85"/>
    </row>
    <row r="7592" spans="11:16">
      <c r="K7592" s="85">
        <v>32</v>
      </c>
      <c r="L7592" s="78"/>
      <c r="M7592" s="78"/>
      <c r="N7592" s="78"/>
      <c r="P7592" s="85"/>
    </row>
    <row r="7593" spans="11:16">
      <c r="K7593" s="85">
        <v>34</v>
      </c>
      <c r="L7593" s="78"/>
      <c r="M7593" s="78"/>
      <c r="N7593" s="78"/>
      <c r="P7593" s="85"/>
    </row>
    <row r="7594" spans="11:16">
      <c r="K7594" s="85">
        <v>35</v>
      </c>
      <c r="L7594" s="78"/>
      <c r="M7594" s="78"/>
      <c r="N7594" s="78"/>
      <c r="P7594" s="85"/>
    </row>
    <row r="7595" spans="11:16">
      <c r="K7595" s="85">
        <v>25</v>
      </c>
      <c r="L7595" s="78"/>
      <c r="M7595" s="78"/>
      <c r="N7595" s="78"/>
      <c r="P7595" s="85"/>
    </row>
    <row r="7596" spans="11:16">
      <c r="K7596" s="85">
        <v>26</v>
      </c>
      <c r="L7596" s="78"/>
      <c r="M7596" s="78"/>
      <c r="N7596" s="78"/>
      <c r="P7596" s="85"/>
    </row>
    <row r="7597" spans="11:16">
      <c r="K7597" s="85">
        <v>27</v>
      </c>
      <c r="L7597" s="78"/>
      <c r="M7597" s="78"/>
      <c r="N7597" s="78"/>
      <c r="P7597" s="85"/>
    </row>
    <row r="7598" spans="11:16">
      <c r="K7598" s="85">
        <v>28</v>
      </c>
      <c r="L7598" s="78"/>
      <c r="M7598" s="78"/>
      <c r="N7598" s="78"/>
      <c r="P7598" s="85"/>
    </row>
    <row r="7599" spans="11:16">
      <c r="K7599" s="85">
        <v>29</v>
      </c>
      <c r="L7599" s="78"/>
      <c r="M7599" s="78"/>
      <c r="N7599" s="78"/>
      <c r="P7599" s="85"/>
    </row>
    <row r="7600" spans="11:16">
      <c r="K7600" s="85">
        <v>30</v>
      </c>
      <c r="L7600" s="78"/>
      <c r="M7600" s="78"/>
      <c r="N7600" s="78"/>
      <c r="P7600" s="85"/>
    </row>
    <row r="7601" spans="11:16">
      <c r="K7601" s="85">
        <v>31</v>
      </c>
      <c r="L7601" s="78"/>
      <c r="M7601" s="78"/>
      <c r="N7601" s="78"/>
      <c r="P7601" s="85"/>
    </row>
    <row r="7602" spans="11:16">
      <c r="K7602" s="85">
        <v>32</v>
      </c>
      <c r="L7602" s="78"/>
      <c r="M7602" s="78"/>
      <c r="N7602" s="78"/>
      <c r="P7602" s="85"/>
    </row>
    <row r="7603" spans="11:16">
      <c r="K7603" s="85">
        <v>33</v>
      </c>
      <c r="L7603" s="78"/>
      <c r="M7603" s="78"/>
      <c r="N7603" s="78"/>
      <c r="P7603" s="85"/>
    </row>
    <row r="7604" spans="11:16">
      <c r="K7604" s="85">
        <v>34</v>
      </c>
      <c r="L7604" s="78"/>
      <c r="M7604" s="78"/>
      <c r="N7604" s="78"/>
      <c r="P7604" s="85"/>
    </row>
    <row r="7605" spans="11:16">
      <c r="K7605" s="85">
        <v>35</v>
      </c>
      <c r="L7605" s="78"/>
      <c r="M7605" s="78"/>
      <c r="N7605" s="78"/>
      <c r="P7605" s="85"/>
    </row>
    <row r="7606" spans="11:16">
      <c r="K7606" s="85">
        <v>36</v>
      </c>
      <c r="L7606" s="78"/>
      <c r="M7606" s="78"/>
      <c r="N7606" s="78"/>
      <c r="P7606" s="85"/>
    </row>
    <row r="7607" spans="11:16">
      <c r="K7607" s="85">
        <v>25</v>
      </c>
      <c r="L7607" s="78"/>
      <c r="M7607" s="78"/>
      <c r="N7607" s="78"/>
      <c r="P7607" s="85"/>
    </row>
    <row r="7608" spans="11:16">
      <c r="K7608" s="85">
        <v>26</v>
      </c>
      <c r="L7608" s="78"/>
      <c r="M7608" s="78"/>
      <c r="N7608" s="78"/>
      <c r="P7608" s="85"/>
    </row>
    <row r="7609" spans="11:16">
      <c r="K7609" s="85">
        <v>27</v>
      </c>
      <c r="L7609" s="78"/>
      <c r="M7609" s="78"/>
      <c r="N7609" s="78"/>
      <c r="P7609" s="85"/>
    </row>
    <row r="7610" spans="11:16">
      <c r="K7610" s="85">
        <v>28</v>
      </c>
      <c r="L7610" s="78"/>
      <c r="M7610" s="78"/>
      <c r="N7610" s="78"/>
      <c r="P7610" s="85"/>
    </row>
    <row r="7611" spans="11:16">
      <c r="K7611" s="85">
        <v>29</v>
      </c>
      <c r="L7611" s="78"/>
      <c r="M7611" s="78"/>
      <c r="N7611" s="78"/>
      <c r="P7611" s="85"/>
    </row>
    <row r="7612" spans="11:16">
      <c r="K7612" s="85">
        <v>30</v>
      </c>
      <c r="L7612" s="78"/>
      <c r="M7612" s="78"/>
      <c r="N7612" s="78"/>
      <c r="P7612" s="85"/>
    </row>
    <row r="7613" spans="11:16">
      <c r="K7613" s="85">
        <v>31</v>
      </c>
      <c r="L7613" s="78"/>
      <c r="M7613" s="78"/>
      <c r="N7613" s="78"/>
      <c r="P7613" s="85"/>
    </row>
    <row r="7614" spans="11:16">
      <c r="K7614" s="85">
        <v>32</v>
      </c>
      <c r="L7614" s="78"/>
      <c r="M7614" s="78"/>
      <c r="N7614" s="78"/>
      <c r="P7614" s="85"/>
    </row>
    <row r="7615" spans="11:16">
      <c r="K7615" s="85">
        <v>35</v>
      </c>
      <c r="L7615" s="78"/>
      <c r="M7615" s="78"/>
      <c r="N7615" s="78"/>
      <c r="P7615" s="85"/>
    </row>
    <row r="7616" spans="11:16">
      <c r="K7616" s="85">
        <v>36</v>
      </c>
      <c r="L7616" s="78"/>
      <c r="M7616" s="78"/>
      <c r="N7616" s="78"/>
      <c r="P7616" s="85"/>
    </row>
    <row r="7617" spans="11:16">
      <c r="K7617" s="85">
        <v>25</v>
      </c>
      <c r="L7617" s="78"/>
      <c r="M7617" s="78"/>
      <c r="N7617" s="78"/>
      <c r="P7617" s="85"/>
    </row>
    <row r="7618" spans="11:16">
      <c r="K7618" s="85">
        <v>26</v>
      </c>
      <c r="L7618" s="78"/>
      <c r="M7618" s="78"/>
      <c r="N7618" s="78"/>
      <c r="P7618" s="85"/>
    </row>
    <row r="7619" spans="11:16">
      <c r="K7619" s="85">
        <v>27</v>
      </c>
      <c r="L7619" s="78"/>
      <c r="M7619" s="78"/>
      <c r="N7619" s="78"/>
      <c r="P7619" s="85"/>
    </row>
    <row r="7620" spans="11:16">
      <c r="K7620" s="85">
        <v>28</v>
      </c>
      <c r="L7620" s="78"/>
      <c r="M7620" s="78"/>
      <c r="N7620" s="78"/>
      <c r="P7620" s="85"/>
    </row>
    <row r="7621" spans="11:16">
      <c r="K7621" s="85">
        <v>29</v>
      </c>
      <c r="L7621" s="78"/>
      <c r="M7621" s="78"/>
      <c r="N7621" s="78"/>
      <c r="P7621" s="85"/>
    </row>
    <row r="7622" spans="11:16">
      <c r="K7622" s="85">
        <v>30</v>
      </c>
      <c r="L7622" s="78"/>
      <c r="M7622" s="78"/>
      <c r="N7622" s="78"/>
      <c r="P7622" s="85"/>
    </row>
    <row r="7623" spans="11:16">
      <c r="K7623" s="85">
        <v>31</v>
      </c>
      <c r="L7623" s="78"/>
      <c r="M7623" s="78"/>
      <c r="N7623" s="78"/>
      <c r="P7623" s="85"/>
    </row>
    <row r="7624" spans="11:16">
      <c r="K7624" s="85">
        <v>32</v>
      </c>
      <c r="L7624" s="78"/>
      <c r="M7624" s="78"/>
      <c r="N7624" s="78"/>
      <c r="P7624" s="85"/>
    </row>
    <row r="7625" spans="11:16">
      <c r="K7625" s="85">
        <v>33</v>
      </c>
      <c r="L7625" s="78"/>
      <c r="M7625" s="78"/>
      <c r="N7625" s="78"/>
      <c r="P7625" s="85"/>
    </row>
    <row r="7626" spans="11:16">
      <c r="K7626" s="85">
        <v>34</v>
      </c>
      <c r="L7626" s="78"/>
      <c r="M7626" s="78"/>
      <c r="N7626" s="78"/>
      <c r="P7626" s="85"/>
    </row>
    <row r="7627" spans="11:16">
      <c r="K7627" s="85">
        <v>35</v>
      </c>
      <c r="L7627" s="78"/>
      <c r="M7627" s="78"/>
      <c r="N7627" s="78"/>
      <c r="P7627" s="85"/>
    </row>
    <row r="7628" spans="11:16">
      <c r="K7628" s="85">
        <v>36</v>
      </c>
      <c r="L7628" s="78"/>
      <c r="M7628" s="78"/>
      <c r="N7628" s="78"/>
      <c r="P7628" s="85"/>
    </row>
    <row r="7629" spans="11:16">
      <c r="K7629" s="85">
        <v>28</v>
      </c>
      <c r="L7629" s="78"/>
      <c r="M7629" s="78"/>
      <c r="N7629" s="78"/>
      <c r="P7629" s="85"/>
    </row>
    <row r="7630" spans="11:16">
      <c r="K7630" s="85">
        <v>31</v>
      </c>
      <c r="L7630" s="78"/>
      <c r="M7630" s="78"/>
      <c r="N7630" s="78"/>
      <c r="P7630" s="85"/>
    </row>
    <row r="7631" spans="11:16">
      <c r="K7631" s="85">
        <v>33</v>
      </c>
      <c r="L7631" s="78"/>
      <c r="M7631" s="78"/>
      <c r="N7631" s="78"/>
      <c r="P7631" s="85"/>
    </row>
    <row r="7632" spans="11:16">
      <c r="K7632" s="85">
        <v>34</v>
      </c>
      <c r="L7632" s="78"/>
      <c r="M7632" s="78"/>
      <c r="N7632" s="78"/>
      <c r="P7632" s="85"/>
    </row>
    <row r="7633" spans="11:16">
      <c r="K7633" s="85">
        <v>27</v>
      </c>
      <c r="L7633" s="78"/>
      <c r="M7633" s="78"/>
      <c r="N7633" s="78"/>
      <c r="P7633" s="85"/>
    </row>
    <row r="7634" spans="11:16">
      <c r="K7634" s="85">
        <v>30</v>
      </c>
      <c r="L7634" s="78"/>
      <c r="M7634" s="78"/>
      <c r="N7634" s="78"/>
      <c r="P7634" s="85"/>
    </row>
    <row r="7635" spans="11:16">
      <c r="K7635" s="85">
        <v>31</v>
      </c>
      <c r="L7635" s="78"/>
      <c r="M7635" s="78"/>
      <c r="N7635" s="78"/>
      <c r="P7635" s="85"/>
    </row>
    <row r="7636" spans="11:16">
      <c r="K7636" s="85">
        <v>34</v>
      </c>
      <c r="L7636" s="78"/>
      <c r="M7636" s="78"/>
      <c r="N7636" s="78"/>
      <c r="P7636" s="85"/>
    </row>
    <row r="7637" spans="11:16">
      <c r="K7637" s="85">
        <v>35</v>
      </c>
      <c r="L7637" s="78"/>
      <c r="M7637" s="78"/>
      <c r="N7637" s="78"/>
      <c r="P7637" s="85"/>
    </row>
    <row r="7638" spans="11:16">
      <c r="K7638" s="85">
        <v>25</v>
      </c>
      <c r="L7638" s="78"/>
      <c r="M7638" s="78"/>
      <c r="N7638" s="78"/>
      <c r="P7638" s="85"/>
    </row>
    <row r="7639" spans="11:16">
      <c r="K7639" s="85">
        <v>27</v>
      </c>
      <c r="L7639" s="78"/>
      <c r="M7639" s="78"/>
      <c r="N7639" s="78"/>
      <c r="P7639" s="85"/>
    </row>
    <row r="7640" spans="11:16">
      <c r="K7640" s="85">
        <v>29</v>
      </c>
      <c r="L7640" s="78"/>
      <c r="M7640" s="78"/>
      <c r="N7640" s="78"/>
      <c r="P7640" s="85"/>
    </row>
    <row r="7641" spans="11:16">
      <c r="K7641" s="85">
        <v>30</v>
      </c>
      <c r="L7641" s="78"/>
      <c r="M7641" s="78"/>
      <c r="N7641" s="78"/>
      <c r="P7641" s="85"/>
    </row>
    <row r="7642" spans="11:16">
      <c r="K7642" s="85">
        <v>31</v>
      </c>
      <c r="L7642" s="78"/>
      <c r="M7642" s="78"/>
      <c r="N7642" s="78"/>
      <c r="P7642" s="85"/>
    </row>
    <row r="7643" spans="11:16">
      <c r="K7643" s="85">
        <v>32</v>
      </c>
      <c r="L7643" s="78"/>
      <c r="M7643" s="78"/>
      <c r="N7643" s="78"/>
      <c r="P7643" s="85"/>
    </row>
    <row r="7644" spans="11:16">
      <c r="K7644" s="85">
        <v>34</v>
      </c>
      <c r="L7644" s="78"/>
      <c r="M7644" s="78"/>
      <c r="N7644" s="78"/>
      <c r="P7644" s="85"/>
    </row>
    <row r="7645" spans="11:16">
      <c r="K7645" s="85">
        <v>35</v>
      </c>
      <c r="L7645" s="78"/>
      <c r="M7645" s="78"/>
      <c r="N7645" s="78"/>
      <c r="P7645" s="85"/>
    </row>
    <row r="7646" spans="11:16">
      <c r="K7646" s="85">
        <v>25</v>
      </c>
      <c r="L7646" s="78"/>
      <c r="M7646" s="78"/>
      <c r="N7646" s="78"/>
      <c r="P7646" s="85"/>
    </row>
    <row r="7647" spans="11:16">
      <c r="K7647" s="85">
        <v>26</v>
      </c>
      <c r="L7647" s="78"/>
      <c r="M7647" s="78"/>
      <c r="N7647" s="78"/>
      <c r="P7647" s="85"/>
    </row>
    <row r="7648" spans="11:16">
      <c r="K7648" s="85">
        <v>27</v>
      </c>
      <c r="L7648" s="78"/>
      <c r="M7648" s="78"/>
      <c r="N7648" s="78"/>
      <c r="P7648" s="85"/>
    </row>
    <row r="7649" spans="11:16">
      <c r="K7649" s="85">
        <v>29</v>
      </c>
      <c r="L7649" s="78"/>
      <c r="M7649" s="78"/>
      <c r="N7649" s="78"/>
      <c r="P7649" s="85"/>
    </row>
    <row r="7650" spans="11:16">
      <c r="K7650" s="85">
        <v>31</v>
      </c>
      <c r="L7650" s="78"/>
      <c r="M7650" s="78"/>
      <c r="N7650" s="78"/>
      <c r="P7650" s="85"/>
    </row>
    <row r="7651" spans="11:16">
      <c r="K7651" s="85">
        <v>32</v>
      </c>
      <c r="L7651" s="78"/>
      <c r="M7651" s="78"/>
      <c r="N7651" s="78"/>
      <c r="P7651" s="85"/>
    </row>
    <row r="7652" spans="11:16">
      <c r="K7652" s="85">
        <v>33</v>
      </c>
      <c r="L7652" s="78"/>
      <c r="M7652" s="78"/>
      <c r="N7652" s="78"/>
      <c r="P7652" s="85"/>
    </row>
    <row r="7653" spans="11:16">
      <c r="K7653" s="85">
        <v>36</v>
      </c>
      <c r="L7653" s="78"/>
      <c r="M7653" s="78"/>
      <c r="N7653" s="78"/>
      <c r="P7653" s="85"/>
    </row>
    <row r="7654" spans="11:16">
      <c r="K7654" s="85">
        <v>26</v>
      </c>
      <c r="L7654" s="78"/>
      <c r="M7654" s="78"/>
      <c r="N7654" s="78"/>
      <c r="P7654" s="85"/>
    </row>
    <row r="7655" spans="11:16">
      <c r="K7655" s="85">
        <v>27</v>
      </c>
      <c r="L7655" s="78"/>
      <c r="M7655" s="78"/>
      <c r="N7655" s="78"/>
      <c r="P7655" s="85"/>
    </row>
    <row r="7656" spans="11:16">
      <c r="K7656" s="85">
        <v>29</v>
      </c>
      <c r="L7656" s="78"/>
      <c r="M7656" s="78"/>
      <c r="N7656" s="78"/>
      <c r="P7656" s="85"/>
    </row>
    <row r="7657" spans="11:16">
      <c r="K7657" s="85">
        <v>30</v>
      </c>
      <c r="L7657" s="78"/>
      <c r="M7657" s="78"/>
      <c r="N7657" s="78"/>
      <c r="P7657" s="85"/>
    </row>
    <row r="7658" spans="11:16">
      <c r="K7658" s="85">
        <v>31</v>
      </c>
      <c r="L7658" s="78"/>
      <c r="M7658" s="78"/>
      <c r="N7658" s="78"/>
      <c r="P7658" s="85"/>
    </row>
    <row r="7659" spans="11:16">
      <c r="K7659" s="85">
        <v>32</v>
      </c>
      <c r="L7659" s="78"/>
      <c r="M7659" s="78"/>
      <c r="N7659" s="78"/>
      <c r="P7659" s="85"/>
    </row>
    <row r="7660" spans="11:16">
      <c r="K7660" s="85">
        <v>25</v>
      </c>
      <c r="L7660" s="78"/>
      <c r="M7660" s="78"/>
      <c r="N7660" s="78"/>
      <c r="P7660" s="85"/>
    </row>
    <row r="7661" spans="11:16">
      <c r="K7661" s="85">
        <v>31</v>
      </c>
      <c r="L7661" s="78"/>
      <c r="M7661" s="78"/>
      <c r="N7661" s="78"/>
      <c r="P7661" s="85"/>
    </row>
    <row r="7662" spans="11:16">
      <c r="K7662" s="85">
        <v>25</v>
      </c>
      <c r="L7662" s="78"/>
      <c r="M7662" s="78"/>
      <c r="N7662" s="78"/>
      <c r="P7662" s="85"/>
    </row>
    <row r="7663" spans="11:16">
      <c r="K7663" s="85">
        <v>26</v>
      </c>
      <c r="L7663" s="78"/>
      <c r="M7663" s="78"/>
      <c r="N7663" s="78"/>
      <c r="P7663" s="85"/>
    </row>
    <row r="7664" spans="11:16">
      <c r="K7664" s="85">
        <v>27</v>
      </c>
      <c r="L7664" s="78"/>
      <c r="M7664" s="78"/>
      <c r="N7664" s="78"/>
      <c r="P7664" s="85"/>
    </row>
    <row r="7665" spans="11:16">
      <c r="K7665" s="85">
        <v>30</v>
      </c>
      <c r="L7665" s="78"/>
      <c r="M7665" s="78"/>
      <c r="N7665" s="78"/>
      <c r="P7665" s="85"/>
    </row>
    <row r="7666" spans="11:16">
      <c r="K7666" s="85">
        <v>31</v>
      </c>
      <c r="L7666" s="78"/>
      <c r="M7666" s="78"/>
      <c r="N7666" s="78"/>
      <c r="P7666" s="85"/>
    </row>
    <row r="7667" spans="11:16">
      <c r="K7667" s="85">
        <v>32</v>
      </c>
      <c r="L7667" s="78"/>
      <c r="M7667" s="78"/>
      <c r="N7667" s="78"/>
      <c r="P7667" s="85"/>
    </row>
    <row r="7668" spans="11:16">
      <c r="K7668" s="85">
        <v>33</v>
      </c>
      <c r="L7668" s="78"/>
      <c r="M7668" s="78"/>
      <c r="N7668" s="78"/>
      <c r="P7668" s="85"/>
    </row>
    <row r="7669" spans="11:16">
      <c r="K7669" s="85">
        <v>34</v>
      </c>
      <c r="L7669" s="78"/>
      <c r="M7669" s="78"/>
      <c r="N7669" s="78"/>
      <c r="P7669" s="85"/>
    </row>
    <row r="7670" spans="11:16">
      <c r="K7670" s="85">
        <v>35</v>
      </c>
      <c r="L7670" s="78"/>
      <c r="M7670" s="78"/>
      <c r="N7670" s="78"/>
      <c r="P7670" s="85"/>
    </row>
    <row r="7671" spans="11:16">
      <c r="K7671" s="85">
        <v>36</v>
      </c>
      <c r="L7671" s="78"/>
      <c r="M7671" s="78"/>
      <c r="N7671" s="78"/>
      <c r="P7671" s="85"/>
    </row>
    <row r="7672" spans="11:16">
      <c r="K7672" s="85">
        <v>30</v>
      </c>
      <c r="L7672" s="78"/>
      <c r="M7672" s="78"/>
      <c r="N7672" s="78"/>
      <c r="P7672" s="85"/>
    </row>
    <row r="7673" spans="11:16">
      <c r="K7673" s="85">
        <v>35</v>
      </c>
      <c r="L7673" s="78"/>
      <c r="M7673" s="78"/>
      <c r="N7673" s="78"/>
      <c r="P7673" s="85"/>
    </row>
    <row r="7674" spans="11:16">
      <c r="K7674" s="85">
        <v>36</v>
      </c>
      <c r="L7674" s="78"/>
      <c r="M7674" s="78"/>
      <c r="N7674" s="78"/>
      <c r="P7674" s="85"/>
    </row>
    <row r="7675" spans="11:16">
      <c r="K7675" s="85">
        <v>26</v>
      </c>
      <c r="L7675" s="78"/>
      <c r="M7675" s="78"/>
      <c r="N7675" s="78"/>
      <c r="P7675" s="85"/>
    </row>
    <row r="7676" spans="11:16">
      <c r="K7676" s="85">
        <v>27</v>
      </c>
      <c r="L7676" s="78"/>
      <c r="M7676" s="78"/>
      <c r="N7676" s="78"/>
      <c r="P7676" s="85"/>
    </row>
    <row r="7677" spans="11:16">
      <c r="K7677" s="85">
        <v>28</v>
      </c>
      <c r="L7677" s="78"/>
      <c r="M7677" s="78"/>
      <c r="N7677" s="78"/>
      <c r="P7677" s="85"/>
    </row>
    <row r="7678" spans="11:16">
      <c r="K7678" s="85">
        <v>29</v>
      </c>
      <c r="L7678" s="78"/>
      <c r="M7678" s="78"/>
      <c r="N7678" s="78"/>
      <c r="P7678" s="85"/>
    </row>
    <row r="7679" spans="11:16">
      <c r="K7679" s="85">
        <v>31</v>
      </c>
      <c r="L7679" s="78"/>
      <c r="M7679" s="78"/>
      <c r="N7679" s="78"/>
      <c r="P7679" s="85"/>
    </row>
    <row r="7680" spans="11:16">
      <c r="K7680" s="85">
        <v>32</v>
      </c>
      <c r="L7680" s="78"/>
      <c r="M7680" s="78"/>
      <c r="N7680" s="78"/>
      <c r="P7680" s="85"/>
    </row>
    <row r="7681" spans="11:16">
      <c r="K7681" s="85">
        <v>35</v>
      </c>
      <c r="L7681" s="78"/>
      <c r="M7681" s="78"/>
      <c r="N7681" s="78"/>
      <c r="P7681" s="85"/>
    </row>
    <row r="7682" spans="11:16">
      <c r="K7682" s="85">
        <v>25</v>
      </c>
      <c r="L7682" s="78"/>
      <c r="M7682" s="78"/>
      <c r="N7682" s="78"/>
      <c r="P7682" s="85"/>
    </row>
    <row r="7683" spans="11:16">
      <c r="K7683" s="85">
        <v>26</v>
      </c>
      <c r="L7683" s="78"/>
      <c r="M7683" s="78"/>
      <c r="N7683" s="78"/>
      <c r="P7683" s="85"/>
    </row>
    <row r="7684" spans="11:16">
      <c r="K7684" s="85">
        <v>27</v>
      </c>
      <c r="L7684" s="78"/>
      <c r="M7684" s="78"/>
      <c r="N7684" s="78"/>
      <c r="P7684" s="85"/>
    </row>
    <row r="7685" spans="11:16">
      <c r="K7685" s="85">
        <v>28</v>
      </c>
      <c r="L7685" s="78"/>
      <c r="M7685" s="78"/>
      <c r="N7685" s="78"/>
      <c r="P7685" s="85"/>
    </row>
    <row r="7686" spans="11:16">
      <c r="K7686" s="85">
        <v>29</v>
      </c>
      <c r="L7686" s="78"/>
      <c r="M7686" s="78"/>
      <c r="N7686" s="78"/>
      <c r="P7686" s="85"/>
    </row>
    <row r="7687" spans="11:16">
      <c r="K7687" s="85">
        <v>30</v>
      </c>
      <c r="L7687" s="78"/>
      <c r="M7687" s="78"/>
      <c r="N7687" s="78"/>
      <c r="P7687" s="85"/>
    </row>
    <row r="7688" spans="11:16">
      <c r="K7688" s="85">
        <v>32</v>
      </c>
      <c r="L7688" s="78"/>
      <c r="M7688" s="78"/>
      <c r="N7688" s="78"/>
      <c r="P7688" s="85"/>
    </row>
    <row r="7689" spans="11:16">
      <c r="K7689" s="85">
        <v>33</v>
      </c>
      <c r="L7689" s="78"/>
      <c r="M7689" s="78"/>
      <c r="N7689" s="78"/>
      <c r="P7689" s="85"/>
    </row>
    <row r="7690" spans="11:16">
      <c r="K7690" s="85">
        <v>34</v>
      </c>
      <c r="L7690" s="78"/>
      <c r="M7690" s="78"/>
      <c r="N7690" s="78"/>
      <c r="P7690" s="85"/>
    </row>
    <row r="7691" spans="11:16">
      <c r="K7691" s="85">
        <v>35</v>
      </c>
      <c r="L7691" s="78"/>
      <c r="M7691" s="78"/>
      <c r="N7691" s="78"/>
      <c r="P7691" s="85"/>
    </row>
    <row r="7692" spans="11:16">
      <c r="K7692" s="85">
        <v>36</v>
      </c>
      <c r="L7692" s="78"/>
      <c r="M7692" s="78"/>
      <c r="N7692" s="78"/>
      <c r="P7692" s="85"/>
    </row>
    <row r="7693" spans="11:16">
      <c r="K7693" s="85">
        <v>25</v>
      </c>
      <c r="L7693" s="78"/>
      <c r="M7693" s="78"/>
      <c r="N7693" s="78"/>
      <c r="P7693" s="85"/>
    </row>
    <row r="7694" spans="11:16">
      <c r="K7694" s="85">
        <v>30</v>
      </c>
      <c r="L7694" s="78"/>
      <c r="M7694" s="78"/>
      <c r="N7694" s="78"/>
      <c r="P7694" s="85"/>
    </row>
    <row r="7695" spans="11:16">
      <c r="K7695" s="85">
        <v>31</v>
      </c>
      <c r="L7695" s="78"/>
      <c r="M7695" s="78"/>
      <c r="N7695" s="78"/>
      <c r="P7695" s="85"/>
    </row>
    <row r="7696" spans="11:16">
      <c r="K7696" s="85">
        <v>34</v>
      </c>
      <c r="L7696" s="78"/>
      <c r="M7696" s="78"/>
      <c r="N7696" s="78"/>
      <c r="P7696" s="85"/>
    </row>
    <row r="7697" spans="11:16">
      <c r="K7697" s="85">
        <v>25</v>
      </c>
      <c r="L7697" s="78"/>
      <c r="M7697" s="78"/>
      <c r="N7697" s="78"/>
      <c r="P7697" s="85"/>
    </row>
    <row r="7698" spans="11:16">
      <c r="K7698" s="85">
        <v>26</v>
      </c>
      <c r="L7698" s="78"/>
      <c r="M7698" s="78"/>
      <c r="N7698" s="78"/>
      <c r="P7698" s="85"/>
    </row>
    <row r="7699" spans="11:16">
      <c r="K7699" s="85">
        <v>27</v>
      </c>
      <c r="L7699" s="78"/>
      <c r="M7699" s="78"/>
      <c r="N7699" s="78"/>
      <c r="P7699" s="85"/>
    </row>
    <row r="7700" spans="11:16">
      <c r="K7700" s="85">
        <v>30</v>
      </c>
      <c r="L7700" s="78"/>
      <c r="M7700" s="78"/>
      <c r="N7700" s="78"/>
      <c r="P7700" s="85"/>
    </row>
    <row r="7701" spans="11:16">
      <c r="K7701" s="85">
        <v>31</v>
      </c>
      <c r="L7701" s="78"/>
      <c r="M7701" s="78"/>
      <c r="N7701" s="78"/>
      <c r="P7701" s="85"/>
    </row>
    <row r="7702" spans="11:16">
      <c r="K7702" s="85">
        <v>32</v>
      </c>
      <c r="L7702" s="78"/>
      <c r="M7702" s="78"/>
      <c r="N7702" s="78"/>
      <c r="P7702" s="85"/>
    </row>
    <row r="7703" spans="11:16">
      <c r="K7703" s="85">
        <v>33</v>
      </c>
      <c r="L7703" s="78"/>
      <c r="M7703" s="78"/>
      <c r="N7703" s="78"/>
      <c r="P7703" s="85"/>
    </row>
    <row r="7704" spans="11:16">
      <c r="K7704" s="85">
        <v>34</v>
      </c>
      <c r="L7704" s="78"/>
      <c r="M7704" s="78"/>
      <c r="N7704" s="78"/>
      <c r="P7704" s="85"/>
    </row>
    <row r="7705" spans="11:16">
      <c r="K7705" s="85">
        <v>35</v>
      </c>
      <c r="L7705" s="78"/>
      <c r="M7705" s="78"/>
      <c r="N7705" s="78"/>
      <c r="P7705" s="85"/>
    </row>
    <row r="7706" spans="11:16">
      <c r="K7706" s="85">
        <v>26</v>
      </c>
      <c r="L7706" s="78"/>
      <c r="M7706" s="78"/>
      <c r="N7706" s="78"/>
      <c r="P7706" s="85"/>
    </row>
    <row r="7707" spans="11:16">
      <c r="K7707" s="85">
        <v>27</v>
      </c>
      <c r="L7707" s="78"/>
      <c r="M7707" s="78"/>
      <c r="N7707" s="78"/>
      <c r="P7707" s="85"/>
    </row>
    <row r="7708" spans="11:16">
      <c r="K7708" s="85">
        <v>25</v>
      </c>
      <c r="L7708" s="78"/>
      <c r="M7708" s="78"/>
      <c r="N7708" s="78"/>
      <c r="P7708" s="85"/>
    </row>
    <row r="7709" spans="11:16">
      <c r="K7709" s="85">
        <v>26</v>
      </c>
      <c r="L7709" s="78"/>
      <c r="M7709" s="78"/>
      <c r="N7709" s="78"/>
      <c r="P7709" s="85"/>
    </row>
    <row r="7710" spans="11:16">
      <c r="K7710" s="85">
        <v>27</v>
      </c>
      <c r="L7710" s="78"/>
      <c r="M7710" s="78"/>
      <c r="N7710" s="78"/>
      <c r="P7710" s="85"/>
    </row>
    <row r="7711" spans="11:16">
      <c r="K7711" s="85">
        <v>28</v>
      </c>
      <c r="L7711" s="78"/>
      <c r="M7711" s="78"/>
      <c r="N7711" s="78"/>
      <c r="P7711" s="85"/>
    </row>
    <row r="7712" spans="11:16">
      <c r="K7712" s="85">
        <v>29</v>
      </c>
      <c r="L7712" s="78"/>
      <c r="M7712" s="78"/>
      <c r="N7712" s="78"/>
      <c r="P7712" s="85"/>
    </row>
    <row r="7713" spans="11:16">
      <c r="K7713" s="85">
        <v>30</v>
      </c>
      <c r="L7713" s="78"/>
      <c r="M7713" s="78"/>
      <c r="N7713" s="78"/>
      <c r="P7713" s="85"/>
    </row>
    <row r="7714" spans="11:16">
      <c r="K7714" s="85">
        <v>31</v>
      </c>
      <c r="L7714" s="78"/>
      <c r="M7714" s="78"/>
      <c r="N7714" s="78"/>
      <c r="P7714" s="85"/>
    </row>
    <row r="7715" spans="11:16">
      <c r="K7715" s="85">
        <v>32</v>
      </c>
      <c r="L7715" s="78"/>
      <c r="M7715" s="78"/>
      <c r="N7715" s="78"/>
      <c r="P7715" s="85"/>
    </row>
    <row r="7716" spans="11:16">
      <c r="K7716" s="85">
        <v>34</v>
      </c>
      <c r="L7716" s="78"/>
      <c r="M7716" s="78"/>
      <c r="N7716" s="78"/>
      <c r="P7716" s="85"/>
    </row>
    <row r="7717" spans="11:16">
      <c r="K7717" s="85">
        <v>35</v>
      </c>
      <c r="L7717" s="78"/>
      <c r="M7717" s="78"/>
      <c r="N7717" s="78"/>
      <c r="P7717" s="85"/>
    </row>
    <row r="7718" spans="11:16">
      <c r="K7718" s="85">
        <v>26</v>
      </c>
      <c r="L7718" s="78"/>
      <c r="M7718" s="78"/>
      <c r="N7718" s="78"/>
      <c r="P7718" s="85"/>
    </row>
    <row r="7719" spans="11:16">
      <c r="K7719" s="85">
        <v>27</v>
      </c>
      <c r="L7719" s="78"/>
      <c r="M7719" s="78"/>
      <c r="N7719" s="78"/>
      <c r="P7719" s="85"/>
    </row>
    <row r="7720" spans="11:16">
      <c r="K7720" s="85">
        <v>25</v>
      </c>
      <c r="L7720" s="78"/>
      <c r="M7720" s="78"/>
      <c r="N7720" s="78"/>
      <c r="P7720" s="85"/>
    </row>
    <row r="7721" spans="11:16">
      <c r="K7721" s="85">
        <v>30</v>
      </c>
      <c r="L7721" s="78"/>
      <c r="M7721" s="78"/>
      <c r="N7721" s="78"/>
      <c r="P7721" s="85"/>
    </row>
    <row r="7722" spans="11:16">
      <c r="K7722" s="85">
        <v>34</v>
      </c>
      <c r="L7722" s="78"/>
      <c r="M7722" s="78"/>
      <c r="N7722" s="78"/>
      <c r="P7722" s="85"/>
    </row>
    <row r="7723" spans="11:16">
      <c r="K7723" s="85">
        <v>25</v>
      </c>
      <c r="L7723" s="78"/>
      <c r="M7723" s="78"/>
      <c r="N7723" s="78"/>
      <c r="P7723" s="85"/>
    </row>
    <row r="7724" spans="11:16">
      <c r="K7724" s="85">
        <v>26</v>
      </c>
      <c r="L7724" s="78"/>
      <c r="M7724" s="78"/>
      <c r="N7724" s="78"/>
      <c r="P7724" s="85"/>
    </row>
    <row r="7725" spans="11:16">
      <c r="K7725" s="85">
        <v>27</v>
      </c>
      <c r="L7725" s="78"/>
      <c r="M7725" s="78"/>
      <c r="N7725" s="78"/>
      <c r="P7725" s="85"/>
    </row>
    <row r="7726" spans="11:16">
      <c r="K7726" s="85">
        <v>28</v>
      </c>
      <c r="L7726" s="78"/>
      <c r="M7726" s="78"/>
      <c r="N7726" s="78"/>
      <c r="P7726" s="85"/>
    </row>
    <row r="7727" spans="11:16">
      <c r="K7727" s="85">
        <v>29</v>
      </c>
      <c r="L7727" s="78"/>
      <c r="M7727" s="78"/>
      <c r="N7727" s="78"/>
      <c r="P7727" s="85"/>
    </row>
    <row r="7728" spans="11:16">
      <c r="K7728" s="85">
        <v>30</v>
      </c>
      <c r="L7728" s="78"/>
      <c r="M7728" s="78"/>
      <c r="N7728" s="78"/>
      <c r="P7728" s="85"/>
    </row>
    <row r="7729" spans="11:16">
      <c r="K7729" s="85">
        <v>31</v>
      </c>
      <c r="L7729" s="78"/>
      <c r="M7729" s="78"/>
      <c r="N7729" s="78"/>
      <c r="P7729" s="85"/>
    </row>
    <row r="7730" spans="11:16">
      <c r="K7730" s="85">
        <v>32</v>
      </c>
      <c r="L7730" s="78"/>
      <c r="M7730" s="78"/>
      <c r="N7730" s="78"/>
      <c r="P7730" s="85"/>
    </row>
    <row r="7731" spans="11:16">
      <c r="K7731" s="85">
        <v>33</v>
      </c>
      <c r="L7731" s="78"/>
      <c r="M7731" s="78"/>
      <c r="N7731" s="78"/>
      <c r="P7731" s="85"/>
    </row>
    <row r="7732" spans="11:16">
      <c r="K7732" s="85">
        <v>34</v>
      </c>
      <c r="L7732" s="78"/>
      <c r="M7732" s="78"/>
      <c r="N7732" s="78"/>
      <c r="P7732" s="85"/>
    </row>
    <row r="7733" spans="11:16">
      <c r="K7733" s="85">
        <v>35</v>
      </c>
      <c r="L7733" s="78"/>
      <c r="M7733" s="78"/>
      <c r="N7733" s="78"/>
      <c r="P7733" s="85"/>
    </row>
    <row r="7734" spans="11:16">
      <c r="K7734" s="85">
        <v>25</v>
      </c>
      <c r="L7734" s="78"/>
      <c r="M7734" s="78"/>
      <c r="N7734" s="78"/>
      <c r="P7734" s="85"/>
    </row>
    <row r="7735" spans="11:16">
      <c r="K7735" s="85">
        <v>27</v>
      </c>
      <c r="L7735" s="78"/>
      <c r="M7735" s="78"/>
      <c r="N7735" s="78"/>
      <c r="P7735" s="85"/>
    </row>
    <row r="7736" spans="11:16">
      <c r="K7736" s="85">
        <v>31</v>
      </c>
      <c r="L7736" s="78"/>
      <c r="M7736" s="78"/>
      <c r="N7736" s="78"/>
      <c r="P7736" s="85"/>
    </row>
    <row r="7737" spans="11:16">
      <c r="K7737" s="85">
        <v>32</v>
      </c>
      <c r="L7737" s="78"/>
      <c r="M7737" s="78"/>
      <c r="N7737" s="78"/>
      <c r="P7737" s="85"/>
    </row>
    <row r="7738" spans="11:16">
      <c r="K7738" s="85">
        <v>34</v>
      </c>
      <c r="L7738" s="78"/>
      <c r="M7738" s="78"/>
      <c r="N7738" s="78"/>
      <c r="P7738" s="85"/>
    </row>
    <row r="7739" spans="11:16">
      <c r="K7739" s="85">
        <v>35</v>
      </c>
      <c r="L7739" s="78"/>
      <c r="M7739" s="78"/>
      <c r="N7739" s="78"/>
      <c r="P7739" s="85"/>
    </row>
    <row r="7740" spans="11:16">
      <c r="K7740" s="85">
        <v>25</v>
      </c>
      <c r="L7740" s="78"/>
      <c r="M7740" s="78"/>
      <c r="N7740" s="78"/>
      <c r="P7740" s="85"/>
    </row>
    <row r="7741" spans="11:16">
      <c r="K7741" s="85">
        <v>26</v>
      </c>
      <c r="L7741" s="78"/>
      <c r="M7741" s="78"/>
      <c r="N7741" s="78"/>
      <c r="P7741" s="85"/>
    </row>
    <row r="7742" spans="11:16">
      <c r="K7742" s="85">
        <v>27</v>
      </c>
      <c r="L7742" s="78"/>
      <c r="M7742" s="78"/>
      <c r="N7742" s="78"/>
      <c r="P7742" s="85"/>
    </row>
    <row r="7743" spans="11:16">
      <c r="K7743" s="85">
        <v>28</v>
      </c>
      <c r="L7743" s="78"/>
      <c r="M7743" s="78"/>
      <c r="N7743" s="78"/>
      <c r="P7743" s="85"/>
    </row>
    <row r="7744" spans="11:16">
      <c r="K7744" s="85">
        <v>29</v>
      </c>
      <c r="L7744" s="78"/>
      <c r="M7744" s="78"/>
      <c r="N7744" s="78"/>
      <c r="P7744" s="85"/>
    </row>
    <row r="7745" spans="11:16">
      <c r="K7745" s="85">
        <v>30</v>
      </c>
      <c r="L7745" s="78"/>
      <c r="M7745" s="78"/>
      <c r="N7745" s="78"/>
      <c r="P7745" s="85"/>
    </row>
    <row r="7746" spans="11:16">
      <c r="K7746" s="85">
        <v>31</v>
      </c>
      <c r="L7746" s="78"/>
      <c r="M7746" s="78"/>
      <c r="N7746" s="78"/>
      <c r="P7746" s="85"/>
    </row>
    <row r="7747" spans="11:16">
      <c r="K7747" s="85">
        <v>32</v>
      </c>
      <c r="L7747" s="78"/>
      <c r="M7747" s="78"/>
      <c r="N7747" s="78"/>
      <c r="P7747" s="85"/>
    </row>
    <row r="7748" spans="11:16">
      <c r="K7748" s="85">
        <v>33</v>
      </c>
      <c r="L7748" s="78"/>
      <c r="M7748" s="78"/>
      <c r="N7748" s="78"/>
      <c r="P7748" s="85"/>
    </row>
    <row r="7749" spans="11:16">
      <c r="K7749" s="85">
        <v>34</v>
      </c>
      <c r="L7749" s="78"/>
      <c r="M7749" s="78"/>
      <c r="N7749" s="78"/>
      <c r="P7749" s="85"/>
    </row>
    <row r="7750" spans="11:16">
      <c r="K7750" s="85">
        <v>35</v>
      </c>
      <c r="L7750" s="78"/>
      <c r="M7750" s="78"/>
      <c r="N7750" s="78"/>
      <c r="P7750" s="85"/>
    </row>
    <row r="7751" spans="11:16">
      <c r="K7751" s="85">
        <v>36</v>
      </c>
      <c r="L7751" s="78"/>
      <c r="M7751" s="78"/>
      <c r="N7751" s="78"/>
      <c r="P7751" s="85"/>
    </row>
    <row r="7752" spans="11:16">
      <c r="K7752" s="85">
        <v>25</v>
      </c>
      <c r="L7752" s="78"/>
      <c r="M7752" s="78"/>
      <c r="N7752" s="78"/>
      <c r="P7752" s="85"/>
    </row>
    <row r="7753" spans="11:16">
      <c r="K7753" s="85">
        <v>26</v>
      </c>
      <c r="L7753" s="78"/>
      <c r="M7753" s="78"/>
      <c r="N7753" s="78"/>
      <c r="P7753" s="85"/>
    </row>
    <row r="7754" spans="11:16">
      <c r="K7754" s="85">
        <v>28</v>
      </c>
      <c r="L7754" s="78"/>
      <c r="M7754" s="78"/>
      <c r="N7754" s="78"/>
      <c r="P7754" s="85"/>
    </row>
    <row r="7755" spans="11:16">
      <c r="K7755" s="85">
        <v>29</v>
      </c>
      <c r="L7755" s="78"/>
      <c r="M7755" s="78"/>
      <c r="N7755" s="78"/>
      <c r="P7755" s="85"/>
    </row>
    <row r="7756" spans="11:16">
      <c r="K7756" s="85">
        <v>30</v>
      </c>
      <c r="L7756" s="78"/>
      <c r="M7756" s="78"/>
      <c r="N7756" s="78"/>
      <c r="P7756" s="85"/>
    </row>
    <row r="7757" spans="11:16">
      <c r="K7757" s="85">
        <v>31</v>
      </c>
      <c r="L7757" s="78"/>
      <c r="M7757" s="78"/>
      <c r="N7757" s="78"/>
      <c r="P7757" s="85"/>
    </row>
    <row r="7758" spans="11:16">
      <c r="K7758" s="85">
        <v>34</v>
      </c>
      <c r="L7758" s="78"/>
      <c r="M7758" s="78"/>
      <c r="N7758" s="78"/>
      <c r="P7758" s="85"/>
    </row>
    <row r="7759" spans="11:16">
      <c r="K7759" s="85">
        <v>35</v>
      </c>
      <c r="L7759" s="78"/>
      <c r="M7759" s="78"/>
      <c r="N7759" s="78"/>
      <c r="P7759" s="85"/>
    </row>
    <row r="7760" spans="11:16">
      <c r="K7760" s="85">
        <v>27</v>
      </c>
      <c r="L7760" s="78"/>
      <c r="M7760" s="78"/>
      <c r="N7760" s="78"/>
      <c r="P7760" s="85"/>
    </row>
    <row r="7761" spans="11:16">
      <c r="K7761" s="85">
        <v>28</v>
      </c>
      <c r="L7761" s="78"/>
      <c r="M7761" s="78"/>
      <c r="N7761" s="78"/>
      <c r="P7761" s="85"/>
    </row>
    <row r="7762" spans="11:16">
      <c r="K7762" s="85">
        <v>29</v>
      </c>
      <c r="L7762" s="78"/>
      <c r="M7762" s="78"/>
      <c r="N7762" s="78"/>
      <c r="P7762" s="85"/>
    </row>
    <row r="7763" spans="11:16">
      <c r="K7763" s="85">
        <v>31</v>
      </c>
      <c r="L7763" s="78"/>
      <c r="M7763" s="78"/>
      <c r="N7763" s="78"/>
      <c r="P7763" s="85"/>
    </row>
    <row r="7764" spans="11:16">
      <c r="K7764" s="85">
        <v>32</v>
      </c>
      <c r="L7764" s="78"/>
      <c r="M7764" s="78"/>
      <c r="N7764" s="78"/>
      <c r="P7764" s="85"/>
    </row>
    <row r="7765" spans="11:16">
      <c r="K7765" s="85">
        <v>25</v>
      </c>
      <c r="L7765" s="78"/>
      <c r="M7765" s="78"/>
      <c r="N7765" s="78"/>
      <c r="P7765" s="85"/>
    </row>
    <row r="7766" spans="11:16">
      <c r="K7766" s="85">
        <v>26</v>
      </c>
      <c r="L7766" s="78"/>
      <c r="M7766" s="78"/>
      <c r="N7766" s="78"/>
      <c r="P7766" s="85"/>
    </row>
    <row r="7767" spans="11:16">
      <c r="K7767" s="85">
        <v>27</v>
      </c>
      <c r="L7767" s="78"/>
      <c r="M7767" s="78"/>
      <c r="N7767" s="78"/>
      <c r="P7767" s="85"/>
    </row>
    <row r="7768" spans="11:16">
      <c r="K7768" s="85">
        <v>28</v>
      </c>
      <c r="L7768" s="78"/>
      <c r="M7768" s="78"/>
      <c r="N7768" s="78"/>
      <c r="P7768" s="85"/>
    </row>
    <row r="7769" spans="11:16">
      <c r="K7769" s="85">
        <v>29</v>
      </c>
      <c r="L7769" s="78"/>
      <c r="M7769" s="78"/>
      <c r="N7769" s="78"/>
      <c r="P7769" s="85"/>
    </row>
    <row r="7770" spans="11:16">
      <c r="K7770" s="85">
        <v>30</v>
      </c>
      <c r="L7770" s="78"/>
      <c r="M7770" s="78"/>
      <c r="N7770" s="78"/>
      <c r="P7770" s="85"/>
    </row>
    <row r="7771" spans="11:16">
      <c r="K7771" s="85">
        <v>31</v>
      </c>
      <c r="L7771" s="78"/>
      <c r="M7771" s="78"/>
      <c r="N7771" s="78"/>
      <c r="P7771" s="85"/>
    </row>
    <row r="7772" spans="11:16">
      <c r="K7772" s="85">
        <v>32</v>
      </c>
      <c r="L7772" s="78"/>
      <c r="M7772" s="78"/>
      <c r="N7772" s="78"/>
      <c r="P7772" s="85"/>
    </row>
    <row r="7773" spans="11:16">
      <c r="K7773" s="85">
        <v>34</v>
      </c>
      <c r="L7773" s="78"/>
      <c r="M7773" s="78"/>
      <c r="N7773" s="78"/>
      <c r="P7773" s="85"/>
    </row>
    <row r="7774" spans="11:16">
      <c r="K7774" s="85">
        <v>35</v>
      </c>
      <c r="L7774" s="78"/>
      <c r="M7774" s="78"/>
      <c r="N7774" s="78"/>
      <c r="P7774" s="85"/>
    </row>
    <row r="7775" spans="11:16">
      <c r="K7775" s="85">
        <v>36</v>
      </c>
      <c r="L7775" s="78"/>
      <c r="M7775" s="78"/>
      <c r="N7775" s="78"/>
      <c r="P7775" s="85"/>
    </row>
    <row r="7776" spans="11:16">
      <c r="K7776" s="85">
        <v>25</v>
      </c>
      <c r="L7776" s="78"/>
      <c r="M7776" s="78"/>
      <c r="N7776" s="78"/>
      <c r="P7776" s="85"/>
    </row>
    <row r="7777" spans="11:16">
      <c r="K7777" s="85">
        <v>26</v>
      </c>
      <c r="L7777" s="78"/>
      <c r="M7777" s="78"/>
      <c r="N7777" s="78"/>
      <c r="P7777" s="85"/>
    </row>
    <row r="7778" spans="11:16">
      <c r="K7778" s="85">
        <v>27</v>
      </c>
      <c r="L7778" s="78"/>
      <c r="M7778" s="78"/>
      <c r="N7778" s="78"/>
      <c r="P7778" s="85"/>
    </row>
    <row r="7779" spans="11:16">
      <c r="K7779" s="85">
        <v>28</v>
      </c>
      <c r="L7779" s="78"/>
      <c r="M7779" s="78"/>
      <c r="N7779" s="78"/>
      <c r="P7779" s="85"/>
    </row>
    <row r="7780" spans="11:16">
      <c r="K7780" s="85">
        <v>29</v>
      </c>
      <c r="L7780" s="78"/>
      <c r="M7780" s="78"/>
      <c r="N7780" s="78"/>
      <c r="P7780" s="85"/>
    </row>
    <row r="7781" spans="11:16">
      <c r="K7781" s="85">
        <v>30</v>
      </c>
      <c r="L7781" s="78"/>
      <c r="M7781" s="78"/>
      <c r="N7781" s="78"/>
      <c r="P7781" s="85"/>
    </row>
    <row r="7782" spans="11:16">
      <c r="K7782" s="85">
        <v>31</v>
      </c>
      <c r="L7782" s="78"/>
      <c r="M7782" s="78"/>
      <c r="N7782" s="78"/>
      <c r="P7782" s="85"/>
    </row>
    <row r="7783" spans="11:16">
      <c r="K7783" s="85">
        <v>32</v>
      </c>
      <c r="L7783" s="78"/>
      <c r="M7783" s="78"/>
      <c r="N7783" s="78"/>
      <c r="P7783" s="85"/>
    </row>
    <row r="7784" spans="11:16">
      <c r="K7784" s="85">
        <v>33</v>
      </c>
      <c r="L7784" s="78"/>
      <c r="M7784" s="78"/>
      <c r="N7784" s="78"/>
      <c r="P7784" s="85"/>
    </row>
    <row r="7785" spans="11:16">
      <c r="K7785" s="85">
        <v>34</v>
      </c>
      <c r="L7785" s="78"/>
      <c r="M7785" s="78"/>
      <c r="N7785" s="78"/>
      <c r="P7785" s="85"/>
    </row>
    <row r="7786" spans="11:16">
      <c r="K7786" s="85">
        <v>35</v>
      </c>
      <c r="L7786" s="78"/>
      <c r="M7786" s="78"/>
      <c r="N7786" s="78"/>
      <c r="P7786" s="85"/>
    </row>
    <row r="7787" spans="11:16">
      <c r="K7787" s="85">
        <v>36</v>
      </c>
      <c r="L7787" s="78"/>
      <c r="M7787" s="78"/>
      <c r="N7787" s="78"/>
      <c r="P7787" s="85"/>
    </row>
    <row r="7788" spans="11:16">
      <c r="K7788" s="85">
        <v>25</v>
      </c>
      <c r="L7788" s="78"/>
      <c r="M7788" s="78"/>
      <c r="N7788" s="78"/>
      <c r="P7788" s="85"/>
    </row>
    <row r="7789" spans="11:16">
      <c r="K7789" s="85">
        <v>26</v>
      </c>
      <c r="L7789" s="78"/>
      <c r="M7789" s="78"/>
      <c r="N7789" s="78"/>
      <c r="P7789" s="85"/>
    </row>
    <row r="7790" spans="11:16">
      <c r="K7790" s="85">
        <v>27</v>
      </c>
      <c r="L7790" s="78"/>
      <c r="M7790" s="78"/>
      <c r="N7790" s="78"/>
      <c r="P7790" s="85"/>
    </row>
    <row r="7791" spans="11:16">
      <c r="K7791" s="85">
        <v>28</v>
      </c>
      <c r="L7791" s="78"/>
      <c r="M7791" s="78"/>
      <c r="N7791" s="78"/>
      <c r="P7791" s="85"/>
    </row>
    <row r="7792" spans="11:16">
      <c r="K7792" s="85">
        <v>29</v>
      </c>
      <c r="L7792" s="78"/>
      <c r="M7792" s="78"/>
      <c r="N7792" s="78"/>
      <c r="P7792" s="85"/>
    </row>
    <row r="7793" spans="11:16">
      <c r="K7793" s="85">
        <v>30</v>
      </c>
      <c r="L7793" s="78"/>
      <c r="M7793" s="78"/>
      <c r="N7793" s="78"/>
      <c r="P7793" s="85"/>
    </row>
    <row r="7794" spans="11:16">
      <c r="K7794" s="85">
        <v>31</v>
      </c>
      <c r="L7794" s="78"/>
      <c r="M7794" s="78"/>
      <c r="N7794" s="78"/>
      <c r="P7794" s="85"/>
    </row>
    <row r="7795" spans="11:16">
      <c r="K7795" s="85">
        <v>32</v>
      </c>
      <c r="L7795" s="78"/>
      <c r="M7795" s="78"/>
      <c r="N7795" s="78"/>
      <c r="P7795" s="85"/>
    </row>
    <row r="7796" spans="11:16">
      <c r="K7796" s="85">
        <v>34</v>
      </c>
      <c r="L7796" s="78"/>
      <c r="M7796" s="78"/>
      <c r="N7796" s="78"/>
      <c r="P7796" s="85"/>
    </row>
    <row r="7797" spans="11:16">
      <c r="K7797" s="85">
        <v>35</v>
      </c>
      <c r="L7797" s="78"/>
      <c r="M7797" s="78"/>
      <c r="N7797" s="78"/>
      <c r="P7797" s="85"/>
    </row>
    <row r="7798" spans="11:16">
      <c r="K7798" s="85">
        <v>36</v>
      </c>
      <c r="L7798" s="78"/>
      <c r="M7798" s="78"/>
      <c r="N7798" s="78"/>
      <c r="P7798" s="85"/>
    </row>
    <row r="7799" spans="11:16">
      <c r="K7799" s="85">
        <v>25</v>
      </c>
      <c r="L7799" s="78"/>
      <c r="M7799" s="78"/>
      <c r="N7799" s="78"/>
      <c r="P7799" s="85"/>
    </row>
    <row r="7800" spans="11:16">
      <c r="K7800" s="85">
        <v>26</v>
      </c>
      <c r="L7800" s="78"/>
      <c r="M7800" s="78"/>
      <c r="N7800" s="78"/>
      <c r="P7800" s="85"/>
    </row>
    <row r="7801" spans="11:16">
      <c r="K7801" s="85">
        <v>27</v>
      </c>
      <c r="L7801" s="78"/>
      <c r="M7801" s="78"/>
      <c r="N7801" s="78"/>
      <c r="P7801" s="85"/>
    </row>
    <row r="7802" spans="11:16">
      <c r="K7802" s="85">
        <v>34</v>
      </c>
      <c r="L7802" s="78"/>
      <c r="M7802" s="78"/>
      <c r="N7802" s="78"/>
      <c r="P7802" s="85"/>
    </row>
    <row r="7803" spans="11:16">
      <c r="K7803" s="85">
        <v>35</v>
      </c>
      <c r="L7803" s="78"/>
      <c r="M7803" s="78"/>
      <c r="N7803" s="78"/>
      <c r="P7803" s="85"/>
    </row>
    <row r="7804" spans="11:16">
      <c r="K7804" s="85">
        <v>25</v>
      </c>
      <c r="L7804" s="78"/>
      <c r="M7804" s="78"/>
      <c r="N7804" s="78"/>
      <c r="P7804" s="85"/>
    </row>
    <row r="7805" spans="11:16">
      <c r="K7805" s="85">
        <v>27</v>
      </c>
      <c r="L7805" s="78"/>
      <c r="M7805" s="78"/>
      <c r="N7805" s="78"/>
      <c r="P7805" s="85"/>
    </row>
    <row r="7806" spans="11:16">
      <c r="K7806" s="85">
        <v>30</v>
      </c>
      <c r="L7806" s="78"/>
      <c r="M7806" s="78"/>
      <c r="N7806" s="78"/>
      <c r="P7806" s="85"/>
    </row>
    <row r="7807" spans="11:16">
      <c r="K7807" s="85">
        <v>31</v>
      </c>
      <c r="L7807" s="78"/>
      <c r="M7807" s="78"/>
      <c r="N7807" s="78"/>
      <c r="P7807" s="85"/>
    </row>
    <row r="7808" spans="11:16">
      <c r="K7808" s="85">
        <v>32</v>
      </c>
      <c r="L7808" s="78"/>
      <c r="M7808" s="78"/>
      <c r="N7808" s="78"/>
      <c r="P7808" s="85"/>
    </row>
    <row r="7809" spans="11:16">
      <c r="K7809" s="85">
        <v>34</v>
      </c>
      <c r="L7809" s="78"/>
      <c r="M7809" s="78"/>
      <c r="N7809" s="78"/>
      <c r="P7809" s="85"/>
    </row>
    <row r="7810" spans="11:16">
      <c r="K7810" s="85">
        <v>35</v>
      </c>
      <c r="L7810" s="78"/>
      <c r="M7810" s="78"/>
      <c r="N7810" s="78"/>
      <c r="P7810" s="85"/>
    </row>
    <row r="7811" spans="11:16">
      <c r="K7811" s="85">
        <v>32</v>
      </c>
      <c r="L7811" s="78"/>
      <c r="M7811" s="78"/>
      <c r="N7811" s="78"/>
      <c r="P7811" s="85"/>
    </row>
    <row r="7812" spans="11:16">
      <c r="K7812" s="85">
        <v>34</v>
      </c>
      <c r="L7812" s="78"/>
      <c r="M7812" s="78"/>
      <c r="N7812" s="78"/>
      <c r="P7812" s="85"/>
    </row>
    <row r="7813" spans="11:16">
      <c r="K7813" s="85">
        <v>35</v>
      </c>
      <c r="L7813" s="78"/>
      <c r="M7813" s="78"/>
      <c r="N7813" s="78"/>
      <c r="P7813" s="85"/>
    </row>
    <row r="7814" spans="11:16">
      <c r="K7814" s="85">
        <v>28</v>
      </c>
      <c r="L7814" s="78"/>
      <c r="M7814" s="78"/>
      <c r="N7814" s="78"/>
      <c r="P7814" s="85"/>
    </row>
    <row r="7815" spans="11:16">
      <c r="K7815" s="85">
        <v>31</v>
      </c>
      <c r="L7815" s="78"/>
      <c r="M7815" s="78"/>
      <c r="N7815" s="78"/>
      <c r="P7815" s="85"/>
    </row>
    <row r="7816" spans="11:16">
      <c r="K7816" s="85">
        <v>25</v>
      </c>
      <c r="L7816" s="78"/>
      <c r="M7816" s="78"/>
      <c r="N7816" s="78"/>
      <c r="P7816" s="85"/>
    </row>
    <row r="7817" spans="11:16">
      <c r="K7817" s="85">
        <v>26</v>
      </c>
      <c r="L7817" s="78"/>
      <c r="M7817" s="78"/>
      <c r="N7817" s="78"/>
      <c r="P7817" s="85"/>
    </row>
    <row r="7818" spans="11:16">
      <c r="K7818" s="85">
        <v>27</v>
      </c>
      <c r="L7818" s="78"/>
      <c r="M7818" s="78"/>
      <c r="N7818" s="78"/>
      <c r="P7818" s="85"/>
    </row>
    <row r="7819" spans="11:16">
      <c r="K7819" s="85">
        <v>28</v>
      </c>
      <c r="L7819" s="78"/>
      <c r="M7819" s="78"/>
      <c r="N7819" s="78"/>
      <c r="P7819" s="85"/>
    </row>
    <row r="7820" spans="11:16">
      <c r="K7820" s="85">
        <v>29</v>
      </c>
      <c r="L7820" s="78"/>
      <c r="M7820" s="78"/>
      <c r="N7820" s="78"/>
      <c r="P7820" s="85"/>
    </row>
    <row r="7821" spans="11:16">
      <c r="K7821" s="85">
        <v>30</v>
      </c>
      <c r="L7821" s="78"/>
      <c r="M7821" s="78"/>
      <c r="N7821" s="78"/>
      <c r="P7821" s="85"/>
    </row>
    <row r="7822" spans="11:16">
      <c r="K7822" s="85">
        <v>31</v>
      </c>
      <c r="L7822" s="78"/>
      <c r="M7822" s="78"/>
      <c r="N7822" s="78"/>
      <c r="P7822" s="85"/>
    </row>
    <row r="7823" spans="11:16">
      <c r="K7823" s="85">
        <v>32</v>
      </c>
      <c r="L7823" s="78"/>
      <c r="M7823" s="78"/>
      <c r="N7823" s="78"/>
      <c r="P7823" s="85"/>
    </row>
    <row r="7824" spans="11:16">
      <c r="K7824" s="85">
        <v>33</v>
      </c>
      <c r="L7824" s="78"/>
      <c r="M7824" s="78"/>
      <c r="N7824" s="78"/>
      <c r="P7824" s="85"/>
    </row>
    <row r="7825" spans="11:16">
      <c r="K7825" s="85">
        <v>34</v>
      </c>
      <c r="L7825" s="78"/>
      <c r="M7825" s="78"/>
      <c r="N7825" s="78"/>
      <c r="P7825" s="85"/>
    </row>
    <row r="7826" spans="11:16">
      <c r="K7826" s="85">
        <v>35</v>
      </c>
      <c r="L7826" s="78"/>
      <c r="M7826" s="78"/>
      <c r="N7826" s="78"/>
      <c r="P7826" s="85"/>
    </row>
    <row r="7827" spans="11:16">
      <c r="K7827" s="85">
        <v>36</v>
      </c>
      <c r="L7827" s="78"/>
      <c r="M7827" s="78"/>
      <c r="N7827" s="78"/>
      <c r="P7827" s="85"/>
    </row>
    <row r="7828" spans="11:16">
      <c r="K7828" s="85">
        <v>25</v>
      </c>
      <c r="L7828" s="78"/>
      <c r="M7828" s="78"/>
      <c r="N7828" s="78"/>
      <c r="P7828" s="85"/>
    </row>
    <row r="7829" spans="11:16">
      <c r="K7829" s="85">
        <v>26</v>
      </c>
      <c r="L7829" s="78"/>
      <c r="M7829" s="78"/>
      <c r="N7829" s="78"/>
      <c r="P7829" s="85"/>
    </row>
    <row r="7830" spans="11:16">
      <c r="K7830" s="85">
        <v>27</v>
      </c>
      <c r="L7830" s="78"/>
      <c r="M7830" s="78"/>
      <c r="N7830" s="78"/>
      <c r="P7830" s="85"/>
    </row>
    <row r="7831" spans="11:16">
      <c r="K7831" s="85">
        <v>28</v>
      </c>
      <c r="L7831" s="78"/>
      <c r="M7831" s="78"/>
      <c r="N7831" s="78"/>
      <c r="P7831" s="85"/>
    </row>
    <row r="7832" spans="11:16">
      <c r="K7832" s="85">
        <v>29</v>
      </c>
      <c r="L7832" s="78"/>
      <c r="M7832" s="78"/>
      <c r="N7832" s="78"/>
      <c r="P7832" s="85"/>
    </row>
    <row r="7833" spans="11:16">
      <c r="K7833" s="85">
        <v>30</v>
      </c>
      <c r="L7833" s="78"/>
      <c r="M7833" s="78"/>
      <c r="N7833" s="78"/>
      <c r="P7833" s="85"/>
    </row>
    <row r="7834" spans="11:16">
      <c r="K7834" s="85">
        <v>31</v>
      </c>
      <c r="L7834" s="78"/>
      <c r="M7834" s="78"/>
      <c r="N7834" s="78"/>
      <c r="P7834" s="85"/>
    </row>
    <row r="7835" spans="11:16">
      <c r="K7835" s="85">
        <v>32</v>
      </c>
      <c r="L7835" s="78"/>
      <c r="M7835" s="78"/>
      <c r="N7835" s="78"/>
      <c r="P7835" s="85"/>
    </row>
    <row r="7836" spans="11:16">
      <c r="K7836" s="85">
        <v>33</v>
      </c>
      <c r="L7836" s="78"/>
      <c r="M7836" s="78"/>
      <c r="N7836" s="78"/>
      <c r="P7836" s="85"/>
    </row>
    <row r="7837" spans="11:16">
      <c r="K7837" s="85">
        <v>34</v>
      </c>
      <c r="L7837" s="78"/>
      <c r="M7837" s="78"/>
      <c r="N7837" s="78"/>
      <c r="P7837" s="85"/>
    </row>
    <row r="7838" spans="11:16">
      <c r="K7838" s="85">
        <v>35</v>
      </c>
      <c r="L7838" s="78"/>
      <c r="M7838" s="78"/>
      <c r="N7838" s="78"/>
      <c r="P7838" s="85"/>
    </row>
    <row r="7839" spans="11:16">
      <c r="K7839" s="85">
        <v>25</v>
      </c>
      <c r="L7839" s="78"/>
      <c r="M7839" s="78"/>
      <c r="N7839" s="78"/>
      <c r="P7839" s="85"/>
    </row>
    <row r="7840" spans="11:16">
      <c r="K7840" s="85">
        <v>26</v>
      </c>
      <c r="L7840" s="78"/>
      <c r="M7840" s="78"/>
      <c r="N7840" s="78"/>
      <c r="P7840" s="85"/>
    </row>
    <row r="7841" spans="11:16">
      <c r="K7841" s="85">
        <v>27</v>
      </c>
      <c r="L7841" s="78"/>
      <c r="M7841" s="78"/>
      <c r="N7841" s="78"/>
      <c r="P7841" s="85"/>
    </row>
    <row r="7842" spans="11:16">
      <c r="K7842" s="85">
        <v>28</v>
      </c>
      <c r="L7842" s="78"/>
      <c r="M7842" s="78"/>
      <c r="N7842" s="78"/>
      <c r="P7842" s="85"/>
    </row>
    <row r="7843" spans="11:16">
      <c r="K7843" s="85">
        <v>29</v>
      </c>
      <c r="L7843" s="78"/>
      <c r="M7843" s="78"/>
      <c r="N7843" s="78"/>
      <c r="P7843" s="85"/>
    </row>
    <row r="7844" spans="11:16">
      <c r="K7844" s="85">
        <v>30</v>
      </c>
      <c r="L7844" s="78"/>
      <c r="M7844" s="78"/>
      <c r="N7844" s="78"/>
      <c r="P7844" s="85"/>
    </row>
    <row r="7845" spans="11:16">
      <c r="K7845" s="85">
        <v>31</v>
      </c>
      <c r="L7845" s="78"/>
      <c r="M7845" s="78"/>
      <c r="N7845" s="78"/>
      <c r="P7845" s="85"/>
    </row>
    <row r="7846" spans="11:16">
      <c r="K7846" s="85">
        <v>32</v>
      </c>
      <c r="L7846" s="78"/>
      <c r="M7846" s="78"/>
      <c r="N7846" s="78"/>
      <c r="P7846" s="85"/>
    </row>
    <row r="7847" spans="11:16">
      <c r="K7847" s="85">
        <v>33</v>
      </c>
      <c r="L7847" s="78"/>
      <c r="M7847" s="78"/>
      <c r="N7847" s="78"/>
      <c r="P7847" s="85"/>
    </row>
    <row r="7848" spans="11:16">
      <c r="K7848" s="85">
        <v>34</v>
      </c>
      <c r="L7848" s="78"/>
      <c r="M7848" s="78"/>
      <c r="N7848" s="78"/>
      <c r="P7848" s="85"/>
    </row>
    <row r="7849" spans="11:16">
      <c r="K7849" s="85">
        <v>35</v>
      </c>
      <c r="L7849" s="78"/>
      <c r="M7849" s="78"/>
      <c r="N7849" s="78"/>
      <c r="P7849" s="85"/>
    </row>
    <row r="7850" spans="11:16">
      <c r="K7850" s="85">
        <v>25</v>
      </c>
      <c r="L7850" s="78"/>
      <c r="M7850" s="78"/>
      <c r="N7850" s="78"/>
      <c r="P7850" s="85"/>
    </row>
    <row r="7851" spans="11:16">
      <c r="K7851" s="85">
        <v>26</v>
      </c>
      <c r="L7851" s="78"/>
      <c r="M7851" s="78"/>
      <c r="N7851" s="78"/>
      <c r="P7851" s="85"/>
    </row>
    <row r="7852" spans="11:16">
      <c r="K7852" s="85">
        <v>27</v>
      </c>
      <c r="L7852" s="78"/>
      <c r="M7852" s="78"/>
      <c r="N7852" s="78"/>
      <c r="P7852" s="85"/>
    </row>
    <row r="7853" spans="11:16">
      <c r="K7853" s="85">
        <v>28</v>
      </c>
      <c r="L7853" s="78"/>
      <c r="M7853" s="78"/>
      <c r="N7853" s="78"/>
      <c r="P7853" s="85"/>
    </row>
    <row r="7854" spans="11:16">
      <c r="K7854" s="85">
        <v>29</v>
      </c>
      <c r="L7854" s="78"/>
      <c r="M7854" s="78"/>
      <c r="N7854" s="78"/>
      <c r="P7854" s="85"/>
    </row>
    <row r="7855" spans="11:16">
      <c r="K7855" s="85">
        <v>30</v>
      </c>
      <c r="L7855" s="78"/>
      <c r="M7855" s="78"/>
      <c r="N7855" s="78"/>
      <c r="P7855" s="85"/>
    </row>
    <row r="7856" spans="11:16">
      <c r="K7856" s="85">
        <v>31</v>
      </c>
      <c r="L7856" s="78"/>
      <c r="M7856" s="78"/>
      <c r="N7856" s="78"/>
      <c r="P7856" s="85"/>
    </row>
    <row r="7857" spans="11:16">
      <c r="K7857" s="85">
        <v>32</v>
      </c>
      <c r="L7857" s="78"/>
      <c r="M7857" s="78"/>
      <c r="N7857" s="78"/>
      <c r="P7857" s="85"/>
    </row>
    <row r="7858" spans="11:16">
      <c r="K7858" s="85">
        <v>33</v>
      </c>
      <c r="L7858" s="78"/>
      <c r="M7858" s="78"/>
      <c r="N7858" s="78"/>
      <c r="P7858" s="85"/>
    </row>
    <row r="7859" spans="11:16">
      <c r="K7859" s="85">
        <v>34</v>
      </c>
      <c r="L7859" s="78"/>
      <c r="M7859" s="78"/>
      <c r="N7859" s="78"/>
      <c r="P7859" s="85"/>
    </row>
    <row r="7860" spans="11:16">
      <c r="K7860" s="85">
        <v>35</v>
      </c>
      <c r="L7860" s="78"/>
      <c r="M7860" s="78"/>
      <c r="N7860" s="78"/>
      <c r="P7860" s="85"/>
    </row>
    <row r="7861" spans="11:16">
      <c r="K7861" s="85">
        <v>36</v>
      </c>
      <c r="L7861" s="78"/>
      <c r="M7861" s="78"/>
      <c r="N7861" s="78"/>
      <c r="P7861" s="85"/>
    </row>
    <row r="7862" spans="11:16">
      <c r="K7862" s="85">
        <v>26</v>
      </c>
      <c r="L7862" s="78"/>
      <c r="M7862" s="78"/>
      <c r="N7862" s="78"/>
      <c r="P7862" s="85"/>
    </row>
    <row r="7863" spans="11:16">
      <c r="K7863" s="85">
        <v>27</v>
      </c>
      <c r="L7863" s="78"/>
      <c r="M7863" s="78"/>
      <c r="N7863" s="78"/>
      <c r="P7863" s="85"/>
    </row>
    <row r="7864" spans="11:16">
      <c r="K7864" s="85">
        <v>28</v>
      </c>
      <c r="L7864" s="78"/>
      <c r="M7864" s="78"/>
      <c r="N7864" s="78"/>
      <c r="P7864" s="85"/>
    </row>
    <row r="7865" spans="11:16">
      <c r="K7865" s="85">
        <v>31</v>
      </c>
      <c r="L7865" s="78"/>
      <c r="M7865" s="78"/>
      <c r="N7865" s="78"/>
      <c r="P7865" s="85"/>
    </row>
    <row r="7866" spans="11:16">
      <c r="K7866" s="85">
        <v>34</v>
      </c>
      <c r="L7866" s="78"/>
      <c r="M7866" s="78"/>
      <c r="N7866" s="78"/>
      <c r="P7866" s="85"/>
    </row>
    <row r="7867" spans="11:16">
      <c r="K7867" s="85">
        <v>35</v>
      </c>
      <c r="L7867" s="78"/>
      <c r="M7867" s="78"/>
      <c r="N7867" s="78"/>
      <c r="P7867" s="85"/>
    </row>
    <row r="7868" spans="11:16">
      <c r="K7868" s="85">
        <v>26</v>
      </c>
      <c r="L7868" s="78"/>
      <c r="M7868" s="78"/>
      <c r="N7868" s="78"/>
      <c r="P7868" s="85"/>
    </row>
    <row r="7869" spans="11:16">
      <c r="K7869" s="85">
        <v>28</v>
      </c>
      <c r="L7869" s="78"/>
      <c r="M7869" s="78"/>
      <c r="N7869" s="78"/>
      <c r="P7869" s="85"/>
    </row>
    <row r="7870" spans="11:16">
      <c r="K7870" s="85">
        <v>31</v>
      </c>
      <c r="L7870" s="78"/>
      <c r="M7870" s="78"/>
      <c r="N7870" s="78"/>
      <c r="P7870" s="85"/>
    </row>
    <row r="7871" spans="11:16">
      <c r="K7871" s="85">
        <v>25</v>
      </c>
      <c r="L7871" s="78"/>
      <c r="M7871" s="78"/>
      <c r="N7871" s="78"/>
      <c r="P7871" s="85"/>
    </row>
    <row r="7872" spans="11:16">
      <c r="K7872" s="85">
        <v>26</v>
      </c>
      <c r="L7872" s="78"/>
      <c r="M7872" s="78"/>
      <c r="N7872" s="78"/>
      <c r="P7872" s="85"/>
    </row>
    <row r="7873" spans="11:16">
      <c r="K7873" s="85">
        <v>27</v>
      </c>
      <c r="L7873" s="78"/>
      <c r="M7873" s="78"/>
      <c r="N7873" s="78"/>
      <c r="P7873" s="85"/>
    </row>
    <row r="7874" spans="11:16">
      <c r="K7874" s="85">
        <v>28</v>
      </c>
      <c r="L7874" s="78"/>
      <c r="M7874" s="78"/>
      <c r="N7874" s="78"/>
      <c r="P7874" s="85"/>
    </row>
    <row r="7875" spans="11:16">
      <c r="K7875" s="85">
        <v>31</v>
      </c>
      <c r="L7875" s="78"/>
      <c r="M7875" s="78"/>
      <c r="N7875" s="78"/>
      <c r="P7875" s="85"/>
    </row>
    <row r="7876" spans="11:16">
      <c r="K7876" s="85">
        <v>32</v>
      </c>
      <c r="L7876" s="78"/>
      <c r="M7876" s="78"/>
      <c r="N7876" s="78"/>
      <c r="P7876" s="85"/>
    </row>
    <row r="7877" spans="11:16">
      <c r="K7877" s="85">
        <v>34</v>
      </c>
      <c r="L7877" s="78"/>
      <c r="M7877" s="78"/>
      <c r="N7877" s="78"/>
      <c r="P7877" s="85"/>
    </row>
    <row r="7878" spans="11:16">
      <c r="K7878" s="85">
        <v>35</v>
      </c>
      <c r="L7878" s="78"/>
      <c r="M7878" s="78"/>
      <c r="N7878" s="78"/>
      <c r="P7878" s="85"/>
    </row>
    <row r="7879" spans="11:16">
      <c r="K7879" s="85">
        <v>25</v>
      </c>
      <c r="L7879" s="78"/>
      <c r="M7879" s="78"/>
      <c r="N7879" s="78"/>
      <c r="P7879" s="85"/>
    </row>
    <row r="7880" spans="11:16">
      <c r="K7880" s="85">
        <v>26</v>
      </c>
      <c r="L7880" s="78"/>
      <c r="M7880" s="78"/>
      <c r="N7880" s="78"/>
      <c r="P7880" s="85"/>
    </row>
    <row r="7881" spans="11:16">
      <c r="K7881" s="85">
        <v>27</v>
      </c>
      <c r="L7881" s="78"/>
      <c r="M7881" s="78"/>
      <c r="N7881" s="78"/>
      <c r="P7881" s="85"/>
    </row>
    <row r="7882" spans="11:16">
      <c r="K7882" s="85">
        <v>32</v>
      </c>
      <c r="L7882" s="78"/>
      <c r="M7882" s="78"/>
      <c r="N7882" s="78"/>
      <c r="P7882" s="85"/>
    </row>
    <row r="7883" spans="11:16">
      <c r="K7883" s="85">
        <v>34</v>
      </c>
      <c r="L7883" s="78"/>
      <c r="M7883" s="78"/>
      <c r="N7883" s="78"/>
      <c r="P7883" s="85"/>
    </row>
    <row r="7884" spans="11:16">
      <c r="K7884" s="85">
        <v>25</v>
      </c>
      <c r="L7884" s="78"/>
      <c r="M7884" s="78"/>
      <c r="N7884" s="78"/>
      <c r="P7884" s="85"/>
    </row>
    <row r="7885" spans="11:16">
      <c r="K7885" s="85">
        <v>26</v>
      </c>
      <c r="L7885" s="78"/>
      <c r="M7885" s="78"/>
      <c r="N7885" s="78"/>
      <c r="P7885" s="85"/>
    </row>
    <row r="7886" spans="11:16">
      <c r="K7886" s="85">
        <v>27</v>
      </c>
      <c r="L7886" s="78"/>
      <c r="M7886" s="78"/>
      <c r="N7886" s="78"/>
      <c r="P7886" s="85"/>
    </row>
    <row r="7887" spans="11:16">
      <c r="K7887" s="85">
        <v>28</v>
      </c>
      <c r="L7887" s="78"/>
      <c r="M7887" s="78"/>
      <c r="N7887" s="78"/>
      <c r="P7887" s="85"/>
    </row>
    <row r="7888" spans="11:16">
      <c r="K7888" s="85">
        <v>29</v>
      </c>
      <c r="L7888" s="78"/>
      <c r="M7888" s="78"/>
      <c r="N7888" s="78"/>
      <c r="P7888" s="85"/>
    </row>
    <row r="7889" spans="11:16">
      <c r="K7889" s="85">
        <v>30</v>
      </c>
      <c r="L7889" s="78"/>
      <c r="M7889" s="78"/>
      <c r="N7889" s="78"/>
      <c r="P7889" s="85"/>
    </row>
    <row r="7890" spans="11:16">
      <c r="K7890" s="85">
        <v>31</v>
      </c>
      <c r="L7890" s="78"/>
      <c r="M7890" s="78"/>
      <c r="N7890" s="78"/>
      <c r="P7890" s="85"/>
    </row>
    <row r="7891" spans="11:16">
      <c r="K7891" s="85">
        <v>32</v>
      </c>
      <c r="L7891" s="78"/>
      <c r="M7891" s="78"/>
      <c r="N7891" s="78"/>
      <c r="P7891" s="85"/>
    </row>
    <row r="7892" spans="11:16">
      <c r="K7892" s="85">
        <v>33</v>
      </c>
      <c r="L7892" s="78"/>
      <c r="M7892" s="78"/>
      <c r="N7892" s="78"/>
      <c r="P7892" s="85"/>
    </row>
    <row r="7893" spans="11:16">
      <c r="K7893" s="85">
        <v>34</v>
      </c>
      <c r="L7893" s="78"/>
      <c r="M7893" s="78"/>
      <c r="N7893" s="78"/>
      <c r="P7893" s="85"/>
    </row>
    <row r="7894" spans="11:16">
      <c r="K7894" s="85">
        <v>35</v>
      </c>
      <c r="L7894" s="78"/>
      <c r="M7894" s="78"/>
      <c r="N7894" s="78"/>
      <c r="P7894" s="85"/>
    </row>
    <row r="7895" spans="11:16">
      <c r="K7895" s="85">
        <v>36</v>
      </c>
      <c r="L7895" s="78"/>
      <c r="M7895" s="78"/>
      <c r="N7895" s="78"/>
      <c r="P7895" s="85"/>
    </row>
    <row r="7896" spans="11:16">
      <c r="K7896" s="85">
        <v>25</v>
      </c>
      <c r="L7896" s="78"/>
      <c r="M7896" s="78"/>
      <c r="N7896" s="78"/>
      <c r="P7896" s="85"/>
    </row>
    <row r="7897" spans="11:16">
      <c r="K7897" s="85">
        <v>26</v>
      </c>
      <c r="L7897" s="78"/>
      <c r="M7897" s="78"/>
      <c r="N7897" s="78"/>
      <c r="P7897" s="85"/>
    </row>
    <row r="7898" spans="11:16">
      <c r="K7898" s="85">
        <v>27</v>
      </c>
      <c r="L7898" s="78"/>
      <c r="M7898" s="78"/>
      <c r="N7898" s="78"/>
      <c r="P7898" s="85"/>
    </row>
    <row r="7899" spans="11:16">
      <c r="K7899" s="85">
        <v>32</v>
      </c>
      <c r="L7899" s="78"/>
      <c r="M7899" s="78"/>
      <c r="N7899" s="78"/>
      <c r="P7899" s="85"/>
    </row>
    <row r="7900" spans="11:16">
      <c r="K7900" s="85">
        <v>33</v>
      </c>
      <c r="L7900" s="78"/>
      <c r="M7900" s="78"/>
      <c r="N7900" s="78"/>
      <c r="P7900" s="85"/>
    </row>
    <row r="7901" spans="11:16">
      <c r="K7901" s="85">
        <v>34</v>
      </c>
      <c r="L7901" s="78"/>
      <c r="M7901" s="78"/>
      <c r="N7901" s="78"/>
      <c r="P7901" s="85"/>
    </row>
    <row r="7902" spans="11:16">
      <c r="K7902" s="85">
        <v>35</v>
      </c>
      <c r="L7902" s="78"/>
      <c r="M7902" s="78"/>
      <c r="N7902" s="78"/>
      <c r="P7902" s="85"/>
    </row>
    <row r="7903" spans="11:16">
      <c r="K7903" s="85">
        <v>25</v>
      </c>
      <c r="L7903" s="78"/>
      <c r="M7903" s="78"/>
      <c r="N7903" s="78"/>
      <c r="P7903" s="85"/>
    </row>
    <row r="7904" spans="11:16">
      <c r="K7904" s="85">
        <v>27</v>
      </c>
      <c r="L7904" s="78"/>
      <c r="M7904" s="78"/>
      <c r="N7904" s="78"/>
      <c r="P7904" s="85"/>
    </row>
    <row r="7905" spans="11:16">
      <c r="K7905" s="85">
        <v>31</v>
      </c>
      <c r="L7905" s="78"/>
      <c r="M7905" s="78"/>
      <c r="N7905" s="78"/>
      <c r="P7905" s="85"/>
    </row>
    <row r="7906" spans="11:16">
      <c r="K7906" s="85">
        <v>32</v>
      </c>
      <c r="L7906" s="78"/>
      <c r="M7906" s="78"/>
      <c r="N7906" s="78"/>
      <c r="P7906" s="85"/>
    </row>
    <row r="7907" spans="11:16">
      <c r="K7907" s="85">
        <v>34</v>
      </c>
      <c r="L7907" s="78"/>
      <c r="M7907" s="78"/>
      <c r="N7907" s="78"/>
      <c r="P7907" s="85"/>
    </row>
    <row r="7908" spans="11:16">
      <c r="K7908" s="85">
        <v>35</v>
      </c>
      <c r="L7908" s="78"/>
      <c r="M7908" s="78"/>
      <c r="N7908" s="78"/>
      <c r="P7908" s="85"/>
    </row>
    <row r="7909" spans="11:16">
      <c r="K7909" s="85">
        <v>36</v>
      </c>
      <c r="L7909" s="78"/>
      <c r="M7909" s="78"/>
      <c r="N7909" s="78"/>
      <c r="P7909" s="85"/>
    </row>
    <row r="7910" spans="11:16">
      <c r="K7910" s="85">
        <v>25</v>
      </c>
      <c r="L7910" s="78"/>
      <c r="M7910" s="78"/>
      <c r="N7910" s="78"/>
      <c r="P7910" s="85"/>
    </row>
    <row r="7911" spans="11:16">
      <c r="K7911" s="85">
        <v>26</v>
      </c>
      <c r="L7911" s="78"/>
      <c r="M7911" s="78"/>
      <c r="N7911" s="78"/>
      <c r="P7911" s="85"/>
    </row>
    <row r="7912" spans="11:16">
      <c r="K7912" s="85">
        <v>27</v>
      </c>
      <c r="L7912" s="78"/>
      <c r="M7912" s="78"/>
      <c r="N7912" s="78"/>
      <c r="P7912" s="85"/>
    </row>
    <row r="7913" spans="11:16">
      <c r="K7913" s="85">
        <v>28</v>
      </c>
      <c r="L7913" s="78"/>
      <c r="M7913" s="78"/>
      <c r="N7913" s="78"/>
      <c r="P7913" s="85"/>
    </row>
    <row r="7914" spans="11:16">
      <c r="K7914" s="85">
        <v>29</v>
      </c>
      <c r="L7914" s="78"/>
      <c r="M7914" s="78"/>
      <c r="N7914" s="78"/>
      <c r="P7914" s="85"/>
    </row>
    <row r="7915" spans="11:16">
      <c r="K7915" s="85">
        <v>30</v>
      </c>
      <c r="L7915" s="78"/>
      <c r="M7915" s="78"/>
      <c r="N7915" s="78"/>
      <c r="P7915" s="85"/>
    </row>
    <row r="7916" spans="11:16">
      <c r="K7916" s="85">
        <v>31</v>
      </c>
      <c r="L7916" s="78"/>
      <c r="M7916" s="78"/>
      <c r="N7916" s="78"/>
      <c r="P7916" s="85"/>
    </row>
    <row r="7917" spans="11:16">
      <c r="K7917" s="85">
        <v>33</v>
      </c>
      <c r="L7917" s="78"/>
      <c r="M7917" s="78"/>
      <c r="N7917" s="78"/>
      <c r="P7917" s="85"/>
    </row>
    <row r="7918" spans="11:16">
      <c r="K7918" s="85">
        <v>34</v>
      </c>
      <c r="L7918" s="78"/>
      <c r="M7918" s="78"/>
      <c r="N7918" s="78"/>
      <c r="P7918" s="85"/>
    </row>
    <row r="7919" spans="11:16">
      <c r="K7919" s="85">
        <v>35</v>
      </c>
      <c r="L7919" s="78"/>
      <c r="M7919" s="78"/>
      <c r="N7919" s="78"/>
      <c r="P7919" s="85"/>
    </row>
    <row r="7920" spans="11:16">
      <c r="K7920" s="85">
        <v>36</v>
      </c>
      <c r="L7920" s="78"/>
      <c r="M7920" s="78"/>
      <c r="N7920" s="78"/>
      <c r="P7920" s="85"/>
    </row>
    <row r="7921" spans="11:16">
      <c r="K7921" s="85">
        <v>26</v>
      </c>
      <c r="L7921" s="78"/>
      <c r="M7921" s="78"/>
      <c r="N7921" s="78"/>
      <c r="P7921" s="85"/>
    </row>
    <row r="7922" spans="11:16">
      <c r="K7922" s="85">
        <v>27</v>
      </c>
      <c r="L7922" s="78"/>
      <c r="M7922" s="78"/>
      <c r="N7922" s="78"/>
      <c r="P7922" s="85"/>
    </row>
    <row r="7923" spans="11:16">
      <c r="K7923" s="85">
        <v>29</v>
      </c>
      <c r="L7923" s="78"/>
      <c r="M7923" s="78"/>
      <c r="N7923" s="78"/>
      <c r="P7923" s="85"/>
    </row>
    <row r="7924" spans="11:16">
      <c r="K7924" s="85">
        <v>36</v>
      </c>
      <c r="L7924" s="78"/>
      <c r="M7924" s="78"/>
      <c r="N7924" s="78"/>
      <c r="P7924" s="85"/>
    </row>
    <row r="7925" spans="11:16">
      <c r="K7925" s="85">
        <v>25</v>
      </c>
      <c r="L7925" s="78"/>
      <c r="M7925" s="78"/>
      <c r="N7925" s="78"/>
      <c r="P7925" s="85"/>
    </row>
    <row r="7926" spans="11:16">
      <c r="K7926" s="85">
        <v>26</v>
      </c>
      <c r="L7926" s="78"/>
      <c r="M7926" s="78"/>
      <c r="N7926" s="78"/>
      <c r="P7926" s="85"/>
    </row>
    <row r="7927" spans="11:16">
      <c r="K7927" s="85">
        <v>27</v>
      </c>
      <c r="L7927" s="78"/>
      <c r="M7927" s="78"/>
      <c r="N7927" s="78"/>
      <c r="P7927" s="85"/>
    </row>
    <row r="7928" spans="11:16">
      <c r="K7928" s="85">
        <v>28</v>
      </c>
      <c r="L7928" s="78"/>
      <c r="M7928" s="78"/>
      <c r="N7928" s="78"/>
      <c r="P7928" s="85"/>
    </row>
    <row r="7929" spans="11:16">
      <c r="K7929" s="85">
        <v>30</v>
      </c>
      <c r="L7929" s="78"/>
      <c r="M7929" s="78"/>
      <c r="N7929" s="78"/>
      <c r="P7929" s="85"/>
    </row>
    <row r="7930" spans="11:16">
      <c r="K7930" s="85">
        <v>31</v>
      </c>
      <c r="L7930" s="78"/>
      <c r="M7930" s="78"/>
      <c r="N7930" s="78"/>
      <c r="P7930" s="85"/>
    </row>
    <row r="7931" spans="11:16">
      <c r="K7931" s="85">
        <v>34</v>
      </c>
      <c r="L7931" s="78"/>
      <c r="M7931" s="78"/>
      <c r="N7931" s="78"/>
      <c r="P7931" s="85"/>
    </row>
    <row r="7932" spans="11:16">
      <c r="K7932" s="85">
        <v>35</v>
      </c>
      <c r="L7932" s="78"/>
      <c r="M7932" s="78"/>
      <c r="N7932" s="78"/>
      <c r="P7932" s="85"/>
    </row>
    <row r="7933" spans="11:16">
      <c r="K7933" s="85">
        <v>36</v>
      </c>
      <c r="L7933" s="78"/>
      <c r="M7933" s="78"/>
      <c r="N7933" s="78"/>
      <c r="P7933" s="85"/>
    </row>
    <row r="7934" spans="11:16">
      <c r="K7934" s="85">
        <v>25</v>
      </c>
      <c r="L7934" s="78"/>
      <c r="M7934" s="78"/>
      <c r="N7934" s="78"/>
      <c r="P7934" s="85"/>
    </row>
    <row r="7935" spans="11:16">
      <c r="K7935" s="85">
        <v>27</v>
      </c>
      <c r="L7935" s="78"/>
      <c r="M7935" s="78"/>
      <c r="N7935" s="78"/>
      <c r="P7935" s="85"/>
    </row>
    <row r="7936" spans="11:16">
      <c r="K7936" s="85">
        <v>28</v>
      </c>
      <c r="L7936" s="78"/>
      <c r="M7936" s="78"/>
      <c r="N7936" s="78"/>
      <c r="P7936" s="85"/>
    </row>
    <row r="7937" spans="11:16">
      <c r="K7937" s="85">
        <v>30</v>
      </c>
      <c r="L7937" s="78"/>
      <c r="M7937" s="78"/>
      <c r="N7937" s="78"/>
      <c r="P7937" s="85"/>
    </row>
    <row r="7938" spans="11:16">
      <c r="K7938" s="85">
        <v>31</v>
      </c>
      <c r="L7938" s="78"/>
      <c r="M7938" s="78"/>
      <c r="N7938" s="78"/>
      <c r="P7938" s="85"/>
    </row>
    <row r="7939" spans="11:16">
      <c r="K7939" s="85">
        <v>32</v>
      </c>
      <c r="L7939" s="78"/>
      <c r="M7939" s="78"/>
      <c r="N7939" s="78"/>
      <c r="P7939" s="85"/>
    </row>
    <row r="7940" spans="11:16">
      <c r="K7940" s="85">
        <v>34</v>
      </c>
      <c r="L7940" s="78"/>
      <c r="M7940" s="78"/>
      <c r="N7940" s="78"/>
      <c r="P7940" s="85"/>
    </row>
    <row r="7941" spans="11:16">
      <c r="K7941" s="85">
        <v>35</v>
      </c>
      <c r="L7941" s="78"/>
      <c r="M7941" s="78"/>
      <c r="N7941" s="78"/>
      <c r="P7941" s="85"/>
    </row>
    <row r="7942" spans="11:16">
      <c r="K7942" s="85">
        <v>36</v>
      </c>
      <c r="L7942" s="78"/>
      <c r="M7942" s="78"/>
      <c r="N7942" s="78"/>
      <c r="P7942" s="85"/>
    </row>
    <row r="7943" spans="11:16">
      <c r="K7943" s="85">
        <v>25</v>
      </c>
      <c r="L7943" s="78"/>
      <c r="M7943" s="78"/>
      <c r="N7943" s="78"/>
      <c r="P7943" s="85"/>
    </row>
    <row r="7944" spans="11:16">
      <c r="K7944" s="85">
        <v>26</v>
      </c>
      <c r="L7944" s="78"/>
      <c r="M7944" s="78"/>
      <c r="N7944" s="78"/>
      <c r="P7944" s="85"/>
    </row>
    <row r="7945" spans="11:16">
      <c r="K7945" s="85">
        <v>27</v>
      </c>
      <c r="L7945" s="78"/>
      <c r="M7945" s="78"/>
      <c r="N7945" s="78"/>
      <c r="P7945" s="85"/>
    </row>
    <row r="7946" spans="11:16">
      <c r="K7946" s="85">
        <v>28</v>
      </c>
      <c r="L7946" s="78"/>
      <c r="M7946" s="78"/>
      <c r="N7946" s="78"/>
      <c r="P7946" s="85"/>
    </row>
    <row r="7947" spans="11:16">
      <c r="K7947" s="85">
        <v>31</v>
      </c>
      <c r="L7947" s="78"/>
      <c r="M7947" s="78"/>
      <c r="N7947" s="78"/>
      <c r="P7947" s="85"/>
    </row>
    <row r="7948" spans="11:16">
      <c r="K7948" s="85">
        <v>32</v>
      </c>
      <c r="L7948" s="78"/>
      <c r="M7948" s="78"/>
      <c r="N7948" s="78"/>
      <c r="P7948" s="85"/>
    </row>
    <row r="7949" spans="11:16">
      <c r="K7949" s="85">
        <v>34</v>
      </c>
      <c r="L7949" s="78"/>
      <c r="M7949" s="78"/>
      <c r="N7949" s="78"/>
      <c r="P7949" s="85"/>
    </row>
    <row r="7950" spans="11:16">
      <c r="K7950" s="85">
        <v>35</v>
      </c>
      <c r="L7950" s="78"/>
      <c r="M7950" s="78"/>
      <c r="N7950" s="78"/>
      <c r="P7950" s="85"/>
    </row>
    <row r="7951" spans="11:16">
      <c r="K7951" s="85">
        <v>36</v>
      </c>
      <c r="L7951" s="78"/>
      <c r="M7951" s="78"/>
      <c r="N7951" s="78"/>
      <c r="P7951" s="85"/>
    </row>
    <row r="7952" spans="11:16">
      <c r="K7952" s="85">
        <v>25</v>
      </c>
      <c r="L7952" s="78"/>
      <c r="M7952" s="78"/>
      <c r="N7952" s="78"/>
      <c r="P7952" s="85"/>
    </row>
    <row r="7953" spans="11:16">
      <c r="K7953" s="85">
        <v>27</v>
      </c>
      <c r="L7953" s="78"/>
      <c r="M7953" s="78"/>
      <c r="N7953" s="78"/>
      <c r="P7953" s="85"/>
    </row>
    <row r="7954" spans="11:16">
      <c r="K7954" s="85">
        <v>28</v>
      </c>
      <c r="L7954" s="78"/>
      <c r="M7954" s="78"/>
      <c r="N7954" s="78"/>
      <c r="P7954" s="85"/>
    </row>
    <row r="7955" spans="11:16">
      <c r="K7955" s="85">
        <v>31</v>
      </c>
      <c r="L7955" s="78"/>
      <c r="M7955" s="78"/>
      <c r="N7955" s="78"/>
      <c r="P7955" s="85"/>
    </row>
    <row r="7956" spans="11:16">
      <c r="K7956" s="85">
        <v>32</v>
      </c>
      <c r="L7956" s="78"/>
      <c r="M7956" s="78"/>
      <c r="N7956" s="78"/>
      <c r="P7956" s="85"/>
    </row>
    <row r="7957" spans="11:16">
      <c r="K7957" s="85">
        <v>34</v>
      </c>
      <c r="L7957" s="78"/>
      <c r="M7957" s="78"/>
      <c r="N7957" s="78"/>
      <c r="P7957" s="85"/>
    </row>
    <row r="7958" spans="11:16">
      <c r="K7958" s="85">
        <v>35</v>
      </c>
      <c r="L7958" s="78"/>
      <c r="M7958" s="78"/>
      <c r="N7958" s="78"/>
      <c r="P7958" s="85"/>
    </row>
    <row r="7959" spans="11:16">
      <c r="K7959" s="85">
        <v>36</v>
      </c>
      <c r="L7959" s="78"/>
      <c r="M7959" s="78"/>
      <c r="N7959" s="78"/>
      <c r="P7959" s="85"/>
    </row>
    <row r="7960" spans="11:16">
      <c r="K7960" s="85">
        <v>25</v>
      </c>
      <c r="L7960" s="78"/>
      <c r="M7960" s="78"/>
      <c r="N7960" s="78"/>
      <c r="P7960" s="85"/>
    </row>
    <row r="7961" spans="11:16">
      <c r="K7961" s="85">
        <v>26</v>
      </c>
      <c r="L7961" s="78"/>
      <c r="M7961" s="78"/>
      <c r="N7961" s="78"/>
      <c r="P7961" s="85"/>
    </row>
    <row r="7962" spans="11:16">
      <c r="K7962" s="85">
        <v>27</v>
      </c>
      <c r="L7962" s="78"/>
      <c r="M7962" s="78"/>
      <c r="N7962" s="78"/>
      <c r="P7962" s="85"/>
    </row>
    <row r="7963" spans="11:16">
      <c r="K7963" s="85">
        <v>28</v>
      </c>
      <c r="L7963" s="78"/>
      <c r="M7963" s="78"/>
      <c r="N7963" s="78"/>
      <c r="P7963" s="85"/>
    </row>
    <row r="7964" spans="11:16">
      <c r="K7964" s="85">
        <v>29</v>
      </c>
      <c r="L7964" s="78"/>
      <c r="M7964" s="78"/>
      <c r="N7964" s="78"/>
      <c r="P7964" s="85"/>
    </row>
    <row r="7965" spans="11:16">
      <c r="K7965" s="85">
        <v>30</v>
      </c>
      <c r="L7965" s="78"/>
      <c r="M7965" s="78"/>
      <c r="N7965" s="78"/>
      <c r="P7965" s="85"/>
    </row>
    <row r="7966" spans="11:16">
      <c r="K7966" s="85">
        <v>31</v>
      </c>
      <c r="L7966" s="78"/>
      <c r="M7966" s="78"/>
      <c r="N7966" s="78"/>
      <c r="P7966" s="85"/>
    </row>
    <row r="7967" spans="11:16">
      <c r="K7967" s="85">
        <v>32</v>
      </c>
      <c r="L7967" s="78"/>
      <c r="M7967" s="78"/>
      <c r="N7967" s="78"/>
      <c r="P7967" s="85"/>
    </row>
    <row r="7968" spans="11:16">
      <c r="K7968" s="85">
        <v>33</v>
      </c>
      <c r="L7968" s="78"/>
      <c r="M7968" s="78"/>
      <c r="N7968" s="78"/>
      <c r="P7968" s="85"/>
    </row>
    <row r="7969" spans="11:16">
      <c r="K7969" s="85">
        <v>35</v>
      </c>
      <c r="L7969" s="78"/>
      <c r="M7969" s="78"/>
      <c r="N7969" s="78"/>
      <c r="P7969" s="85"/>
    </row>
    <row r="7970" spans="11:16">
      <c r="K7970" s="85">
        <v>26</v>
      </c>
      <c r="L7970" s="78"/>
      <c r="M7970" s="78"/>
      <c r="N7970" s="78"/>
      <c r="P7970" s="85"/>
    </row>
    <row r="7971" spans="11:16">
      <c r="K7971" s="85">
        <v>27</v>
      </c>
      <c r="L7971" s="78"/>
      <c r="M7971" s="78"/>
      <c r="N7971" s="78"/>
      <c r="P7971" s="85"/>
    </row>
    <row r="7972" spans="11:16">
      <c r="K7972" s="85">
        <v>30</v>
      </c>
      <c r="L7972" s="78"/>
      <c r="M7972" s="78"/>
      <c r="N7972" s="78"/>
      <c r="P7972" s="85"/>
    </row>
    <row r="7973" spans="11:16">
      <c r="K7973" s="85">
        <v>31</v>
      </c>
      <c r="L7973" s="78"/>
      <c r="M7973" s="78"/>
      <c r="N7973" s="78"/>
      <c r="P7973" s="85"/>
    </row>
    <row r="7974" spans="11:16">
      <c r="K7974" s="85">
        <v>32</v>
      </c>
      <c r="L7974" s="78"/>
      <c r="M7974" s="78"/>
      <c r="N7974" s="78"/>
      <c r="P7974" s="85"/>
    </row>
    <row r="7975" spans="11:16">
      <c r="K7975" s="85">
        <v>34</v>
      </c>
      <c r="L7975" s="78"/>
      <c r="M7975" s="78"/>
      <c r="N7975" s="78"/>
      <c r="P7975" s="85"/>
    </row>
    <row r="7976" spans="11:16">
      <c r="K7976" s="85">
        <v>35</v>
      </c>
      <c r="L7976" s="78"/>
      <c r="M7976" s="78"/>
      <c r="N7976" s="78"/>
      <c r="P7976" s="85"/>
    </row>
    <row r="7977" spans="11:16">
      <c r="K7977" s="85">
        <v>36</v>
      </c>
      <c r="L7977" s="78"/>
      <c r="M7977" s="78"/>
      <c r="N7977" s="78"/>
      <c r="P7977" s="85"/>
    </row>
    <row r="7978" spans="11:16">
      <c r="K7978" s="85">
        <v>27</v>
      </c>
      <c r="L7978" s="78"/>
      <c r="M7978" s="78"/>
      <c r="N7978" s="78"/>
      <c r="P7978" s="85"/>
    </row>
    <row r="7979" spans="11:16">
      <c r="K7979" s="85">
        <v>31</v>
      </c>
      <c r="L7979" s="78"/>
      <c r="M7979" s="78"/>
      <c r="N7979" s="78"/>
      <c r="P7979" s="85"/>
    </row>
    <row r="7980" spans="11:16">
      <c r="K7980" s="85">
        <v>32</v>
      </c>
      <c r="L7980" s="78"/>
      <c r="M7980" s="78"/>
      <c r="N7980" s="78"/>
      <c r="P7980" s="85"/>
    </row>
    <row r="7981" spans="11:16">
      <c r="K7981" s="85">
        <v>33</v>
      </c>
      <c r="L7981" s="78"/>
      <c r="M7981" s="78"/>
      <c r="N7981" s="78"/>
      <c r="P7981" s="85"/>
    </row>
    <row r="7982" spans="11:16">
      <c r="K7982" s="85">
        <v>27</v>
      </c>
      <c r="L7982" s="78"/>
      <c r="M7982" s="78"/>
      <c r="N7982" s="78"/>
      <c r="P7982" s="85"/>
    </row>
    <row r="7983" spans="11:16">
      <c r="K7983" s="85">
        <v>31</v>
      </c>
      <c r="L7983" s="78"/>
      <c r="M7983" s="78"/>
      <c r="N7983" s="78"/>
      <c r="P7983" s="85"/>
    </row>
    <row r="7984" spans="11:16">
      <c r="K7984" s="85">
        <v>32</v>
      </c>
      <c r="L7984" s="78"/>
      <c r="M7984" s="78"/>
      <c r="N7984" s="78"/>
      <c r="P7984" s="85"/>
    </row>
    <row r="7985" spans="11:16">
      <c r="K7985" s="85">
        <v>33</v>
      </c>
      <c r="L7985" s="78"/>
      <c r="M7985" s="78"/>
      <c r="N7985" s="78"/>
      <c r="P7985" s="85"/>
    </row>
    <row r="7986" spans="11:16">
      <c r="K7986" s="85">
        <v>34</v>
      </c>
      <c r="L7986" s="78"/>
      <c r="M7986" s="78"/>
      <c r="N7986" s="78"/>
      <c r="P7986" s="85"/>
    </row>
    <row r="7987" spans="11:16">
      <c r="K7987" s="85">
        <v>35</v>
      </c>
      <c r="L7987" s="78"/>
      <c r="M7987" s="78"/>
      <c r="N7987" s="78"/>
      <c r="P7987" s="85"/>
    </row>
    <row r="7988" spans="11:16">
      <c r="K7988" s="85">
        <v>25</v>
      </c>
      <c r="L7988" s="78"/>
      <c r="M7988" s="78"/>
      <c r="N7988" s="78"/>
      <c r="P7988" s="85"/>
    </row>
    <row r="7989" spans="11:16">
      <c r="K7989" s="85">
        <v>26</v>
      </c>
      <c r="L7989" s="78"/>
      <c r="M7989" s="78"/>
      <c r="N7989" s="78"/>
      <c r="P7989" s="85"/>
    </row>
    <row r="7990" spans="11:16">
      <c r="K7990" s="85">
        <v>27</v>
      </c>
      <c r="L7990" s="78"/>
      <c r="M7990" s="78"/>
      <c r="N7990" s="78"/>
      <c r="P7990" s="85"/>
    </row>
    <row r="7991" spans="11:16">
      <c r="K7991" s="85">
        <v>31</v>
      </c>
      <c r="L7991" s="78"/>
      <c r="M7991" s="78"/>
      <c r="N7991" s="78"/>
      <c r="P7991" s="85"/>
    </row>
    <row r="7992" spans="11:16">
      <c r="K7992" s="85">
        <v>25</v>
      </c>
      <c r="L7992" s="78"/>
      <c r="M7992" s="78"/>
      <c r="N7992" s="78"/>
      <c r="P7992" s="85"/>
    </row>
    <row r="7993" spans="11:16">
      <c r="K7993" s="85">
        <v>26</v>
      </c>
      <c r="L7993" s="78"/>
      <c r="M7993" s="78"/>
      <c r="N7993" s="78"/>
      <c r="P7993" s="85"/>
    </row>
    <row r="7994" spans="11:16">
      <c r="K7994" s="85">
        <v>27</v>
      </c>
      <c r="L7994" s="78"/>
      <c r="M7994" s="78"/>
      <c r="N7994" s="78"/>
      <c r="P7994" s="85"/>
    </row>
    <row r="7995" spans="11:16">
      <c r="K7995" s="85">
        <v>28</v>
      </c>
      <c r="L7995" s="78"/>
      <c r="M7995" s="78"/>
      <c r="N7995" s="78"/>
      <c r="P7995" s="85"/>
    </row>
    <row r="7996" spans="11:16">
      <c r="K7996" s="85">
        <v>29</v>
      </c>
      <c r="L7996" s="78"/>
      <c r="M7996" s="78"/>
      <c r="N7996" s="78"/>
      <c r="P7996" s="85"/>
    </row>
    <row r="7997" spans="11:16">
      <c r="K7997" s="85">
        <v>30</v>
      </c>
      <c r="L7997" s="78"/>
      <c r="M7997" s="78"/>
      <c r="N7997" s="78"/>
      <c r="P7997" s="85"/>
    </row>
    <row r="7998" spans="11:16">
      <c r="K7998" s="85">
        <v>31</v>
      </c>
      <c r="L7998" s="78"/>
      <c r="M7998" s="78"/>
      <c r="N7998" s="78"/>
      <c r="P7998" s="85"/>
    </row>
    <row r="7999" spans="11:16">
      <c r="K7999" s="85">
        <v>32</v>
      </c>
      <c r="L7999" s="78"/>
      <c r="M7999" s="78"/>
      <c r="N7999" s="78"/>
      <c r="P7999" s="85"/>
    </row>
    <row r="8000" spans="11:16">
      <c r="K8000" s="85">
        <v>34</v>
      </c>
      <c r="L8000" s="78"/>
      <c r="M8000" s="78"/>
      <c r="N8000" s="78"/>
      <c r="P8000" s="85"/>
    </row>
    <row r="8001" spans="11:16">
      <c r="K8001" s="85">
        <v>35</v>
      </c>
      <c r="L8001" s="78"/>
      <c r="M8001" s="78"/>
      <c r="N8001" s="78"/>
      <c r="P8001" s="85"/>
    </row>
    <row r="8002" spans="11:16">
      <c r="K8002" s="85">
        <v>36</v>
      </c>
      <c r="L8002" s="78"/>
      <c r="M8002" s="78"/>
      <c r="N8002" s="78"/>
      <c r="P8002" s="85"/>
    </row>
    <row r="8003" spans="11:16">
      <c r="K8003" s="85">
        <v>25</v>
      </c>
      <c r="L8003" s="78"/>
      <c r="M8003" s="78"/>
      <c r="N8003" s="78"/>
      <c r="P8003" s="85"/>
    </row>
    <row r="8004" spans="11:16">
      <c r="K8004" s="85">
        <v>26</v>
      </c>
      <c r="L8004" s="78"/>
      <c r="M8004" s="78"/>
      <c r="N8004" s="78"/>
      <c r="P8004" s="85"/>
    </row>
    <row r="8005" spans="11:16">
      <c r="K8005" s="85">
        <v>27</v>
      </c>
      <c r="L8005" s="78"/>
      <c r="M8005" s="78"/>
      <c r="N8005" s="78"/>
      <c r="P8005" s="85"/>
    </row>
    <row r="8006" spans="11:16">
      <c r="K8006" s="85">
        <v>28</v>
      </c>
      <c r="L8006" s="78"/>
      <c r="M8006" s="78"/>
      <c r="N8006" s="78"/>
      <c r="P8006" s="85"/>
    </row>
    <row r="8007" spans="11:16">
      <c r="K8007" s="85">
        <v>29</v>
      </c>
      <c r="L8007" s="78"/>
      <c r="M8007" s="78"/>
      <c r="N8007" s="78"/>
      <c r="P8007" s="85"/>
    </row>
    <row r="8008" spans="11:16">
      <c r="K8008" s="85">
        <v>30</v>
      </c>
      <c r="L8008" s="78"/>
      <c r="M8008" s="78"/>
      <c r="N8008" s="78"/>
      <c r="P8008" s="85"/>
    </row>
    <row r="8009" spans="11:16">
      <c r="K8009" s="85">
        <v>31</v>
      </c>
      <c r="L8009" s="78"/>
      <c r="M8009" s="78"/>
      <c r="N8009" s="78"/>
      <c r="P8009" s="85"/>
    </row>
    <row r="8010" spans="11:16">
      <c r="K8010" s="85">
        <v>32</v>
      </c>
      <c r="L8010" s="78"/>
      <c r="M8010" s="78"/>
      <c r="N8010" s="78"/>
      <c r="P8010" s="85"/>
    </row>
    <row r="8011" spans="11:16">
      <c r="K8011" s="85">
        <v>33</v>
      </c>
      <c r="L8011" s="78"/>
      <c r="M8011" s="78"/>
      <c r="N8011" s="78"/>
      <c r="P8011" s="85"/>
    </row>
    <row r="8012" spans="11:16">
      <c r="K8012" s="85">
        <v>34</v>
      </c>
      <c r="L8012" s="78"/>
      <c r="M8012" s="78"/>
      <c r="N8012" s="78"/>
      <c r="P8012" s="85"/>
    </row>
    <row r="8013" spans="11:16">
      <c r="K8013" s="85">
        <v>35</v>
      </c>
      <c r="L8013" s="78"/>
      <c r="M8013" s="78"/>
      <c r="N8013" s="78"/>
      <c r="P8013" s="85"/>
    </row>
    <row r="8014" spans="11:16">
      <c r="K8014" s="85">
        <v>36</v>
      </c>
      <c r="L8014" s="78"/>
      <c r="M8014" s="78"/>
      <c r="N8014" s="78"/>
      <c r="P8014" s="85"/>
    </row>
    <row r="8015" spans="11:16">
      <c r="K8015" s="85">
        <v>25</v>
      </c>
      <c r="L8015" s="78"/>
      <c r="M8015" s="78"/>
      <c r="N8015" s="78"/>
      <c r="P8015" s="85"/>
    </row>
    <row r="8016" spans="11:16">
      <c r="K8016" s="85">
        <v>26</v>
      </c>
      <c r="L8016" s="78"/>
      <c r="M8016" s="78"/>
      <c r="N8016" s="78"/>
      <c r="P8016" s="85"/>
    </row>
    <row r="8017" spans="11:16">
      <c r="K8017" s="85">
        <v>27</v>
      </c>
      <c r="L8017" s="78"/>
      <c r="M8017" s="78"/>
      <c r="N8017" s="78"/>
      <c r="P8017" s="85"/>
    </row>
    <row r="8018" spans="11:16">
      <c r="K8018" s="85">
        <v>29</v>
      </c>
      <c r="L8018" s="78"/>
      <c r="M8018" s="78"/>
      <c r="N8018" s="78"/>
      <c r="P8018" s="85"/>
    </row>
    <row r="8019" spans="11:16">
      <c r="K8019" s="85">
        <v>30</v>
      </c>
      <c r="L8019" s="78"/>
      <c r="M8019" s="78"/>
      <c r="N8019" s="78"/>
      <c r="P8019" s="85"/>
    </row>
    <row r="8020" spans="11:16">
      <c r="K8020" s="85">
        <v>31</v>
      </c>
      <c r="L8020" s="78"/>
      <c r="M8020" s="78"/>
      <c r="N8020" s="78"/>
      <c r="P8020" s="85"/>
    </row>
    <row r="8021" spans="11:16">
      <c r="K8021" s="85">
        <v>32</v>
      </c>
      <c r="L8021" s="78"/>
      <c r="M8021" s="78"/>
      <c r="N8021" s="78"/>
      <c r="P8021" s="85"/>
    </row>
    <row r="8022" spans="11:16">
      <c r="K8022" s="85">
        <v>33</v>
      </c>
      <c r="L8022" s="78"/>
      <c r="M8022" s="78"/>
      <c r="N8022" s="78"/>
      <c r="P8022" s="85"/>
    </row>
    <row r="8023" spans="11:16">
      <c r="K8023" s="85">
        <v>34</v>
      </c>
      <c r="L8023" s="78"/>
      <c r="M8023" s="78"/>
      <c r="N8023" s="78"/>
      <c r="P8023" s="85"/>
    </row>
    <row r="8024" spans="11:16">
      <c r="K8024" s="85">
        <v>35</v>
      </c>
      <c r="L8024" s="78"/>
      <c r="M8024" s="78"/>
      <c r="N8024" s="78"/>
      <c r="P8024" s="85"/>
    </row>
    <row r="8025" spans="11:16">
      <c r="K8025" s="85">
        <v>36</v>
      </c>
      <c r="L8025" s="78"/>
      <c r="M8025" s="78"/>
      <c r="N8025" s="78"/>
      <c r="P8025" s="85"/>
    </row>
    <row r="8026" spans="11:16">
      <c r="K8026" s="85">
        <v>25</v>
      </c>
      <c r="L8026" s="78"/>
      <c r="M8026" s="78"/>
      <c r="N8026" s="78"/>
      <c r="P8026" s="85"/>
    </row>
    <row r="8027" spans="11:16">
      <c r="K8027" s="85">
        <v>26</v>
      </c>
      <c r="L8027" s="78"/>
      <c r="M8027" s="78"/>
      <c r="N8027" s="78"/>
      <c r="P8027" s="85"/>
    </row>
    <row r="8028" spans="11:16">
      <c r="K8028" s="85">
        <v>27</v>
      </c>
      <c r="L8028" s="78"/>
      <c r="M8028" s="78"/>
      <c r="N8028" s="78"/>
      <c r="P8028" s="85"/>
    </row>
    <row r="8029" spans="11:16">
      <c r="K8029" s="85">
        <v>28</v>
      </c>
      <c r="L8029" s="78"/>
      <c r="M8029" s="78"/>
      <c r="N8029" s="78"/>
      <c r="P8029" s="85"/>
    </row>
    <row r="8030" spans="11:16">
      <c r="K8030" s="85">
        <v>29</v>
      </c>
      <c r="L8030" s="78"/>
      <c r="M8030" s="78"/>
      <c r="N8030" s="78"/>
      <c r="P8030" s="85"/>
    </row>
    <row r="8031" spans="11:16">
      <c r="K8031" s="85">
        <v>30</v>
      </c>
      <c r="L8031" s="78"/>
      <c r="M8031" s="78"/>
      <c r="N8031" s="78"/>
      <c r="P8031" s="85"/>
    </row>
    <row r="8032" spans="11:16">
      <c r="K8032" s="85">
        <v>31</v>
      </c>
      <c r="L8032" s="78"/>
      <c r="M8032" s="78"/>
      <c r="N8032" s="78"/>
      <c r="P8032" s="85"/>
    </row>
    <row r="8033" spans="11:16">
      <c r="K8033" s="85">
        <v>32</v>
      </c>
      <c r="L8033" s="78"/>
      <c r="M8033" s="78"/>
      <c r="N8033" s="78"/>
      <c r="P8033" s="85"/>
    </row>
    <row r="8034" spans="11:16">
      <c r="K8034" s="85">
        <v>33</v>
      </c>
      <c r="L8034" s="78"/>
      <c r="M8034" s="78"/>
      <c r="N8034" s="78"/>
      <c r="P8034" s="85"/>
    </row>
    <row r="8035" spans="11:16">
      <c r="K8035" s="85">
        <v>34</v>
      </c>
      <c r="L8035" s="78"/>
      <c r="M8035" s="78"/>
      <c r="N8035" s="78"/>
      <c r="P8035" s="85"/>
    </row>
    <row r="8036" spans="11:16">
      <c r="K8036" s="85">
        <v>35</v>
      </c>
      <c r="L8036" s="78"/>
      <c r="M8036" s="78"/>
      <c r="N8036" s="78"/>
      <c r="P8036" s="85"/>
    </row>
    <row r="8037" spans="11:16">
      <c r="K8037" s="85">
        <v>36</v>
      </c>
      <c r="L8037" s="78"/>
      <c r="M8037" s="78"/>
      <c r="N8037" s="78"/>
      <c r="P8037" s="85"/>
    </row>
    <row r="8038" spans="11:16">
      <c r="K8038" s="85">
        <v>25</v>
      </c>
      <c r="L8038" s="78"/>
      <c r="M8038" s="78"/>
      <c r="N8038" s="78"/>
      <c r="P8038" s="85"/>
    </row>
    <row r="8039" spans="11:16">
      <c r="K8039" s="85">
        <v>26</v>
      </c>
      <c r="L8039" s="78"/>
      <c r="M8039" s="78"/>
      <c r="N8039" s="78"/>
      <c r="P8039" s="85"/>
    </row>
    <row r="8040" spans="11:16">
      <c r="K8040" s="85">
        <v>27</v>
      </c>
      <c r="L8040" s="78"/>
      <c r="M8040" s="78"/>
      <c r="N8040" s="78"/>
      <c r="P8040" s="85"/>
    </row>
    <row r="8041" spans="11:16">
      <c r="K8041" s="85">
        <v>28</v>
      </c>
      <c r="L8041" s="78"/>
      <c r="M8041" s="78"/>
      <c r="N8041" s="78"/>
      <c r="P8041" s="85"/>
    </row>
    <row r="8042" spans="11:16">
      <c r="K8042" s="85">
        <v>29</v>
      </c>
      <c r="L8042" s="78"/>
      <c r="M8042" s="78"/>
      <c r="N8042" s="78"/>
      <c r="P8042" s="85"/>
    </row>
    <row r="8043" spans="11:16">
      <c r="K8043" s="85">
        <v>30</v>
      </c>
      <c r="L8043" s="78"/>
      <c r="M8043" s="78"/>
      <c r="N8043" s="78"/>
      <c r="P8043" s="85"/>
    </row>
    <row r="8044" spans="11:16">
      <c r="K8044" s="85">
        <v>31</v>
      </c>
      <c r="L8044" s="78"/>
      <c r="M8044" s="78"/>
      <c r="N8044" s="78"/>
      <c r="P8044" s="85"/>
    </row>
    <row r="8045" spans="11:16">
      <c r="K8045" s="85">
        <v>32</v>
      </c>
      <c r="L8045" s="78"/>
      <c r="M8045" s="78"/>
      <c r="N8045" s="78"/>
      <c r="P8045" s="85"/>
    </row>
    <row r="8046" spans="11:16">
      <c r="K8046" s="85">
        <v>33</v>
      </c>
      <c r="L8046" s="78"/>
      <c r="M8046" s="78"/>
      <c r="N8046" s="78"/>
      <c r="P8046" s="85"/>
    </row>
    <row r="8047" spans="11:16">
      <c r="K8047" s="85">
        <v>34</v>
      </c>
      <c r="L8047" s="78"/>
      <c r="M8047" s="78"/>
      <c r="N8047" s="78"/>
      <c r="P8047" s="85"/>
    </row>
    <row r="8048" spans="11:16">
      <c r="K8048" s="85">
        <v>35</v>
      </c>
      <c r="L8048" s="78"/>
      <c r="M8048" s="78"/>
      <c r="N8048" s="78"/>
      <c r="P8048" s="85"/>
    </row>
    <row r="8049" spans="11:16">
      <c r="K8049" s="85">
        <v>25</v>
      </c>
      <c r="L8049" s="78"/>
      <c r="M8049" s="78"/>
      <c r="N8049" s="78"/>
      <c r="P8049" s="85"/>
    </row>
    <row r="8050" spans="11:16">
      <c r="K8050" s="85">
        <v>27</v>
      </c>
      <c r="L8050" s="78"/>
      <c r="M8050" s="78"/>
      <c r="N8050" s="78"/>
      <c r="P8050" s="85"/>
    </row>
    <row r="8051" spans="11:16">
      <c r="K8051" s="85">
        <v>30</v>
      </c>
      <c r="L8051" s="78"/>
      <c r="M8051" s="78"/>
      <c r="N8051" s="78"/>
      <c r="P8051" s="85"/>
    </row>
    <row r="8052" spans="11:16">
      <c r="K8052" s="85">
        <v>34</v>
      </c>
      <c r="L8052" s="78"/>
      <c r="M8052" s="78"/>
      <c r="N8052" s="78"/>
      <c r="P8052" s="85"/>
    </row>
    <row r="8053" spans="11:16">
      <c r="K8053" s="85">
        <v>35</v>
      </c>
      <c r="L8053" s="78"/>
      <c r="M8053" s="78"/>
      <c r="N8053" s="78"/>
      <c r="P8053" s="85"/>
    </row>
    <row r="8054" spans="11:16">
      <c r="K8054" s="85">
        <v>36</v>
      </c>
      <c r="L8054" s="78"/>
      <c r="M8054" s="78"/>
      <c r="N8054" s="78"/>
      <c r="P8054" s="85"/>
    </row>
    <row r="8055" spans="11:16">
      <c r="K8055" s="85">
        <v>25</v>
      </c>
      <c r="L8055" s="78"/>
      <c r="M8055" s="78"/>
      <c r="N8055" s="78"/>
      <c r="P8055" s="85"/>
    </row>
    <row r="8056" spans="11:16">
      <c r="K8056" s="85">
        <v>26</v>
      </c>
      <c r="L8056" s="78"/>
      <c r="M8056" s="78"/>
      <c r="N8056" s="78"/>
      <c r="P8056" s="85"/>
    </row>
    <row r="8057" spans="11:16">
      <c r="K8057" s="85">
        <v>27</v>
      </c>
      <c r="L8057" s="78"/>
      <c r="M8057" s="78"/>
      <c r="N8057" s="78"/>
      <c r="P8057" s="85"/>
    </row>
    <row r="8058" spans="11:16">
      <c r="K8058" s="85">
        <v>28</v>
      </c>
      <c r="L8058" s="78"/>
      <c r="M8058" s="78"/>
      <c r="N8058" s="78"/>
      <c r="P8058" s="85"/>
    </row>
    <row r="8059" spans="11:16">
      <c r="K8059" s="85">
        <v>29</v>
      </c>
      <c r="L8059" s="78"/>
      <c r="M8059" s="78"/>
      <c r="N8059" s="78"/>
      <c r="P8059" s="85"/>
    </row>
    <row r="8060" spans="11:16">
      <c r="K8060" s="85">
        <v>30</v>
      </c>
      <c r="L8060" s="78"/>
      <c r="M8060" s="78"/>
      <c r="N8060" s="78"/>
      <c r="P8060" s="85"/>
    </row>
    <row r="8061" spans="11:16">
      <c r="K8061" s="85">
        <v>31</v>
      </c>
      <c r="L8061" s="78"/>
      <c r="M8061" s="78"/>
      <c r="N8061" s="78"/>
      <c r="P8061" s="85"/>
    </row>
    <row r="8062" spans="11:16">
      <c r="K8062" s="85">
        <v>33</v>
      </c>
      <c r="L8062" s="78"/>
      <c r="M8062" s="78"/>
      <c r="N8062" s="78"/>
      <c r="P8062" s="85"/>
    </row>
    <row r="8063" spans="11:16">
      <c r="K8063" s="85">
        <v>34</v>
      </c>
      <c r="L8063" s="78"/>
      <c r="M8063" s="78"/>
      <c r="N8063" s="78"/>
      <c r="P8063" s="85"/>
    </row>
    <row r="8064" spans="11:16">
      <c r="K8064" s="85">
        <v>35</v>
      </c>
      <c r="L8064" s="78"/>
      <c r="M8064" s="78"/>
      <c r="N8064" s="78"/>
      <c r="P8064" s="85"/>
    </row>
    <row r="8065" spans="11:16">
      <c r="K8065" s="85">
        <v>36</v>
      </c>
      <c r="L8065" s="78"/>
      <c r="M8065" s="78"/>
      <c r="N8065" s="78"/>
      <c r="P8065" s="85"/>
    </row>
    <row r="8066" spans="11:16">
      <c r="K8066" s="85">
        <v>25</v>
      </c>
      <c r="L8066" s="78"/>
      <c r="M8066" s="78"/>
      <c r="N8066" s="78"/>
      <c r="P8066" s="85"/>
    </row>
    <row r="8067" spans="11:16">
      <c r="K8067" s="85">
        <v>26</v>
      </c>
      <c r="L8067" s="78"/>
      <c r="M8067" s="78"/>
      <c r="N8067" s="78"/>
      <c r="P8067" s="85"/>
    </row>
    <row r="8068" spans="11:16">
      <c r="K8068" s="85">
        <v>27</v>
      </c>
      <c r="L8068" s="78"/>
      <c r="M8068" s="78"/>
      <c r="N8068" s="78"/>
      <c r="P8068" s="85"/>
    </row>
    <row r="8069" spans="11:16">
      <c r="K8069" s="85">
        <v>28</v>
      </c>
      <c r="L8069" s="78"/>
      <c r="M8069" s="78"/>
      <c r="N8069" s="78"/>
      <c r="P8069" s="85"/>
    </row>
    <row r="8070" spans="11:16">
      <c r="K8070" s="85">
        <v>30</v>
      </c>
      <c r="L8070" s="78"/>
      <c r="M8070" s="78"/>
      <c r="N8070" s="78"/>
      <c r="P8070" s="85"/>
    </row>
    <row r="8071" spans="11:16">
      <c r="K8071" s="85">
        <v>31</v>
      </c>
      <c r="L8071" s="78"/>
      <c r="M8071" s="78"/>
      <c r="N8071" s="78"/>
      <c r="P8071" s="85"/>
    </row>
    <row r="8072" spans="11:16">
      <c r="K8072" s="85">
        <v>32</v>
      </c>
      <c r="L8072" s="78"/>
      <c r="M8072" s="78"/>
      <c r="N8072" s="78"/>
      <c r="P8072" s="85"/>
    </row>
    <row r="8073" spans="11:16">
      <c r="K8073" s="85">
        <v>33</v>
      </c>
      <c r="L8073" s="78"/>
      <c r="M8073" s="78"/>
      <c r="N8073" s="78"/>
      <c r="P8073" s="85"/>
    </row>
    <row r="8074" spans="11:16">
      <c r="K8074" s="85">
        <v>34</v>
      </c>
      <c r="L8074" s="78"/>
      <c r="M8074" s="78"/>
      <c r="N8074" s="78"/>
      <c r="P8074" s="85"/>
    </row>
    <row r="8075" spans="11:16">
      <c r="K8075" s="85">
        <v>35</v>
      </c>
      <c r="L8075" s="78"/>
      <c r="M8075" s="78"/>
      <c r="N8075" s="78"/>
      <c r="P8075" s="85"/>
    </row>
    <row r="8076" spans="11:16">
      <c r="K8076" s="85">
        <v>25</v>
      </c>
      <c r="L8076" s="78"/>
      <c r="M8076" s="78"/>
      <c r="N8076" s="78"/>
      <c r="P8076" s="85"/>
    </row>
    <row r="8077" spans="11:16">
      <c r="K8077" s="85">
        <v>26</v>
      </c>
      <c r="L8077" s="78"/>
      <c r="M8077" s="78"/>
      <c r="N8077" s="78"/>
      <c r="P8077" s="85"/>
    </row>
    <row r="8078" spans="11:16">
      <c r="K8078" s="85">
        <v>27</v>
      </c>
      <c r="L8078" s="78"/>
      <c r="M8078" s="78"/>
      <c r="N8078" s="78"/>
      <c r="P8078" s="85"/>
    </row>
    <row r="8079" spans="11:16">
      <c r="K8079" s="85">
        <v>28</v>
      </c>
      <c r="L8079" s="78"/>
      <c r="M8079" s="78"/>
      <c r="N8079" s="78"/>
      <c r="P8079" s="85"/>
    </row>
    <row r="8080" spans="11:16">
      <c r="K8080" s="85">
        <v>30</v>
      </c>
      <c r="L8080" s="78"/>
      <c r="M8080" s="78"/>
      <c r="N8080" s="78"/>
      <c r="P8080" s="85"/>
    </row>
    <row r="8081" spans="11:16">
      <c r="K8081" s="85">
        <v>31</v>
      </c>
      <c r="L8081" s="78"/>
      <c r="M8081" s="78"/>
      <c r="N8081" s="78"/>
      <c r="P8081" s="85"/>
    </row>
    <row r="8082" spans="11:16">
      <c r="K8082" s="85">
        <v>34</v>
      </c>
      <c r="L8082" s="78"/>
      <c r="M8082" s="78"/>
      <c r="N8082" s="78"/>
      <c r="P8082" s="85"/>
    </row>
    <row r="8083" spans="11:16">
      <c r="K8083" s="85">
        <v>35</v>
      </c>
      <c r="L8083" s="78"/>
      <c r="M8083" s="78"/>
      <c r="N8083" s="78"/>
      <c r="P8083" s="85"/>
    </row>
    <row r="8084" spans="11:16">
      <c r="K8084" s="85">
        <v>36</v>
      </c>
      <c r="L8084" s="78"/>
      <c r="M8084" s="78"/>
      <c r="N8084" s="78"/>
      <c r="P8084" s="85"/>
    </row>
    <row r="8085" spans="11:16">
      <c r="K8085" s="85">
        <v>25</v>
      </c>
      <c r="L8085" s="78"/>
      <c r="M8085" s="78"/>
      <c r="N8085" s="78"/>
      <c r="P8085" s="85"/>
    </row>
    <row r="8086" spans="11:16">
      <c r="K8086" s="85">
        <v>26</v>
      </c>
      <c r="L8086" s="78"/>
      <c r="M8086" s="78"/>
      <c r="N8086" s="78"/>
      <c r="P8086" s="85"/>
    </row>
    <row r="8087" spans="11:16">
      <c r="K8087" s="85">
        <v>27</v>
      </c>
      <c r="L8087" s="78"/>
      <c r="M8087" s="78"/>
      <c r="N8087" s="78"/>
      <c r="P8087" s="85"/>
    </row>
    <row r="8088" spans="11:16">
      <c r="K8088" s="85">
        <v>30</v>
      </c>
      <c r="L8088" s="78"/>
      <c r="M8088" s="78"/>
      <c r="N8088" s="78"/>
      <c r="P8088" s="85"/>
    </row>
    <row r="8089" spans="11:16">
      <c r="K8089" s="85">
        <v>31</v>
      </c>
      <c r="L8089" s="78"/>
      <c r="M8089" s="78"/>
      <c r="N8089" s="78"/>
      <c r="P8089" s="85"/>
    </row>
    <row r="8090" spans="11:16">
      <c r="K8090" s="85">
        <v>34</v>
      </c>
      <c r="L8090" s="78"/>
      <c r="M8090" s="78"/>
      <c r="N8090" s="78"/>
      <c r="P8090" s="85"/>
    </row>
    <row r="8091" spans="11:16">
      <c r="K8091" s="85">
        <v>35</v>
      </c>
      <c r="L8091" s="78"/>
      <c r="M8091" s="78"/>
      <c r="N8091" s="78"/>
      <c r="P8091" s="85"/>
    </row>
    <row r="8092" spans="11:16">
      <c r="K8092" s="85">
        <v>27</v>
      </c>
      <c r="L8092" s="78"/>
      <c r="M8092" s="78"/>
      <c r="N8092" s="78"/>
      <c r="P8092" s="85"/>
    </row>
    <row r="8093" spans="11:16">
      <c r="K8093" s="85">
        <v>32</v>
      </c>
      <c r="L8093" s="78"/>
      <c r="M8093" s="78"/>
      <c r="N8093" s="78"/>
      <c r="P8093" s="85"/>
    </row>
    <row r="8094" spans="11:16">
      <c r="K8094" s="85">
        <v>34</v>
      </c>
      <c r="L8094" s="78"/>
      <c r="M8094" s="78"/>
      <c r="N8094" s="78"/>
      <c r="P8094" s="85"/>
    </row>
    <row r="8095" spans="11:16">
      <c r="K8095" s="85">
        <v>35</v>
      </c>
      <c r="L8095" s="78"/>
      <c r="M8095" s="78"/>
      <c r="N8095" s="78"/>
      <c r="P8095" s="85"/>
    </row>
    <row r="8096" spans="11:16">
      <c r="K8096" s="85">
        <v>25</v>
      </c>
      <c r="L8096" s="78"/>
      <c r="M8096" s="78"/>
      <c r="N8096" s="78"/>
      <c r="P8096" s="85"/>
    </row>
    <row r="8097" spans="11:16">
      <c r="K8097" s="85">
        <v>26</v>
      </c>
      <c r="L8097" s="78"/>
      <c r="M8097" s="78"/>
      <c r="N8097" s="78"/>
      <c r="P8097" s="85"/>
    </row>
    <row r="8098" spans="11:16">
      <c r="K8098" s="85">
        <v>27</v>
      </c>
      <c r="L8098" s="78"/>
      <c r="M8098" s="78"/>
      <c r="N8098" s="78"/>
      <c r="P8098" s="85"/>
    </row>
    <row r="8099" spans="11:16">
      <c r="K8099" s="85">
        <v>31</v>
      </c>
      <c r="L8099" s="78"/>
      <c r="M8099" s="78"/>
      <c r="N8099" s="78"/>
      <c r="P8099" s="85"/>
    </row>
    <row r="8100" spans="11:16">
      <c r="K8100" s="85">
        <v>32</v>
      </c>
      <c r="L8100" s="78"/>
      <c r="M8100" s="78"/>
      <c r="N8100" s="78"/>
      <c r="P8100" s="85"/>
    </row>
    <row r="8101" spans="11:16">
      <c r="K8101" s="85">
        <v>34</v>
      </c>
      <c r="L8101" s="78"/>
      <c r="M8101" s="78"/>
      <c r="N8101" s="78"/>
      <c r="P8101" s="85"/>
    </row>
    <row r="8102" spans="11:16">
      <c r="K8102" s="85">
        <v>35</v>
      </c>
      <c r="L8102" s="78"/>
      <c r="M8102" s="78"/>
      <c r="N8102" s="78"/>
      <c r="P8102" s="85"/>
    </row>
    <row r="8103" spans="11:16">
      <c r="K8103" s="85">
        <v>36</v>
      </c>
      <c r="L8103" s="78"/>
      <c r="M8103" s="78"/>
      <c r="N8103" s="78"/>
      <c r="P8103" s="85"/>
    </row>
    <row r="8104" spans="11:16">
      <c r="K8104" s="85">
        <v>27</v>
      </c>
      <c r="L8104" s="78"/>
      <c r="M8104" s="78"/>
      <c r="N8104" s="78"/>
      <c r="P8104" s="85"/>
    </row>
    <row r="8105" spans="11:16">
      <c r="K8105" s="85">
        <v>31</v>
      </c>
      <c r="L8105" s="78"/>
      <c r="M8105" s="78"/>
      <c r="N8105" s="78"/>
      <c r="P8105" s="85"/>
    </row>
    <row r="8106" spans="11:16">
      <c r="K8106" s="85">
        <v>32</v>
      </c>
      <c r="L8106" s="78"/>
      <c r="M8106" s="78"/>
      <c r="N8106" s="78"/>
      <c r="P8106" s="85"/>
    </row>
    <row r="8107" spans="11:16">
      <c r="K8107" s="85">
        <v>35</v>
      </c>
      <c r="L8107" s="78"/>
      <c r="M8107" s="78"/>
      <c r="N8107" s="78"/>
      <c r="P8107" s="85"/>
    </row>
    <row r="8108" spans="11:16">
      <c r="K8108" s="85">
        <v>25</v>
      </c>
      <c r="L8108" s="78"/>
      <c r="M8108" s="78"/>
      <c r="N8108" s="78"/>
      <c r="P8108" s="85"/>
    </row>
    <row r="8109" spans="11:16">
      <c r="K8109" s="85">
        <v>26</v>
      </c>
      <c r="L8109" s="78"/>
      <c r="M8109" s="78"/>
      <c r="N8109" s="78"/>
      <c r="P8109" s="85"/>
    </row>
    <row r="8110" spans="11:16">
      <c r="K8110" s="85">
        <v>27</v>
      </c>
      <c r="L8110" s="78"/>
      <c r="M8110" s="78"/>
      <c r="N8110" s="78"/>
      <c r="P8110" s="85"/>
    </row>
    <row r="8111" spans="11:16">
      <c r="K8111" s="85">
        <v>28</v>
      </c>
      <c r="L8111" s="78"/>
      <c r="M8111" s="78"/>
      <c r="N8111" s="78"/>
      <c r="P8111" s="85"/>
    </row>
    <row r="8112" spans="11:16">
      <c r="K8112" s="85">
        <v>29</v>
      </c>
      <c r="L8112" s="78"/>
      <c r="M8112" s="78"/>
      <c r="N8112" s="78"/>
      <c r="P8112" s="85"/>
    </row>
    <row r="8113" spans="11:16">
      <c r="K8113" s="85">
        <v>30</v>
      </c>
      <c r="L8113" s="78"/>
      <c r="M8113" s="78"/>
      <c r="N8113" s="78"/>
      <c r="P8113" s="85"/>
    </row>
    <row r="8114" spans="11:16">
      <c r="K8114" s="85">
        <v>31</v>
      </c>
      <c r="L8114" s="78"/>
      <c r="M8114" s="78"/>
      <c r="N8114" s="78"/>
      <c r="P8114" s="85"/>
    </row>
    <row r="8115" spans="11:16">
      <c r="K8115" s="85">
        <v>32</v>
      </c>
      <c r="L8115" s="78"/>
      <c r="M8115" s="78"/>
      <c r="N8115" s="78"/>
      <c r="P8115" s="85"/>
    </row>
    <row r="8116" spans="11:16">
      <c r="K8116" s="85">
        <v>33</v>
      </c>
      <c r="L8116" s="78"/>
      <c r="M8116" s="78"/>
      <c r="N8116" s="78"/>
      <c r="P8116" s="85"/>
    </row>
    <row r="8117" spans="11:16">
      <c r="K8117" s="85">
        <v>34</v>
      </c>
      <c r="L8117" s="78"/>
      <c r="M8117" s="78"/>
      <c r="N8117" s="78"/>
      <c r="P8117" s="85"/>
    </row>
    <row r="8118" spans="11:16">
      <c r="K8118" s="85">
        <v>35</v>
      </c>
      <c r="L8118" s="78"/>
      <c r="M8118" s="78"/>
      <c r="N8118" s="78"/>
      <c r="P8118" s="85"/>
    </row>
    <row r="8119" spans="11:16">
      <c r="K8119" s="85">
        <v>25</v>
      </c>
      <c r="L8119" s="78"/>
      <c r="M8119" s="78"/>
      <c r="N8119" s="78"/>
      <c r="P8119" s="85"/>
    </row>
    <row r="8120" spans="11:16">
      <c r="K8120" s="85">
        <v>26</v>
      </c>
      <c r="L8120" s="78"/>
      <c r="M8120" s="78"/>
      <c r="N8120" s="78"/>
      <c r="P8120" s="85"/>
    </row>
    <row r="8121" spans="11:16">
      <c r="K8121" s="85">
        <v>27</v>
      </c>
      <c r="L8121" s="78"/>
      <c r="M8121" s="78"/>
      <c r="N8121" s="78"/>
      <c r="P8121" s="85"/>
    </row>
    <row r="8122" spans="11:16">
      <c r="K8122" s="85">
        <v>28</v>
      </c>
      <c r="L8122" s="78"/>
      <c r="M8122" s="78"/>
      <c r="N8122" s="78"/>
      <c r="P8122" s="85"/>
    </row>
    <row r="8123" spans="11:16">
      <c r="K8123" s="85">
        <v>29</v>
      </c>
      <c r="L8123" s="78"/>
      <c r="M8123" s="78"/>
      <c r="N8123" s="78"/>
      <c r="P8123" s="85"/>
    </row>
    <row r="8124" spans="11:16">
      <c r="K8124" s="85">
        <v>30</v>
      </c>
      <c r="L8124" s="78"/>
      <c r="M8124" s="78"/>
      <c r="N8124" s="78"/>
      <c r="P8124" s="85"/>
    </row>
    <row r="8125" spans="11:16">
      <c r="K8125" s="85">
        <v>31</v>
      </c>
      <c r="L8125" s="78"/>
      <c r="M8125" s="78"/>
      <c r="N8125" s="78"/>
      <c r="P8125" s="85"/>
    </row>
    <row r="8126" spans="11:16">
      <c r="K8126" s="85">
        <v>32</v>
      </c>
      <c r="L8126" s="78"/>
      <c r="M8126" s="78"/>
      <c r="N8126" s="78"/>
      <c r="P8126" s="85"/>
    </row>
    <row r="8127" spans="11:16">
      <c r="K8127" s="85">
        <v>33</v>
      </c>
      <c r="L8127" s="78"/>
      <c r="M8127" s="78"/>
      <c r="N8127" s="78"/>
      <c r="P8127" s="85"/>
    </row>
    <row r="8128" spans="11:16">
      <c r="K8128" s="85">
        <v>34</v>
      </c>
      <c r="L8128" s="78"/>
      <c r="M8128" s="78"/>
      <c r="N8128" s="78"/>
      <c r="P8128" s="85"/>
    </row>
    <row r="8129" spans="11:16">
      <c r="K8129" s="85">
        <v>35</v>
      </c>
      <c r="L8129" s="78"/>
      <c r="M8129" s="78"/>
      <c r="N8129" s="78"/>
      <c r="P8129" s="85"/>
    </row>
    <row r="8130" spans="11:16">
      <c r="K8130" s="85">
        <v>36</v>
      </c>
      <c r="L8130" s="78"/>
      <c r="M8130" s="78"/>
      <c r="N8130" s="78"/>
      <c r="P8130" s="85"/>
    </row>
    <row r="8131" spans="11:16">
      <c r="K8131" s="85">
        <v>26</v>
      </c>
      <c r="L8131" s="78"/>
      <c r="M8131" s="78"/>
      <c r="N8131" s="78"/>
      <c r="P8131" s="85"/>
    </row>
    <row r="8132" spans="11:16">
      <c r="K8132" s="85">
        <v>27</v>
      </c>
      <c r="L8132" s="78"/>
      <c r="M8132" s="78"/>
      <c r="N8132" s="78"/>
      <c r="P8132" s="85"/>
    </row>
    <row r="8133" spans="11:16">
      <c r="K8133" s="85">
        <v>31</v>
      </c>
      <c r="L8133" s="78"/>
      <c r="M8133" s="78"/>
      <c r="N8133" s="78"/>
      <c r="P8133" s="85"/>
    </row>
    <row r="8134" spans="11:16">
      <c r="K8134" s="85">
        <v>32</v>
      </c>
      <c r="L8134" s="78"/>
      <c r="M8134" s="78"/>
      <c r="N8134" s="78"/>
      <c r="P8134" s="85"/>
    </row>
    <row r="8135" spans="11:16">
      <c r="K8135" s="85">
        <v>33</v>
      </c>
      <c r="L8135" s="78"/>
      <c r="M8135" s="78"/>
      <c r="N8135" s="78"/>
      <c r="P8135" s="85"/>
    </row>
    <row r="8136" spans="11:16">
      <c r="K8136" s="85">
        <v>34</v>
      </c>
      <c r="L8136" s="78"/>
      <c r="M8136" s="78"/>
      <c r="N8136" s="78"/>
      <c r="P8136" s="85"/>
    </row>
    <row r="8137" spans="11:16">
      <c r="K8137" s="85">
        <v>35</v>
      </c>
      <c r="L8137" s="78"/>
      <c r="M8137" s="78"/>
      <c r="N8137" s="78"/>
      <c r="P8137" s="85"/>
    </row>
    <row r="8138" spans="11:16">
      <c r="K8138" s="85">
        <v>36</v>
      </c>
      <c r="L8138" s="78"/>
      <c r="M8138" s="78"/>
      <c r="N8138" s="78"/>
      <c r="P8138" s="85"/>
    </row>
    <row r="8139" spans="11:16">
      <c r="K8139" s="85">
        <v>27</v>
      </c>
      <c r="L8139" s="78"/>
      <c r="M8139" s="78"/>
      <c r="N8139" s="78"/>
      <c r="P8139" s="85"/>
    </row>
    <row r="8140" spans="11:16">
      <c r="K8140" s="85">
        <v>31</v>
      </c>
      <c r="L8140" s="78"/>
      <c r="M8140" s="78"/>
      <c r="N8140" s="78"/>
      <c r="P8140" s="85"/>
    </row>
    <row r="8141" spans="11:16">
      <c r="K8141" s="85">
        <v>26</v>
      </c>
      <c r="L8141" s="78"/>
      <c r="M8141" s="78"/>
      <c r="N8141" s="78"/>
      <c r="P8141" s="85"/>
    </row>
    <row r="8142" spans="11:16">
      <c r="K8142" s="85">
        <v>27</v>
      </c>
      <c r="L8142" s="78"/>
      <c r="M8142" s="78"/>
      <c r="N8142" s="78"/>
      <c r="P8142" s="85"/>
    </row>
    <row r="8143" spans="11:16">
      <c r="K8143" s="85">
        <v>29</v>
      </c>
      <c r="L8143" s="78"/>
      <c r="M8143" s="78"/>
      <c r="N8143" s="78"/>
      <c r="P8143" s="85"/>
    </row>
    <row r="8144" spans="11:16">
      <c r="K8144" s="85">
        <v>31</v>
      </c>
      <c r="L8144" s="78"/>
      <c r="M8144" s="78"/>
      <c r="N8144" s="78"/>
      <c r="P8144" s="85"/>
    </row>
    <row r="8145" spans="11:16">
      <c r="K8145" s="85">
        <v>25</v>
      </c>
      <c r="L8145" s="78"/>
      <c r="M8145" s="78"/>
      <c r="N8145" s="78"/>
      <c r="P8145" s="85"/>
    </row>
    <row r="8146" spans="11:16">
      <c r="K8146" s="85">
        <v>26</v>
      </c>
      <c r="L8146" s="78"/>
      <c r="M8146" s="78"/>
      <c r="N8146" s="78"/>
      <c r="P8146" s="85"/>
    </row>
    <row r="8147" spans="11:16">
      <c r="K8147" s="85">
        <v>27</v>
      </c>
      <c r="L8147" s="78"/>
      <c r="M8147" s="78"/>
      <c r="N8147" s="78"/>
      <c r="P8147" s="85"/>
    </row>
    <row r="8148" spans="11:16">
      <c r="K8148" s="85">
        <v>28</v>
      </c>
      <c r="L8148" s="78"/>
      <c r="M8148" s="78"/>
      <c r="N8148" s="78"/>
      <c r="P8148" s="85"/>
    </row>
    <row r="8149" spans="11:16">
      <c r="K8149" s="85">
        <v>30</v>
      </c>
      <c r="L8149" s="78"/>
      <c r="M8149" s="78"/>
      <c r="N8149" s="78"/>
      <c r="P8149" s="85"/>
    </row>
    <row r="8150" spans="11:16">
      <c r="K8150" s="85">
        <v>31</v>
      </c>
      <c r="L8150" s="78"/>
      <c r="M8150" s="78"/>
      <c r="N8150" s="78"/>
      <c r="P8150" s="85"/>
    </row>
    <row r="8151" spans="11:16">
      <c r="K8151" s="85">
        <v>32</v>
      </c>
      <c r="L8151" s="78"/>
      <c r="M8151" s="78"/>
      <c r="N8151" s="78"/>
      <c r="P8151" s="85"/>
    </row>
    <row r="8152" spans="11:16">
      <c r="K8152" s="85">
        <v>33</v>
      </c>
      <c r="L8152" s="78"/>
      <c r="M8152" s="78"/>
      <c r="N8152" s="78"/>
      <c r="P8152" s="85"/>
    </row>
    <row r="8153" spans="11:16">
      <c r="K8153" s="85">
        <v>34</v>
      </c>
      <c r="L8153" s="78"/>
      <c r="M8153" s="78"/>
      <c r="N8153" s="78"/>
      <c r="P8153" s="85"/>
    </row>
    <row r="8154" spans="11:16">
      <c r="K8154" s="85">
        <v>35</v>
      </c>
      <c r="L8154" s="78"/>
      <c r="M8154" s="78"/>
      <c r="N8154" s="78"/>
      <c r="P8154" s="85"/>
    </row>
    <row r="8155" spans="11:16">
      <c r="K8155" s="85">
        <v>25</v>
      </c>
      <c r="L8155" s="78"/>
      <c r="M8155" s="78"/>
      <c r="N8155" s="78"/>
      <c r="P8155" s="85"/>
    </row>
    <row r="8156" spans="11:16">
      <c r="K8156" s="85">
        <v>26</v>
      </c>
      <c r="L8156" s="78"/>
      <c r="M8156" s="78"/>
      <c r="N8156" s="78"/>
      <c r="P8156" s="85"/>
    </row>
    <row r="8157" spans="11:16">
      <c r="K8157" s="85">
        <v>27</v>
      </c>
      <c r="L8157" s="78"/>
      <c r="M8157" s="78"/>
      <c r="N8157" s="78"/>
      <c r="P8157" s="85"/>
    </row>
    <row r="8158" spans="11:16">
      <c r="K8158" s="85">
        <v>30</v>
      </c>
      <c r="L8158" s="78"/>
      <c r="M8158" s="78"/>
      <c r="N8158" s="78"/>
      <c r="P8158" s="85"/>
    </row>
    <row r="8159" spans="11:16">
      <c r="K8159" s="85">
        <v>31</v>
      </c>
      <c r="L8159" s="78"/>
      <c r="M8159" s="78"/>
      <c r="N8159" s="78"/>
      <c r="P8159" s="85"/>
    </row>
    <row r="8160" spans="11:16">
      <c r="K8160" s="85">
        <v>32</v>
      </c>
      <c r="L8160" s="78"/>
      <c r="M8160" s="78"/>
      <c r="N8160" s="78"/>
      <c r="P8160" s="85"/>
    </row>
    <row r="8161" spans="11:16">
      <c r="K8161" s="85">
        <v>35</v>
      </c>
      <c r="L8161" s="78"/>
      <c r="M8161" s="78"/>
      <c r="N8161" s="78"/>
      <c r="P8161" s="85"/>
    </row>
    <row r="8162" spans="11:16">
      <c r="K8162" s="85">
        <v>25</v>
      </c>
      <c r="L8162" s="78"/>
      <c r="M8162" s="78"/>
      <c r="N8162" s="78"/>
      <c r="P8162" s="85"/>
    </row>
    <row r="8163" spans="11:16">
      <c r="K8163" s="85">
        <v>26</v>
      </c>
      <c r="L8163" s="78"/>
      <c r="M8163" s="78"/>
      <c r="N8163" s="78"/>
      <c r="P8163" s="85"/>
    </row>
    <row r="8164" spans="11:16">
      <c r="K8164" s="85">
        <v>27</v>
      </c>
      <c r="L8164" s="78"/>
      <c r="M8164" s="78"/>
      <c r="N8164" s="78"/>
      <c r="P8164" s="85"/>
    </row>
    <row r="8165" spans="11:16">
      <c r="K8165" s="85">
        <v>28</v>
      </c>
      <c r="L8165" s="78"/>
      <c r="M8165" s="78"/>
      <c r="N8165" s="78"/>
      <c r="P8165" s="85"/>
    </row>
    <row r="8166" spans="11:16">
      <c r="K8166" s="85">
        <v>29</v>
      </c>
      <c r="L8166" s="78"/>
      <c r="M8166" s="78"/>
      <c r="N8166" s="78"/>
      <c r="P8166" s="85"/>
    </row>
    <row r="8167" spans="11:16">
      <c r="K8167" s="85">
        <v>30</v>
      </c>
      <c r="L8167" s="78"/>
      <c r="M8167" s="78"/>
      <c r="N8167" s="78"/>
      <c r="P8167" s="85"/>
    </row>
    <row r="8168" spans="11:16">
      <c r="K8168" s="85">
        <v>31</v>
      </c>
      <c r="L8168" s="78"/>
      <c r="M8168" s="78"/>
      <c r="N8168" s="78"/>
      <c r="P8168" s="85"/>
    </row>
    <row r="8169" spans="11:16">
      <c r="K8169" s="85">
        <v>32</v>
      </c>
      <c r="L8169" s="78"/>
      <c r="M8169" s="78"/>
      <c r="N8169" s="78"/>
      <c r="P8169" s="85"/>
    </row>
    <row r="8170" spans="11:16">
      <c r="K8170" s="85">
        <v>33</v>
      </c>
      <c r="L8170" s="78"/>
      <c r="M8170" s="78"/>
      <c r="N8170" s="78"/>
      <c r="P8170" s="85"/>
    </row>
    <row r="8171" spans="11:16">
      <c r="K8171" s="85">
        <v>34</v>
      </c>
      <c r="L8171" s="78"/>
      <c r="M8171" s="78"/>
      <c r="N8171" s="78"/>
      <c r="P8171" s="85"/>
    </row>
    <row r="8172" spans="11:16">
      <c r="K8172" s="85">
        <v>35</v>
      </c>
      <c r="L8172" s="78"/>
      <c r="M8172" s="78"/>
      <c r="N8172" s="78"/>
      <c r="P8172" s="85"/>
    </row>
    <row r="8173" spans="11:16">
      <c r="K8173" s="85">
        <v>36</v>
      </c>
      <c r="L8173" s="78"/>
      <c r="M8173" s="78"/>
      <c r="N8173" s="78"/>
      <c r="P8173" s="85"/>
    </row>
    <row r="8174" spans="11:16">
      <c r="K8174" s="85">
        <v>27</v>
      </c>
      <c r="L8174" s="78"/>
      <c r="M8174" s="78"/>
      <c r="N8174" s="78"/>
      <c r="P8174" s="85"/>
    </row>
    <row r="8175" spans="11:16">
      <c r="K8175" s="85">
        <v>31</v>
      </c>
      <c r="L8175" s="78"/>
      <c r="M8175" s="78"/>
      <c r="N8175" s="78"/>
      <c r="P8175" s="85"/>
    </row>
    <row r="8176" spans="11:16">
      <c r="K8176" s="85">
        <v>34</v>
      </c>
      <c r="L8176" s="78"/>
      <c r="M8176" s="78"/>
      <c r="N8176" s="78"/>
      <c r="P8176" s="85"/>
    </row>
    <row r="8177" spans="11:16">
      <c r="K8177" s="85">
        <v>35</v>
      </c>
      <c r="L8177" s="78"/>
      <c r="M8177" s="78"/>
      <c r="N8177" s="78"/>
      <c r="P8177" s="85"/>
    </row>
    <row r="8178" spans="11:16">
      <c r="K8178" s="85">
        <v>27</v>
      </c>
      <c r="L8178" s="78"/>
      <c r="M8178" s="78"/>
      <c r="N8178" s="78"/>
      <c r="P8178" s="85"/>
    </row>
    <row r="8179" spans="11:16">
      <c r="K8179" s="85">
        <v>28</v>
      </c>
      <c r="L8179" s="78"/>
      <c r="M8179" s="78"/>
      <c r="N8179" s="78"/>
      <c r="P8179" s="85"/>
    </row>
    <row r="8180" spans="11:16">
      <c r="K8180" s="85">
        <v>25</v>
      </c>
      <c r="L8180" s="78"/>
      <c r="M8180" s="78"/>
      <c r="N8180" s="78"/>
      <c r="P8180" s="85"/>
    </row>
    <row r="8181" spans="11:16">
      <c r="K8181" s="85">
        <v>27</v>
      </c>
      <c r="L8181" s="78"/>
      <c r="M8181" s="78"/>
      <c r="N8181" s="78"/>
      <c r="P8181" s="85"/>
    </row>
    <row r="8182" spans="11:16">
      <c r="K8182" s="85">
        <v>30</v>
      </c>
      <c r="L8182" s="78"/>
      <c r="M8182" s="78"/>
      <c r="N8182" s="78"/>
      <c r="P8182" s="85"/>
    </row>
    <row r="8183" spans="11:16">
      <c r="K8183" s="85">
        <v>31</v>
      </c>
      <c r="L8183" s="78"/>
      <c r="M8183" s="78"/>
      <c r="N8183" s="78"/>
      <c r="P8183" s="85"/>
    </row>
    <row r="8184" spans="11:16">
      <c r="K8184" s="85">
        <v>32</v>
      </c>
      <c r="L8184" s="78"/>
      <c r="M8184" s="78"/>
      <c r="N8184" s="78"/>
      <c r="P8184" s="85"/>
    </row>
    <row r="8185" spans="11:16">
      <c r="K8185" s="85">
        <v>25</v>
      </c>
      <c r="L8185" s="78"/>
      <c r="M8185" s="78"/>
      <c r="N8185" s="78"/>
      <c r="P8185" s="85"/>
    </row>
    <row r="8186" spans="11:16">
      <c r="K8186" s="85">
        <v>26</v>
      </c>
      <c r="L8186" s="78"/>
      <c r="M8186" s="78"/>
      <c r="N8186" s="78"/>
      <c r="P8186" s="85"/>
    </row>
    <row r="8187" spans="11:16">
      <c r="K8187" s="85">
        <v>27</v>
      </c>
      <c r="L8187" s="78"/>
      <c r="M8187" s="78"/>
      <c r="N8187" s="78"/>
      <c r="P8187" s="85"/>
    </row>
    <row r="8188" spans="11:16">
      <c r="K8188" s="85">
        <v>30</v>
      </c>
      <c r="L8188" s="78"/>
      <c r="M8188" s="78"/>
      <c r="N8188" s="78"/>
      <c r="P8188" s="85"/>
    </row>
    <row r="8189" spans="11:16">
      <c r="K8189" s="85">
        <v>31</v>
      </c>
      <c r="L8189" s="78"/>
      <c r="M8189" s="78"/>
      <c r="N8189" s="78"/>
      <c r="P8189" s="85"/>
    </row>
    <row r="8190" spans="11:16">
      <c r="K8190" s="85">
        <v>32</v>
      </c>
      <c r="L8190" s="78"/>
      <c r="M8190" s="78"/>
      <c r="N8190" s="78"/>
      <c r="P8190" s="85"/>
    </row>
    <row r="8191" spans="11:16">
      <c r="K8191" s="85">
        <v>33</v>
      </c>
      <c r="L8191" s="78"/>
      <c r="M8191" s="78"/>
      <c r="N8191" s="78"/>
      <c r="P8191" s="85"/>
    </row>
    <row r="8192" spans="11:16">
      <c r="K8192" s="85">
        <v>34</v>
      </c>
      <c r="L8192" s="78"/>
      <c r="M8192" s="78"/>
      <c r="N8192" s="78"/>
      <c r="P8192" s="85"/>
    </row>
    <row r="8193" spans="11:16">
      <c r="K8193" s="85">
        <v>35</v>
      </c>
      <c r="L8193" s="78"/>
      <c r="M8193" s="78"/>
      <c r="N8193" s="78"/>
      <c r="P8193" s="85"/>
    </row>
    <row r="8194" spans="11:16">
      <c r="K8194" s="85">
        <v>36</v>
      </c>
      <c r="L8194" s="78"/>
      <c r="M8194" s="78"/>
      <c r="N8194" s="78"/>
      <c r="P8194" s="85"/>
    </row>
    <row r="8195" spans="11:16">
      <c r="K8195" s="85">
        <v>25</v>
      </c>
      <c r="L8195" s="78"/>
      <c r="M8195" s="78"/>
      <c r="N8195" s="78"/>
      <c r="P8195" s="85"/>
    </row>
    <row r="8196" spans="11:16">
      <c r="K8196" s="85">
        <v>27</v>
      </c>
      <c r="L8196" s="78"/>
      <c r="M8196" s="78"/>
      <c r="N8196" s="78"/>
      <c r="P8196" s="85"/>
    </row>
    <row r="8197" spans="11:16">
      <c r="K8197" s="85">
        <v>28</v>
      </c>
      <c r="L8197" s="78"/>
      <c r="M8197" s="78"/>
      <c r="N8197" s="78"/>
      <c r="P8197" s="85"/>
    </row>
    <row r="8198" spans="11:16">
      <c r="K8198" s="85">
        <v>30</v>
      </c>
      <c r="L8198" s="78"/>
      <c r="M8198" s="78"/>
      <c r="N8198" s="78"/>
      <c r="P8198" s="85"/>
    </row>
    <row r="8199" spans="11:16">
      <c r="K8199" s="85">
        <v>31</v>
      </c>
      <c r="L8199" s="78"/>
      <c r="M8199" s="78"/>
      <c r="N8199" s="78"/>
      <c r="P8199" s="85"/>
    </row>
    <row r="8200" spans="11:16">
      <c r="K8200" s="85">
        <v>32</v>
      </c>
      <c r="L8200" s="78"/>
      <c r="M8200" s="78"/>
      <c r="N8200" s="78"/>
      <c r="P8200" s="85"/>
    </row>
    <row r="8201" spans="11:16">
      <c r="K8201" s="85">
        <v>33</v>
      </c>
      <c r="L8201" s="78"/>
      <c r="M8201" s="78"/>
      <c r="N8201" s="78"/>
      <c r="P8201" s="85"/>
    </row>
    <row r="8202" spans="11:16">
      <c r="K8202" s="85">
        <v>34</v>
      </c>
      <c r="L8202" s="78"/>
      <c r="M8202" s="78"/>
      <c r="N8202" s="78"/>
      <c r="P8202" s="85"/>
    </row>
    <row r="8203" spans="11:16">
      <c r="K8203" s="85">
        <v>35</v>
      </c>
      <c r="L8203" s="78"/>
      <c r="M8203" s="78"/>
      <c r="N8203" s="78"/>
      <c r="P8203" s="85"/>
    </row>
    <row r="8204" spans="11:16">
      <c r="K8204" s="85">
        <v>36</v>
      </c>
      <c r="L8204" s="78"/>
      <c r="M8204" s="78"/>
      <c r="N8204" s="78"/>
      <c r="P8204" s="85"/>
    </row>
    <row r="8205" spans="11:16">
      <c r="K8205" s="85">
        <v>25</v>
      </c>
      <c r="L8205" s="78"/>
      <c r="M8205" s="78"/>
      <c r="N8205" s="78"/>
      <c r="P8205" s="85"/>
    </row>
    <row r="8206" spans="11:16">
      <c r="K8206" s="85">
        <v>26</v>
      </c>
      <c r="L8206" s="78"/>
      <c r="M8206" s="78"/>
      <c r="N8206" s="78"/>
      <c r="P8206" s="85"/>
    </row>
    <row r="8207" spans="11:16">
      <c r="K8207" s="85">
        <v>27</v>
      </c>
      <c r="L8207" s="78"/>
      <c r="M8207" s="78"/>
      <c r="N8207" s="78"/>
      <c r="P8207" s="85"/>
    </row>
    <row r="8208" spans="11:16">
      <c r="K8208" s="85">
        <v>28</v>
      </c>
      <c r="L8208" s="78"/>
      <c r="M8208" s="78"/>
      <c r="N8208" s="78"/>
      <c r="P8208" s="85"/>
    </row>
    <row r="8209" spans="11:16">
      <c r="K8209" s="85">
        <v>29</v>
      </c>
      <c r="L8209" s="78"/>
      <c r="M8209" s="78"/>
      <c r="N8209" s="78"/>
      <c r="P8209" s="85"/>
    </row>
    <row r="8210" spans="11:16">
      <c r="K8210" s="85">
        <v>30</v>
      </c>
      <c r="L8210" s="78"/>
      <c r="M8210" s="78"/>
      <c r="N8210" s="78"/>
      <c r="P8210" s="85"/>
    </row>
    <row r="8211" spans="11:16">
      <c r="K8211" s="85">
        <v>31</v>
      </c>
      <c r="L8211" s="78"/>
      <c r="M8211" s="78"/>
      <c r="N8211" s="78"/>
      <c r="P8211" s="85"/>
    </row>
    <row r="8212" spans="11:16">
      <c r="K8212" s="85">
        <v>32</v>
      </c>
      <c r="L8212" s="78"/>
      <c r="M8212" s="78"/>
      <c r="N8212" s="78"/>
      <c r="P8212" s="85"/>
    </row>
    <row r="8213" spans="11:16">
      <c r="K8213" s="85">
        <v>33</v>
      </c>
      <c r="L8213" s="78"/>
      <c r="M8213" s="78"/>
      <c r="N8213" s="78"/>
      <c r="P8213" s="85"/>
    </row>
    <row r="8214" spans="11:16">
      <c r="K8214" s="85">
        <v>34</v>
      </c>
      <c r="L8214" s="78"/>
      <c r="M8214" s="78"/>
      <c r="N8214" s="78"/>
      <c r="P8214" s="85"/>
    </row>
    <row r="8215" spans="11:16">
      <c r="K8215" s="85">
        <v>35</v>
      </c>
      <c r="L8215" s="78"/>
      <c r="M8215" s="78"/>
      <c r="N8215" s="78"/>
      <c r="P8215" s="85"/>
    </row>
    <row r="8216" spans="11:16">
      <c r="K8216" s="85">
        <v>36</v>
      </c>
      <c r="L8216" s="78"/>
      <c r="M8216" s="78"/>
      <c r="N8216" s="78"/>
      <c r="P8216" s="85"/>
    </row>
    <row r="8217" spans="11:16">
      <c r="K8217" s="85">
        <v>26</v>
      </c>
      <c r="L8217" s="78"/>
      <c r="M8217" s="78"/>
      <c r="N8217" s="78"/>
      <c r="P8217" s="85"/>
    </row>
    <row r="8218" spans="11:16">
      <c r="K8218" s="85">
        <v>27</v>
      </c>
      <c r="L8218" s="78"/>
      <c r="M8218" s="78"/>
      <c r="N8218" s="78"/>
      <c r="P8218" s="85"/>
    </row>
    <row r="8219" spans="11:16">
      <c r="K8219" s="85">
        <v>28</v>
      </c>
      <c r="L8219" s="78"/>
      <c r="M8219" s="78"/>
      <c r="N8219" s="78"/>
      <c r="P8219" s="85"/>
    </row>
    <row r="8220" spans="11:16">
      <c r="K8220" s="85">
        <v>31</v>
      </c>
      <c r="L8220" s="78"/>
      <c r="M8220" s="78"/>
      <c r="N8220" s="78"/>
      <c r="P8220" s="85"/>
    </row>
    <row r="8221" spans="11:16">
      <c r="K8221" s="85">
        <v>34</v>
      </c>
      <c r="L8221" s="78"/>
      <c r="M8221" s="78"/>
      <c r="N8221" s="78"/>
      <c r="P8221" s="85"/>
    </row>
    <row r="8222" spans="11:16">
      <c r="K8222" s="85">
        <v>35</v>
      </c>
      <c r="L8222" s="78"/>
      <c r="M8222" s="78"/>
      <c r="N8222" s="78"/>
      <c r="P8222" s="85"/>
    </row>
    <row r="8223" spans="11:16">
      <c r="K8223" s="85">
        <v>26</v>
      </c>
      <c r="L8223" s="78"/>
      <c r="M8223" s="78"/>
      <c r="N8223" s="78"/>
      <c r="P8223" s="85"/>
    </row>
    <row r="8224" spans="11:16">
      <c r="K8224" s="85">
        <v>27</v>
      </c>
      <c r="L8224" s="78"/>
      <c r="M8224" s="78"/>
      <c r="N8224" s="78"/>
      <c r="P8224" s="85"/>
    </row>
    <row r="8225" spans="11:16">
      <c r="K8225" s="85">
        <v>34</v>
      </c>
      <c r="L8225" s="78"/>
      <c r="M8225" s="78"/>
      <c r="N8225" s="78"/>
      <c r="P8225" s="85"/>
    </row>
    <row r="8226" spans="11:16">
      <c r="K8226" s="85">
        <v>35</v>
      </c>
      <c r="L8226" s="78"/>
      <c r="M8226" s="78"/>
      <c r="N8226" s="78"/>
      <c r="P8226" s="85"/>
    </row>
    <row r="8227" spans="11:16">
      <c r="K8227" s="85">
        <v>26</v>
      </c>
      <c r="L8227" s="78"/>
      <c r="M8227" s="78"/>
      <c r="N8227" s="78"/>
      <c r="P8227" s="85"/>
    </row>
    <row r="8228" spans="11:16">
      <c r="K8228" s="85">
        <v>27</v>
      </c>
      <c r="L8228" s="78"/>
      <c r="M8228" s="78"/>
      <c r="N8228" s="78"/>
      <c r="P8228" s="85"/>
    </row>
    <row r="8229" spans="11:16">
      <c r="K8229" s="85">
        <v>28</v>
      </c>
      <c r="L8229" s="78"/>
      <c r="M8229" s="78"/>
      <c r="N8229" s="78"/>
      <c r="P8229" s="85"/>
    </row>
    <row r="8230" spans="11:16">
      <c r="K8230" s="85">
        <v>29</v>
      </c>
      <c r="L8230" s="78"/>
      <c r="M8230" s="78"/>
      <c r="N8230" s="78"/>
      <c r="P8230" s="85"/>
    </row>
    <row r="8231" spans="11:16">
      <c r="K8231" s="85">
        <v>31</v>
      </c>
      <c r="L8231" s="78"/>
      <c r="M8231" s="78"/>
      <c r="N8231" s="78"/>
      <c r="P8231" s="85"/>
    </row>
    <row r="8232" spans="11:16">
      <c r="K8232" s="85">
        <v>34</v>
      </c>
      <c r="L8232" s="78"/>
      <c r="M8232" s="78"/>
      <c r="N8232" s="78"/>
      <c r="P8232" s="85"/>
    </row>
    <row r="8233" spans="11:16">
      <c r="K8233" s="85">
        <v>35</v>
      </c>
      <c r="L8233" s="78"/>
      <c r="M8233" s="78"/>
      <c r="N8233" s="78"/>
      <c r="P8233" s="85"/>
    </row>
    <row r="8234" spans="11:16">
      <c r="K8234" s="85">
        <v>25</v>
      </c>
      <c r="L8234" s="78"/>
      <c r="M8234" s="78"/>
      <c r="N8234" s="78"/>
      <c r="P8234" s="85"/>
    </row>
    <row r="8235" spans="11:16">
      <c r="K8235" s="85">
        <v>26</v>
      </c>
      <c r="L8235" s="78"/>
      <c r="M8235" s="78"/>
      <c r="N8235" s="78"/>
      <c r="P8235" s="85"/>
    </row>
    <row r="8236" spans="11:16">
      <c r="K8236" s="85">
        <v>27</v>
      </c>
      <c r="L8236" s="78"/>
      <c r="M8236" s="78"/>
      <c r="N8236" s="78"/>
      <c r="P8236" s="85"/>
    </row>
    <row r="8237" spans="11:16">
      <c r="K8237" s="85">
        <v>28</v>
      </c>
      <c r="L8237" s="78"/>
      <c r="M8237" s="78"/>
      <c r="N8237" s="78"/>
      <c r="P8237" s="85"/>
    </row>
    <row r="8238" spans="11:16">
      <c r="K8238" s="85">
        <v>29</v>
      </c>
      <c r="L8238" s="78"/>
      <c r="M8238" s="78"/>
      <c r="N8238" s="78"/>
      <c r="P8238" s="85"/>
    </row>
    <row r="8239" spans="11:16">
      <c r="K8239" s="85">
        <v>30</v>
      </c>
      <c r="L8239" s="78"/>
      <c r="M8239" s="78"/>
      <c r="N8239" s="78"/>
      <c r="P8239" s="85"/>
    </row>
    <row r="8240" spans="11:16">
      <c r="K8240" s="85">
        <v>31</v>
      </c>
      <c r="L8240" s="78"/>
      <c r="M8240" s="78"/>
      <c r="N8240" s="78"/>
      <c r="P8240" s="85"/>
    </row>
    <row r="8241" spans="11:16">
      <c r="K8241" s="85">
        <v>32</v>
      </c>
      <c r="L8241" s="78"/>
      <c r="M8241" s="78"/>
      <c r="N8241" s="78"/>
      <c r="P8241" s="85"/>
    </row>
    <row r="8242" spans="11:16">
      <c r="K8242" s="85">
        <v>34</v>
      </c>
      <c r="L8242" s="78"/>
      <c r="M8242" s="78"/>
      <c r="N8242" s="78"/>
      <c r="P8242" s="85"/>
    </row>
    <row r="8243" spans="11:16">
      <c r="K8243" s="85">
        <v>35</v>
      </c>
      <c r="L8243" s="78"/>
      <c r="M8243" s="78"/>
      <c r="N8243" s="78"/>
      <c r="P8243" s="85"/>
    </row>
    <row r="8244" spans="11:16">
      <c r="K8244" s="85">
        <v>36</v>
      </c>
      <c r="L8244" s="78"/>
      <c r="M8244" s="78"/>
      <c r="N8244" s="78"/>
      <c r="P8244" s="85"/>
    </row>
    <row r="8245" spans="11:16">
      <c r="K8245" s="85">
        <v>25</v>
      </c>
      <c r="L8245" s="78"/>
      <c r="M8245" s="78"/>
      <c r="N8245" s="78"/>
      <c r="P8245" s="85"/>
    </row>
    <row r="8246" spans="11:16">
      <c r="K8246" s="85">
        <v>26</v>
      </c>
      <c r="L8246" s="78"/>
      <c r="M8246" s="78"/>
      <c r="N8246" s="78"/>
      <c r="P8246" s="85"/>
    </row>
    <row r="8247" spans="11:16">
      <c r="K8247" s="85">
        <v>27</v>
      </c>
      <c r="L8247" s="78"/>
      <c r="M8247" s="78"/>
      <c r="N8247" s="78"/>
      <c r="P8247" s="85"/>
    </row>
    <row r="8248" spans="11:16">
      <c r="K8248" s="85">
        <v>28</v>
      </c>
      <c r="L8248" s="78"/>
      <c r="M8248" s="78"/>
      <c r="N8248" s="78"/>
      <c r="P8248" s="85"/>
    </row>
    <row r="8249" spans="11:16">
      <c r="K8249" s="85">
        <v>30</v>
      </c>
      <c r="L8249" s="78"/>
      <c r="M8249" s="78"/>
      <c r="N8249" s="78"/>
      <c r="P8249" s="85"/>
    </row>
    <row r="8250" spans="11:16">
      <c r="K8250" s="85">
        <v>31</v>
      </c>
      <c r="L8250" s="78"/>
      <c r="M8250" s="78"/>
      <c r="N8250" s="78"/>
      <c r="P8250" s="85"/>
    </row>
    <row r="8251" spans="11:16">
      <c r="K8251" s="85">
        <v>32</v>
      </c>
      <c r="L8251" s="78"/>
      <c r="M8251" s="78"/>
      <c r="N8251" s="78"/>
      <c r="P8251" s="85"/>
    </row>
    <row r="8252" spans="11:16">
      <c r="K8252" s="85">
        <v>33</v>
      </c>
      <c r="L8252" s="78"/>
      <c r="M8252" s="78"/>
      <c r="N8252" s="78"/>
      <c r="P8252" s="85"/>
    </row>
    <row r="8253" spans="11:16">
      <c r="K8253" s="85">
        <v>34</v>
      </c>
      <c r="L8253" s="78"/>
      <c r="M8253" s="78"/>
      <c r="N8253" s="78"/>
      <c r="P8253" s="85"/>
    </row>
    <row r="8254" spans="11:16">
      <c r="K8254" s="85">
        <v>35</v>
      </c>
      <c r="L8254" s="78"/>
      <c r="M8254" s="78"/>
      <c r="N8254" s="78"/>
      <c r="P8254" s="85"/>
    </row>
    <row r="8255" spans="11:16">
      <c r="K8255" s="85">
        <v>25</v>
      </c>
      <c r="L8255" s="78"/>
      <c r="M8255" s="78"/>
      <c r="N8255" s="78"/>
      <c r="P8255" s="85"/>
    </row>
    <row r="8256" spans="11:16">
      <c r="K8256" s="85">
        <v>30</v>
      </c>
      <c r="L8256" s="78"/>
      <c r="M8256" s="78"/>
      <c r="N8256" s="78"/>
      <c r="P8256" s="85"/>
    </row>
    <row r="8257" spans="11:16">
      <c r="K8257" s="85">
        <v>34</v>
      </c>
      <c r="L8257" s="78"/>
      <c r="M8257" s="78"/>
      <c r="N8257" s="78"/>
      <c r="P8257" s="85"/>
    </row>
    <row r="8258" spans="11:16">
      <c r="K8258" s="85">
        <v>35</v>
      </c>
      <c r="L8258" s="78"/>
      <c r="M8258" s="78"/>
      <c r="N8258" s="78"/>
      <c r="P8258" s="85"/>
    </row>
    <row r="8259" spans="11:16">
      <c r="K8259" s="85">
        <v>25</v>
      </c>
      <c r="L8259" s="78"/>
      <c r="M8259" s="78"/>
      <c r="N8259" s="78"/>
      <c r="P8259" s="85"/>
    </row>
    <row r="8260" spans="11:16">
      <c r="K8260" s="85">
        <v>26</v>
      </c>
      <c r="L8260" s="78"/>
      <c r="M8260" s="78"/>
      <c r="N8260" s="78"/>
      <c r="P8260" s="85"/>
    </row>
    <row r="8261" spans="11:16">
      <c r="K8261" s="85">
        <v>27</v>
      </c>
      <c r="L8261" s="78"/>
      <c r="M8261" s="78"/>
      <c r="N8261" s="78"/>
      <c r="P8261" s="85"/>
    </row>
    <row r="8262" spans="11:16">
      <c r="K8262" s="85">
        <v>29</v>
      </c>
      <c r="L8262" s="78"/>
      <c r="M8262" s="78"/>
      <c r="N8262" s="78"/>
      <c r="P8262" s="85"/>
    </row>
    <row r="8263" spans="11:16">
      <c r="K8263" s="85">
        <v>30</v>
      </c>
      <c r="L8263" s="78"/>
      <c r="M8263" s="78"/>
      <c r="N8263" s="78"/>
      <c r="P8263" s="85"/>
    </row>
    <row r="8264" spans="11:16">
      <c r="K8264" s="85">
        <v>31</v>
      </c>
      <c r="L8264" s="78"/>
      <c r="M8264" s="78"/>
      <c r="N8264" s="78"/>
      <c r="P8264" s="85"/>
    </row>
    <row r="8265" spans="11:16">
      <c r="K8265" s="85">
        <v>32</v>
      </c>
      <c r="L8265" s="78"/>
      <c r="M8265" s="78"/>
      <c r="N8265" s="78"/>
      <c r="P8265" s="85"/>
    </row>
    <row r="8266" spans="11:16">
      <c r="K8266" s="85">
        <v>33</v>
      </c>
      <c r="L8266" s="78"/>
      <c r="M8266" s="78"/>
      <c r="N8266" s="78"/>
      <c r="P8266" s="85"/>
    </row>
    <row r="8267" spans="11:16">
      <c r="K8267" s="85">
        <v>34</v>
      </c>
      <c r="L8267" s="78"/>
      <c r="M8267" s="78"/>
      <c r="N8267" s="78"/>
      <c r="P8267" s="85"/>
    </row>
    <row r="8268" spans="11:16">
      <c r="K8268" s="85">
        <v>35</v>
      </c>
      <c r="L8268" s="78"/>
      <c r="M8268" s="78"/>
      <c r="N8268" s="78"/>
      <c r="P8268" s="85"/>
    </row>
    <row r="8269" spans="11:16">
      <c r="K8269" s="85">
        <v>36</v>
      </c>
      <c r="L8269" s="78"/>
      <c r="M8269" s="78"/>
      <c r="N8269" s="78"/>
      <c r="P8269" s="85"/>
    </row>
    <row r="8270" spans="11:16">
      <c r="K8270" s="85">
        <v>25</v>
      </c>
      <c r="L8270" s="78"/>
      <c r="M8270" s="78"/>
      <c r="N8270" s="78"/>
      <c r="P8270" s="85"/>
    </row>
    <row r="8271" spans="11:16">
      <c r="K8271" s="85">
        <v>26</v>
      </c>
      <c r="L8271" s="78"/>
      <c r="M8271" s="78"/>
      <c r="N8271" s="78"/>
      <c r="P8271" s="85"/>
    </row>
    <row r="8272" spans="11:16">
      <c r="K8272" s="85">
        <v>27</v>
      </c>
      <c r="L8272" s="78"/>
      <c r="M8272" s="78"/>
      <c r="N8272" s="78"/>
      <c r="P8272" s="85"/>
    </row>
    <row r="8273" spans="11:16">
      <c r="K8273" s="85">
        <v>28</v>
      </c>
      <c r="L8273" s="78"/>
      <c r="M8273" s="78"/>
      <c r="N8273" s="78"/>
      <c r="P8273" s="85"/>
    </row>
    <row r="8274" spans="11:16">
      <c r="K8274" s="85">
        <v>29</v>
      </c>
      <c r="L8274" s="78"/>
      <c r="M8274" s="78"/>
      <c r="N8274" s="78"/>
      <c r="P8274" s="85"/>
    </row>
    <row r="8275" spans="11:16">
      <c r="K8275" s="85">
        <v>32</v>
      </c>
      <c r="L8275" s="78"/>
      <c r="M8275" s="78"/>
      <c r="N8275" s="78"/>
      <c r="P8275" s="85"/>
    </row>
    <row r="8276" spans="11:16">
      <c r="K8276" s="85">
        <v>34</v>
      </c>
      <c r="L8276" s="78"/>
      <c r="M8276" s="78"/>
      <c r="N8276" s="78"/>
      <c r="P8276" s="85"/>
    </row>
    <row r="8277" spans="11:16">
      <c r="K8277" s="85">
        <v>35</v>
      </c>
      <c r="L8277" s="78"/>
      <c r="M8277" s="78"/>
      <c r="N8277" s="78"/>
      <c r="P8277" s="85"/>
    </row>
    <row r="8278" spans="11:16">
      <c r="K8278" s="85">
        <v>25</v>
      </c>
      <c r="L8278" s="78"/>
      <c r="M8278" s="78"/>
      <c r="N8278" s="78"/>
      <c r="P8278" s="85"/>
    </row>
    <row r="8279" spans="11:16">
      <c r="K8279" s="85">
        <v>26</v>
      </c>
      <c r="L8279" s="78"/>
      <c r="M8279" s="78"/>
      <c r="N8279" s="78"/>
      <c r="P8279" s="85"/>
    </row>
    <row r="8280" spans="11:16">
      <c r="K8280" s="85">
        <v>27</v>
      </c>
      <c r="L8280" s="78"/>
      <c r="M8280" s="78"/>
      <c r="N8280" s="78"/>
      <c r="P8280" s="85"/>
    </row>
    <row r="8281" spans="11:16">
      <c r="K8281" s="85">
        <v>28</v>
      </c>
      <c r="L8281" s="78"/>
      <c r="M8281" s="78"/>
      <c r="N8281" s="78"/>
      <c r="P8281" s="85"/>
    </row>
    <row r="8282" spans="11:16">
      <c r="K8282" s="85">
        <v>29</v>
      </c>
      <c r="L8282" s="78"/>
      <c r="M8282" s="78"/>
      <c r="N8282" s="78"/>
      <c r="P8282" s="85"/>
    </row>
    <row r="8283" spans="11:16">
      <c r="K8283" s="85">
        <v>30</v>
      </c>
      <c r="L8283" s="78"/>
      <c r="M8283" s="78"/>
      <c r="N8283" s="78"/>
      <c r="P8283" s="85"/>
    </row>
    <row r="8284" spans="11:16">
      <c r="K8284" s="85">
        <v>31</v>
      </c>
      <c r="L8284" s="78"/>
      <c r="M8284" s="78"/>
      <c r="N8284" s="78"/>
      <c r="P8284" s="85"/>
    </row>
    <row r="8285" spans="11:16">
      <c r="K8285" s="85">
        <v>32</v>
      </c>
      <c r="L8285" s="78"/>
      <c r="M8285" s="78"/>
      <c r="N8285" s="78"/>
      <c r="P8285" s="85"/>
    </row>
    <row r="8286" spans="11:16">
      <c r="K8286" s="85">
        <v>33</v>
      </c>
      <c r="L8286" s="78"/>
      <c r="M8286" s="78"/>
      <c r="N8286" s="78"/>
      <c r="P8286" s="85"/>
    </row>
    <row r="8287" spans="11:16">
      <c r="K8287" s="85">
        <v>25</v>
      </c>
      <c r="L8287" s="78"/>
      <c r="M8287" s="78"/>
      <c r="N8287" s="78"/>
      <c r="P8287" s="85"/>
    </row>
    <row r="8288" spans="11:16">
      <c r="K8288" s="85">
        <v>26</v>
      </c>
      <c r="L8288" s="78"/>
      <c r="M8288" s="78"/>
      <c r="N8288" s="78"/>
      <c r="P8288" s="85"/>
    </row>
    <row r="8289" spans="11:16">
      <c r="K8289" s="85">
        <v>27</v>
      </c>
      <c r="L8289" s="78"/>
      <c r="M8289" s="78"/>
      <c r="N8289" s="78"/>
      <c r="P8289" s="85"/>
    </row>
    <row r="8290" spans="11:16">
      <c r="K8290" s="85">
        <v>28</v>
      </c>
      <c r="L8290" s="78"/>
      <c r="M8290" s="78"/>
      <c r="N8290" s="78"/>
      <c r="P8290" s="85"/>
    </row>
    <row r="8291" spans="11:16">
      <c r="K8291" s="85">
        <v>29</v>
      </c>
      <c r="L8291" s="78"/>
      <c r="M8291" s="78"/>
      <c r="N8291" s="78"/>
      <c r="P8291" s="85"/>
    </row>
    <row r="8292" spans="11:16">
      <c r="K8292" s="85">
        <v>30</v>
      </c>
      <c r="L8292" s="78"/>
      <c r="M8292" s="78"/>
      <c r="N8292" s="78"/>
      <c r="P8292" s="85"/>
    </row>
    <row r="8293" spans="11:16">
      <c r="K8293" s="85">
        <v>31</v>
      </c>
      <c r="L8293" s="78"/>
      <c r="M8293" s="78"/>
      <c r="N8293" s="78"/>
      <c r="P8293" s="85"/>
    </row>
    <row r="8294" spans="11:16">
      <c r="K8294" s="85">
        <v>32</v>
      </c>
      <c r="L8294" s="78"/>
      <c r="M8294" s="78"/>
      <c r="N8294" s="78"/>
      <c r="P8294" s="85"/>
    </row>
    <row r="8295" spans="11:16">
      <c r="K8295" s="85">
        <v>34</v>
      </c>
      <c r="L8295" s="78"/>
      <c r="M8295" s="78"/>
      <c r="N8295" s="78"/>
      <c r="P8295" s="85"/>
    </row>
    <row r="8296" spans="11:16">
      <c r="K8296" s="85">
        <v>35</v>
      </c>
      <c r="L8296" s="78"/>
      <c r="M8296" s="78"/>
      <c r="N8296" s="78"/>
      <c r="P8296" s="85"/>
    </row>
    <row r="8297" spans="11:16">
      <c r="K8297" s="85">
        <v>25</v>
      </c>
      <c r="L8297" s="78"/>
      <c r="M8297" s="78"/>
      <c r="N8297" s="78"/>
      <c r="P8297" s="85"/>
    </row>
    <row r="8298" spans="11:16">
      <c r="K8298" s="85">
        <v>26</v>
      </c>
      <c r="L8298" s="78"/>
      <c r="M8298" s="78"/>
      <c r="N8298" s="78"/>
      <c r="P8298" s="85"/>
    </row>
    <row r="8299" spans="11:16">
      <c r="K8299" s="85">
        <v>27</v>
      </c>
      <c r="L8299" s="78"/>
      <c r="M8299" s="78"/>
      <c r="N8299" s="78"/>
      <c r="P8299" s="85"/>
    </row>
    <row r="8300" spans="11:16">
      <c r="K8300" s="85">
        <v>28</v>
      </c>
      <c r="L8300" s="78"/>
      <c r="M8300" s="78"/>
      <c r="N8300" s="78"/>
      <c r="P8300" s="85"/>
    </row>
    <row r="8301" spans="11:16">
      <c r="K8301" s="85">
        <v>29</v>
      </c>
      <c r="L8301" s="78"/>
      <c r="M8301" s="78"/>
      <c r="N8301" s="78"/>
      <c r="P8301" s="85"/>
    </row>
    <row r="8302" spans="11:16">
      <c r="K8302" s="85">
        <v>30</v>
      </c>
      <c r="L8302" s="78"/>
      <c r="M8302" s="78"/>
      <c r="N8302" s="78"/>
      <c r="P8302" s="85"/>
    </row>
    <row r="8303" spans="11:16">
      <c r="K8303" s="85">
        <v>31</v>
      </c>
      <c r="L8303" s="78"/>
      <c r="M8303" s="78"/>
      <c r="N8303" s="78"/>
      <c r="P8303" s="85"/>
    </row>
    <row r="8304" spans="11:16">
      <c r="K8304" s="85">
        <v>32</v>
      </c>
      <c r="L8304" s="78"/>
      <c r="M8304" s="78"/>
      <c r="N8304" s="78"/>
      <c r="P8304" s="85"/>
    </row>
    <row r="8305" spans="11:16">
      <c r="K8305" s="85">
        <v>33</v>
      </c>
      <c r="L8305" s="78"/>
      <c r="M8305" s="78"/>
      <c r="N8305" s="78"/>
      <c r="P8305" s="85"/>
    </row>
    <row r="8306" spans="11:16">
      <c r="K8306" s="85">
        <v>34</v>
      </c>
      <c r="L8306" s="78"/>
      <c r="M8306" s="78"/>
      <c r="N8306" s="78"/>
      <c r="P8306" s="85"/>
    </row>
    <row r="8307" spans="11:16">
      <c r="K8307" s="85">
        <v>25</v>
      </c>
      <c r="L8307" s="78"/>
      <c r="M8307" s="78"/>
      <c r="N8307" s="78"/>
      <c r="P8307" s="85"/>
    </row>
    <row r="8308" spans="11:16">
      <c r="K8308" s="85">
        <v>26</v>
      </c>
      <c r="L8308" s="78"/>
      <c r="M8308" s="78"/>
      <c r="N8308" s="78"/>
      <c r="P8308" s="85"/>
    </row>
    <row r="8309" spans="11:16">
      <c r="K8309" s="85">
        <v>27</v>
      </c>
      <c r="L8309" s="78"/>
      <c r="M8309" s="78"/>
      <c r="N8309" s="78"/>
      <c r="P8309" s="85"/>
    </row>
    <row r="8310" spans="11:16">
      <c r="K8310" s="85">
        <v>30</v>
      </c>
      <c r="L8310" s="78"/>
      <c r="M8310" s="78"/>
      <c r="N8310" s="78"/>
      <c r="P8310" s="85"/>
    </row>
    <row r="8311" spans="11:16">
      <c r="K8311" s="85">
        <v>31</v>
      </c>
      <c r="L8311" s="78"/>
      <c r="M8311" s="78"/>
      <c r="N8311" s="78"/>
      <c r="P8311" s="85"/>
    </row>
    <row r="8312" spans="11:16">
      <c r="K8312" s="85">
        <v>32</v>
      </c>
      <c r="L8312" s="78"/>
      <c r="M8312" s="78"/>
      <c r="N8312" s="78"/>
      <c r="P8312" s="85"/>
    </row>
    <row r="8313" spans="11:16">
      <c r="K8313" s="85">
        <v>34</v>
      </c>
      <c r="L8313" s="78"/>
      <c r="M8313" s="78"/>
      <c r="N8313" s="78"/>
      <c r="P8313" s="85"/>
    </row>
    <row r="8314" spans="11:16">
      <c r="K8314" s="85">
        <v>35</v>
      </c>
      <c r="L8314" s="78"/>
      <c r="M8314" s="78"/>
      <c r="N8314" s="78"/>
      <c r="P8314" s="85"/>
    </row>
    <row r="8315" spans="11:16">
      <c r="K8315" s="85">
        <v>36</v>
      </c>
      <c r="L8315" s="78"/>
      <c r="M8315" s="78"/>
      <c r="N8315" s="78"/>
      <c r="P8315" s="85"/>
    </row>
    <row r="8316" spans="11:16">
      <c r="K8316" s="85">
        <v>27</v>
      </c>
      <c r="L8316" s="78"/>
      <c r="M8316" s="78"/>
      <c r="N8316" s="78"/>
      <c r="P8316" s="85"/>
    </row>
    <row r="8317" spans="11:16">
      <c r="K8317" s="85">
        <v>31</v>
      </c>
      <c r="L8317" s="78"/>
      <c r="M8317" s="78"/>
      <c r="N8317" s="78"/>
      <c r="P8317" s="85"/>
    </row>
    <row r="8318" spans="11:16">
      <c r="K8318" s="85">
        <v>25</v>
      </c>
      <c r="L8318" s="78"/>
      <c r="M8318" s="78"/>
      <c r="N8318" s="78"/>
      <c r="P8318" s="85"/>
    </row>
    <row r="8319" spans="11:16">
      <c r="K8319" s="85">
        <v>26</v>
      </c>
      <c r="L8319" s="78"/>
      <c r="M8319" s="78"/>
      <c r="N8319" s="78"/>
      <c r="P8319" s="85"/>
    </row>
    <row r="8320" spans="11:16">
      <c r="K8320" s="85">
        <v>27</v>
      </c>
      <c r="L8320" s="78"/>
      <c r="M8320" s="78"/>
      <c r="N8320" s="78"/>
      <c r="P8320" s="85"/>
    </row>
    <row r="8321" spans="11:16">
      <c r="K8321" s="85">
        <v>28</v>
      </c>
      <c r="L8321" s="78"/>
      <c r="M8321" s="78"/>
      <c r="N8321" s="78"/>
      <c r="P8321" s="85"/>
    </row>
    <row r="8322" spans="11:16">
      <c r="K8322" s="85">
        <v>30</v>
      </c>
      <c r="L8322" s="78"/>
      <c r="M8322" s="78"/>
      <c r="N8322" s="78"/>
      <c r="P8322" s="85"/>
    </row>
    <row r="8323" spans="11:16">
      <c r="K8323" s="85">
        <v>31</v>
      </c>
      <c r="L8323" s="78"/>
      <c r="M8323" s="78"/>
      <c r="N8323" s="78"/>
      <c r="P8323" s="85"/>
    </row>
    <row r="8324" spans="11:16">
      <c r="K8324" s="85">
        <v>32</v>
      </c>
      <c r="L8324" s="78"/>
      <c r="M8324" s="78"/>
      <c r="N8324" s="78"/>
      <c r="P8324" s="85"/>
    </row>
    <row r="8325" spans="11:16">
      <c r="K8325" s="85">
        <v>33</v>
      </c>
      <c r="L8325" s="78"/>
      <c r="M8325" s="78"/>
      <c r="N8325" s="78"/>
      <c r="P8325" s="85"/>
    </row>
    <row r="8326" spans="11:16">
      <c r="K8326" s="85">
        <v>34</v>
      </c>
      <c r="L8326" s="78"/>
      <c r="M8326" s="78"/>
      <c r="N8326" s="78"/>
      <c r="P8326" s="85"/>
    </row>
    <row r="8327" spans="11:16">
      <c r="K8327" s="85">
        <v>35</v>
      </c>
      <c r="L8327" s="78"/>
      <c r="M8327" s="78"/>
      <c r="N8327" s="78"/>
      <c r="P8327" s="85"/>
    </row>
    <row r="8328" spans="11:16">
      <c r="K8328" s="85">
        <v>36</v>
      </c>
      <c r="L8328" s="78"/>
      <c r="M8328" s="78"/>
      <c r="N8328" s="78"/>
      <c r="P8328" s="85"/>
    </row>
    <row r="8329" spans="11:16">
      <c r="K8329" s="85">
        <v>25</v>
      </c>
      <c r="L8329" s="78"/>
      <c r="M8329" s="78"/>
      <c r="N8329" s="78"/>
      <c r="P8329" s="85"/>
    </row>
    <row r="8330" spans="11:16">
      <c r="K8330" s="85">
        <v>26</v>
      </c>
      <c r="L8330" s="78"/>
      <c r="M8330" s="78"/>
      <c r="N8330" s="78"/>
      <c r="P8330" s="85"/>
    </row>
    <row r="8331" spans="11:16">
      <c r="K8331" s="85">
        <v>27</v>
      </c>
      <c r="L8331" s="78"/>
      <c r="M8331" s="78"/>
      <c r="N8331" s="78"/>
      <c r="P8331" s="85"/>
    </row>
    <row r="8332" spans="11:16">
      <c r="K8332" s="85">
        <v>28</v>
      </c>
      <c r="L8332" s="78"/>
      <c r="M8332" s="78"/>
      <c r="N8332" s="78"/>
      <c r="P8332" s="85"/>
    </row>
    <row r="8333" spans="11:16">
      <c r="K8333" s="85">
        <v>29</v>
      </c>
      <c r="L8333" s="78"/>
      <c r="M8333" s="78"/>
      <c r="N8333" s="78"/>
      <c r="P8333" s="85"/>
    </row>
    <row r="8334" spans="11:16">
      <c r="K8334" s="85">
        <v>30</v>
      </c>
      <c r="L8334" s="78"/>
      <c r="M8334" s="78"/>
      <c r="N8334" s="78"/>
      <c r="P8334" s="85"/>
    </row>
    <row r="8335" spans="11:16">
      <c r="K8335" s="85">
        <v>31</v>
      </c>
      <c r="L8335" s="78"/>
      <c r="M8335" s="78"/>
      <c r="N8335" s="78"/>
      <c r="P8335" s="85"/>
    </row>
    <row r="8336" spans="11:16">
      <c r="K8336" s="85">
        <v>32</v>
      </c>
      <c r="L8336" s="78"/>
      <c r="M8336" s="78"/>
      <c r="N8336" s="78"/>
      <c r="P8336" s="85"/>
    </row>
    <row r="8337" spans="11:16">
      <c r="K8337" s="85">
        <v>34</v>
      </c>
      <c r="L8337" s="78"/>
      <c r="M8337" s="78"/>
      <c r="N8337" s="78"/>
      <c r="P8337" s="85"/>
    </row>
    <row r="8338" spans="11:16">
      <c r="K8338" s="85">
        <v>35</v>
      </c>
      <c r="L8338" s="78"/>
      <c r="M8338" s="78"/>
      <c r="N8338" s="78"/>
      <c r="P8338" s="85"/>
    </row>
    <row r="8339" spans="11:16">
      <c r="K8339" s="85">
        <v>36</v>
      </c>
      <c r="L8339" s="78"/>
      <c r="M8339" s="78"/>
      <c r="N8339" s="78"/>
      <c r="P8339" s="85"/>
    </row>
    <row r="8340" spans="11:16">
      <c r="K8340" s="85">
        <v>25</v>
      </c>
      <c r="L8340" s="78"/>
      <c r="M8340" s="78"/>
      <c r="N8340" s="78"/>
      <c r="P8340" s="85"/>
    </row>
    <row r="8341" spans="11:16">
      <c r="K8341" s="85">
        <v>26</v>
      </c>
      <c r="L8341" s="78"/>
      <c r="M8341" s="78"/>
      <c r="N8341" s="78"/>
      <c r="P8341" s="85"/>
    </row>
    <row r="8342" spans="11:16">
      <c r="K8342" s="85">
        <v>27</v>
      </c>
      <c r="L8342" s="78"/>
      <c r="M8342" s="78"/>
      <c r="N8342" s="78"/>
      <c r="P8342" s="85"/>
    </row>
    <row r="8343" spans="11:16">
      <c r="K8343" s="85">
        <v>28</v>
      </c>
      <c r="L8343" s="78"/>
      <c r="M8343" s="78"/>
      <c r="N8343" s="78"/>
      <c r="P8343" s="85"/>
    </row>
    <row r="8344" spans="11:16">
      <c r="K8344" s="85">
        <v>29</v>
      </c>
      <c r="L8344" s="78"/>
      <c r="M8344" s="78"/>
      <c r="N8344" s="78"/>
      <c r="P8344" s="85"/>
    </row>
    <row r="8345" spans="11:16">
      <c r="K8345" s="85">
        <v>30</v>
      </c>
      <c r="L8345" s="78"/>
      <c r="M8345" s="78"/>
      <c r="N8345" s="78"/>
      <c r="P8345" s="85"/>
    </row>
    <row r="8346" spans="11:16">
      <c r="K8346" s="85">
        <v>31</v>
      </c>
      <c r="L8346" s="78"/>
      <c r="M8346" s="78"/>
      <c r="N8346" s="78"/>
      <c r="P8346" s="85"/>
    </row>
    <row r="8347" spans="11:16">
      <c r="K8347" s="85">
        <v>32</v>
      </c>
      <c r="L8347" s="78"/>
      <c r="M8347" s="78"/>
      <c r="N8347" s="78"/>
      <c r="P8347" s="85"/>
    </row>
    <row r="8348" spans="11:16">
      <c r="K8348" s="85">
        <v>33</v>
      </c>
      <c r="L8348" s="78"/>
      <c r="M8348" s="78"/>
      <c r="N8348" s="78"/>
      <c r="P8348" s="85"/>
    </row>
    <row r="8349" spans="11:16">
      <c r="K8349" s="85">
        <v>34</v>
      </c>
      <c r="L8349" s="78"/>
      <c r="M8349" s="78"/>
      <c r="N8349" s="78"/>
      <c r="P8349" s="85"/>
    </row>
    <row r="8350" spans="11:16">
      <c r="K8350" s="85">
        <v>35</v>
      </c>
      <c r="L8350" s="78"/>
      <c r="M8350" s="78"/>
      <c r="N8350" s="78"/>
      <c r="P8350" s="85"/>
    </row>
    <row r="8351" spans="11:16">
      <c r="K8351" s="85">
        <v>36</v>
      </c>
      <c r="L8351" s="78"/>
      <c r="M8351" s="78"/>
      <c r="N8351" s="78"/>
      <c r="P8351" s="85"/>
    </row>
    <row r="8352" spans="11:16">
      <c r="K8352" s="85">
        <v>25</v>
      </c>
      <c r="L8352" s="78"/>
      <c r="M8352" s="78"/>
      <c r="N8352" s="78"/>
      <c r="P8352" s="85"/>
    </row>
    <row r="8353" spans="11:16">
      <c r="K8353" s="85">
        <v>26</v>
      </c>
      <c r="L8353" s="78"/>
      <c r="M8353" s="78"/>
      <c r="N8353" s="78"/>
      <c r="P8353" s="85"/>
    </row>
    <row r="8354" spans="11:16">
      <c r="K8354" s="85">
        <v>27</v>
      </c>
      <c r="L8354" s="78"/>
      <c r="M8354" s="78"/>
      <c r="N8354" s="78"/>
      <c r="P8354" s="85"/>
    </row>
    <row r="8355" spans="11:16">
      <c r="K8355" s="85">
        <v>28</v>
      </c>
      <c r="L8355" s="78"/>
      <c r="M8355" s="78"/>
      <c r="N8355" s="78"/>
      <c r="P8355" s="85"/>
    </row>
    <row r="8356" spans="11:16">
      <c r="K8356" s="85">
        <v>29</v>
      </c>
      <c r="L8356" s="78"/>
      <c r="M8356" s="78"/>
      <c r="N8356" s="78"/>
      <c r="P8356" s="85"/>
    </row>
    <row r="8357" spans="11:16">
      <c r="K8357" s="85">
        <v>30</v>
      </c>
      <c r="L8357" s="78"/>
      <c r="M8357" s="78"/>
      <c r="N8357" s="78"/>
      <c r="P8357" s="85"/>
    </row>
    <row r="8358" spans="11:16">
      <c r="K8358" s="85">
        <v>31</v>
      </c>
      <c r="L8358" s="78"/>
      <c r="M8358" s="78"/>
      <c r="N8358" s="78"/>
      <c r="P8358" s="85"/>
    </row>
    <row r="8359" spans="11:16">
      <c r="K8359" s="85">
        <v>32</v>
      </c>
      <c r="L8359" s="78"/>
      <c r="M8359" s="78"/>
      <c r="N8359" s="78"/>
      <c r="P8359" s="85"/>
    </row>
    <row r="8360" spans="11:16">
      <c r="K8360" s="85">
        <v>34</v>
      </c>
      <c r="L8360" s="78"/>
      <c r="M8360" s="78"/>
      <c r="N8360" s="78"/>
      <c r="P8360" s="85"/>
    </row>
    <row r="8361" spans="11:16">
      <c r="K8361" s="85">
        <v>35</v>
      </c>
      <c r="L8361" s="78"/>
      <c r="M8361" s="78"/>
      <c r="N8361" s="78"/>
      <c r="P8361" s="85"/>
    </row>
    <row r="8362" spans="11:16">
      <c r="K8362" s="85">
        <v>36</v>
      </c>
      <c r="L8362" s="78"/>
      <c r="M8362" s="78"/>
      <c r="N8362" s="78"/>
      <c r="P8362" s="85"/>
    </row>
    <row r="8363" spans="11:16">
      <c r="K8363" s="85">
        <v>25</v>
      </c>
      <c r="L8363" s="78"/>
      <c r="M8363" s="78"/>
      <c r="N8363" s="78"/>
      <c r="P8363" s="85"/>
    </row>
    <row r="8364" spans="11:16">
      <c r="K8364" s="85">
        <v>27</v>
      </c>
      <c r="L8364" s="78"/>
      <c r="M8364" s="78"/>
      <c r="N8364" s="78"/>
      <c r="P8364" s="85"/>
    </row>
    <row r="8365" spans="11:16">
      <c r="K8365" s="85">
        <v>30</v>
      </c>
      <c r="L8365" s="78"/>
      <c r="M8365" s="78"/>
      <c r="N8365" s="78"/>
      <c r="P8365" s="85"/>
    </row>
    <row r="8366" spans="11:16">
      <c r="K8366" s="85">
        <v>31</v>
      </c>
      <c r="L8366" s="78"/>
      <c r="M8366" s="78"/>
      <c r="N8366" s="78"/>
      <c r="P8366" s="85"/>
    </row>
    <row r="8367" spans="11:16">
      <c r="K8367" s="85">
        <v>32</v>
      </c>
      <c r="L8367" s="78"/>
      <c r="M8367" s="78"/>
      <c r="N8367" s="78"/>
      <c r="P8367" s="85"/>
    </row>
    <row r="8368" spans="11:16">
      <c r="K8368" s="85">
        <v>34</v>
      </c>
      <c r="L8368" s="78"/>
      <c r="M8368" s="78"/>
      <c r="N8368" s="78"/>
      <c r="P8368" s="85"/>
    </row>
    <row r="8369" spans="11:16">
      <c r="K8369" s="85">
        <v>35</v>
      </c>
      <c r="L8369" s="78"/>
      <c r="M8369" s="78"/>
      <c r="N8369" s="78"/>
      <c r="P8369" s="85"/>
    </row>
    <row r="8370" spans="11:16">
      <c r="K8370" s="85">
        <v>25</v>
      </c>
      <c r="L8370" s="78"/>
      <c r="M8370" s="78"/>
      <c r="N8370" s="78"/>
      <c r="P8370" s="85"/>
    </row>
    <row r="8371" spans="11:16">
      <c r="K8371" s="85">
        <v>26</v>
      </c>
      <c r="L8371" s="78"/>
      <c r="M8371" s="78"/>
      <c r="N8371" s="78"/>
      <c r="P8371" s="85"/>
    </row>
    <row r="8372" spans="11:16">
      <c r="K8372" s="85">
        <v>27</v>
      </c>
      <c r="L8372" s="78"/>
      <c r="M8372" s="78"/>
      <c r="N8372" s="78"/>
      <c r="P8372" s="85"/>
    </row>
    <row r="8373" spans="11:16">
      <c r="K8373" s="85">
        <v>28</v>
      </c>
      <c r="L8373" s="78"/>
      <c r="M8373" s="78"/>
      <c r="N8373" s="78"/>
      <c r="P8373" s="85"/>
    </row>
    <row r="8374" spans="11:16">
      <c r="K8374" s="85">
        <v>29</v>
      </c>
      <c r="L8374" s="78"/>
      <c r="M8374" s="78"/>
      <c r="N8374" s="78"/>
      <c r="P8374" s="85"/>
    </row>
    <row r="8375" spans="11:16">
      <c r="K8375" s="85">
        <v>30</v>
      </c>
      <c r="L8375" s="78"/>
      <c r="M8375" s="78"/>
      <c r="N8375" s="78"/>
      <c r="P8375" s="85"/>
    </row>
    <row r="8376" spans="11:16">
      <c r="K8376" s="85">
        <v>31</v>
      </c>
      <c r="L8376" s="78"/>
      <c r="M8376" s="78"/>
      <c r="N8376" s="78"/>
      <c r="P8376" s="85"/>
    </row>
    <row r="8377" spans="11:16">
      <c r="K8377" s="85">
        <v>32</v>
      </c>
      <c r="L8377" s="78"/>
      <c r="M8377" s="78"/>
      <c r="N8377" s="78"/>
      <c r="P8377" s="85"/>
    </row>
    <row r="8378" spans="11:16">
      <c r="K8378" s="85">
        <v>33</v>
      </c>
      <c r="L8378" s="78"/>
      <c r="M8378" s="78"/>
      <c r="N8378" s="78"/>
      <c r="P8378" s="85"/>
    </row>
    <row r="8379" spans="11:16">
      <c r="K8379" s="85">
        <v>34</v>
      </c>
      <c r="L8379" s="78"/>
      <c r="M8379" s="78"/>
      <c r="N8379" s="78"/>
      <c r="P8379" s="85"/>
    </row>
    <row r="8380" spans="11:16">
      <c r="K8380" s="85">
        <v>35</v>
      </c>
      <c r="L8380" s="78"/>
      <c r="M8380" s="78"/>
      <c r="N8380" s="78"/>
      <c r="P8380" s="85"/>
    </row>
    <row r="8381" spans="11:16">
      <c r="K8381" s="85">
        <v>36</v>
      </c>
      <c r="L8381" s="78"/>
      <c r="M8381" s="78"/>
      <c r="N8381" s="78"/>
      <c r="P8381" s="85"/>
    </row>
    <row r="8382" spans="11:16">
      <c r="K8382" s="85">
        <v>26</v>
      </c>
      <c r="L8382" s="78"/>
      <c r="M8382" s="78"/>
      <c r="N8382" s="78"/>
      <c r="P8382" s="85"/>
    </row>
    <row r="8383" spans="11:16">
      <c r="K8383" s="85">
        <v>27</v>
      </c>
      <c r="L8383" s="78"/>
      <c r="M8383" s="78"/>
      <c r="N8383" s="78"/>
      <c r="P8383" s="85"/>
    </row>
    <row r="8384" spans="11:16">
      <c r="K8384" s="85">
        <v>28</v>
      </c>
      <c r="L8384" s="78"/>
      <c r="M8384" s="78"/>
      <c r="N8384" s="78"/>
      <c r="P8384" s="85"/>
    </row>
    <row r="8385" spans="11:16">
      <c r="K8385" s="85">
        <v>30</v>
      </c>
      <c r="L8385" s="78"/>
      <c r="M8385" s="78"/>
      <c r="N8385" s="78"/>
      <c r="P8385" s="85"/>
    </row>
    <row r="8386" spans="11:16">
      <c r="K8386" s="85">
        <v>31</v>
      </c>
      <c r="L8386" s="78"/>
      <c r="M8386" s="78"/>
      <c r="N8386" s="78"/>
      <c r="P8386" s="85"/>
    </row>
    <row r="8387" spans="11:16">
      <c r="K8387" s="85">
        <v>32</v>
      </c>
      <c r="L8387" s="78"/>
      <c r="M8387" s="78"/>
      <c r="N8387" s="78"/>
      <c r="P8387" s="85"/>
    </row>
    <row r="8388" spans="11:16">
      <c r="K8388" s="85">
        <v>33</v>
      </c>
      <c r="L8388" s="78"/>
      <c r="M8388" s="78"/>
      <c r="N8388" s="78"/>
      <c r="P8388" s="85"/>
    </row>
    <row r="8389" spans="11:16">
      <c r="K8389" s="85">
        <v>34</v>
      </c>
      <c r="L8389" s="78"/>
      <c r="M8389" s="78"/>
      <c r="N8389" s="78"/>
      <c r="P8389" s="85"/>
    </row>
    <row r="8390" spans="11:16">
      <c r="K8390" s="85">
        <v>35</v>
      </c>
      <c r="L8390" s="78"/>
      <c r="M8390" s="78"/>
      <c r="N8390" s="78"/>
      <c r="P8390" s="85"/>
    </row>
    <row r="8391" spans="11:16">
      <c r="K8391" s="85">
        <v>25</v>
      </c>
      <c r="L8391" s="78"/>
      <c r="M8391" s="78"/>
      <c r="N8391" s="78"/>
      <c r="P8391" s="85"/>
    </row>
    <row r="8392" spans="11:16">
      <c r="K8392" s="85">
        <v>26</v>
      </c>
      <c r="L8392" s="78"/>
      <c r="M8392" s="78"/>
      <c r="N8392" s="78"/>
      <c r="P8392" s="85"/>
    </row>
    <row r="8393" spans="11:16">
      <c r="K8393" s="85">
        <v>28</v>
      </c>
      <c r="L8393" s="78"/>
      <c r="M8393" s="78"/>
      <c r="N8393" s="78"/>
      <c r="P8393" s="85"/>
    </row>
    <row r="8394" spans="11:16">
      <c r="K8394" s="85">
        <v>29</v>
      </c>
      <c r="L8394" s="78"/>
      <c r="M8394" s="78"/>
      <c r="N8394" s="78"/>
      <c r="P8394" s="85"/>
    </row>
    <row r="8395" spans="11:16">
      <c r="K8395" s="85">
        <v>30</v>
      </c>
      <c r="L8395" s="78"/>
      <c r="M8395" s="78"/>
      <c r="N8395" s="78"/>
      <c r="P8395" s="85"/>
    </row>
    <row r="8396" spans="11:16">
      <c r="K8396" s="85">
        <v>25</v>
      </c>
      <c r="L8396" s="78"/>
      <c r="M8396" s="78"/>
      <c r="N8396" s="78"/>
      <c r="P8396" s="85"/>
    </row>
    <row r="8397" spans="11:16">
      <c r="K8397" s="85">
        <v>26</v>
      </c>
      <c r="L8397" s="78"/>
      <c r="M8397" s="78"/>
      <c r="N8397" s="78"/>
      <c r="P8397" s="85"/>
    </row>
    <row r="8398" spans="11:16">
      <c r="K8398" s="85">
        <v>27</v>
      </c>
      <c r="L8398" s="78"/>
      <c r="M8398" s="78"/>
      <c r="N8398" s="78"/>
      <c r="P8398" s="85"/>
    </row>
    <row r="8399" spans="11:16">
      <c r="K8399" s="85">
        <v>28</v>
      </c>
      <c r="L8399" s="78"/>
      <c r="M8399" s="78"/>
      <c r="N8399" s="78"/>
      <c r="P8399" s="85"/>
    </row>
    <row r="8400" spans="11:16">
      <c r="K8400" s="85">
        <v>29</v>
      </c>
      <c r="L8400" s="78"/>
      <c r="M8400" s="78"/>
      <c r="N8400" s="78"/>
      <c r="P8400" s="85"/>
    </row>
    <row r="8401" spans="11:16">
      <c r="K8401" s="85">
        <v>31</v>
      </c>
      <c r="L8401" s="78"/>
      <c r="M8401" s="78"/>
      <c r="N8401" s="78"/>
      <c r="P8401" s="85"/>
    </row>
    <row r="8402" spans="11:16">
      <c r="K8402" s="85">
        <v>32</v>
      </c>
      <c r="L8402" s="78"/>
      <c r="M8402" s="78"/>
      <c r="N8402" s="78"/>
      <c r="P8402" s="85"/>
    </row>
    <row r="8403" spans="11:16">
      <c r="K8403" s="85">
        <v>33</v>
      </c>
      <c r="L8403" s="78"/>
      <c r="M8403" s="78"/>
      <c r="N8403" s="78"/>
      <c r="P8403" s="85"/>
    </row>
    <row r="8404" spans="11:16">
      <c r="K8404" s="85">
        <v>35</v>
      </c>
      <c r="L8404" s="78"/>
      <c r="M8404" s="78"/>
      <c r="N8404" s="78"/>
      <c r="P8404" s="85"/>
    </row>
    <row r="8405" spans="11:16">
      <c r="K8405" s="85">
        <v>36</v>
      </c>
      <c r="L8405" s="78"/>
      <c r="M8405" s="78"/>
      <c r="N8405" s="78"/>
      <c r="P8405" s="85"/>
    </row>
    <row r="8406" spans="11:16">
      <c r="K8406" s="85">
        <v>27</v>
      </c>
      <c r="L8406" s="78"/>
      <c r="M8406" s="78"/>
      <c r="N8406" s="78"/>
      <c r="P8406" s="85"/>
    </row>
    <row r="8407" spans="11:16">
      <c r="K8407" s="85">
        <v>30</v>
      </c>
      <c r="L8407" s="78"/>
      <c r="M8407" s="78"/>
      <c r="N8407" s="78"/>
      <c r="P8407" s="85"/>
    </row>
    <row r="8408" spans="11:16">
      <c r="K8408" s="85">
        <v>31</v>
      </c>
      <c r="L8408" s="78"/>
      <c r="M8408" s="78"/>
      <c r="N8408" s="78"/>
      <c r="P8408" s="85"/>
    </row>
    <row r="8409" spans="11:16">
      <c r="K8409" s="85">
        <v>34</v>
      </c>
      <c r="L8409" s="78"/>
      <c r="M8409" s="78"/>
      <c r="N8409" s="78"/>
      <c r="P8409" s="85"/>
    </row>
    <row r="8410" spans="11:16">
      <c r="K8410" s="85">
        <v>35</v>
      </c>
      <c r="L8410" s="78"/>
      <c r="M8410" s="78"/>
      <c r="N8410" s="78"/>
      <c r="P8410" s="85"/>
    </row>
    <row r="8411" spans="11:16">
      <c r="K8411" s="85">
        <v>25</v>
      </c>
      <c r="L8411" s="78"/>
      <c r="M8411" s="78"/>
      <c r="N8411" s="78"/>
      <c r="P8411" s="85"/>
    </row>
    <row r="8412" spans="11:16">
      <c r="K8412" s="85">
        <v>26</v>
      </c>
      <c r="L8412" s="78"/>
      <c r="M8412" s="78"/>
      <c r="N8412" s="78"/>
      <c r="P8412" s="85"/>
    </row>
    <row r="8413" spans="11:16">
      <c r="K8413" s="85">
        <v>27</v>
      </c>
      <c r="L8413" s="78"/>
      <c r="M8413" s="78"/>
      <c r="N8413" s="78"/>
      <c r="P8413" s="85"/>
    </row>
    <row r="8414" spans="11:16">
      <c r="K8414" s="85">
        <v>28</v>
      </c>
      <c r="L8414" s="78"/>
      <c r="M8414" s="78"/>
      <c r="N8414" s="78"/>
      <c r="P8414" s="85"/>
    </row>
    <row r="8415" spans="11:16">
      <c r="K8415" s="85">
        <v>29</v>
      </c>
      <c r="L8415" s="78"/>
      <c r="M8415" s="78"/>
      <c r="N8415" s="78"/>
      <c r="P8415" s="85"/>
    </row>
    <row r="8416" spans="11:16">
      <c r="K8416" s="85">
        <v>30</v>
      </c>
      <c r="L8416" s="78"/>
      <c r="M8416" s="78"/>
      <c r="N8416" s="78"/>
      <c r="P8416" s="85"/>
    </row>
    <row r="8417" spans="11:16">
      <c r="K8417" s="85">
        <v>31</v>
      </c>
      <c r="L8417" s="78"/>
      <c r="M8417" s="78"/>
      <c r="N8417" s="78"/>
      <c r="P8417" s="85"/>
    </row>
    <row r="8418" spans="11:16">
      <c r="K8418" s="85">
        <v>32</v>
      </c>
      <c r="L8418" s="78"/>
      <c r="M8418" s="78"/>
      <c r="N8418" s="78"/>
      <c r="P8418" s="85"/>
    </row>
    <row r="8419" spans="11:16">
      <c r="K8419" s="85">
        <v>33</v>
      </c>
      <c r="L8419" s="78"/>
      <c r="M8419" s="78"/>
      <c r="N8419" s="78"/>
      <c r="P8419" s="85"/>
    </row>
    <row r="8420" spans="11:16">
      <c r="K8420" s="85">
        <v>35</v>
      </c>
      <c r="L8420" s="78"/>
      <c r="M8420" s="78"/>
      <c r="N8420" s="78"/>
      <c r="P8420" s="85"/>
    </row>
    <row r="8421" spans="11:16">
      <c r="K8421" s="85">
        <v>36</v>
      </c>
      <c r="L8421" s="78"/>
      <c r="M8421" s="78"/>
      <c r="N8421" s="78"/>
      <c r="P8421" s="85"/>
    </row>
    <row r="8422" spans="11:16">
      <c r="K8422" s="85">
        <v>25</v>
      </c>
      <c r="L8422" s="78"/>
      <c r="M8422" s="78"/>
      <c r="N8422" s="78"/>
      <c r="P8422" s="85"/>
    </row>
    <row r="8423" spans="11:16">
      <c r="K8423" s="85">
        <v>26</v>
      </c>
      <c r="L8423" s="78"/>
      <c r="M8423" s="78"/>
      <c r="N8423" s="78"/>
      <c r="P8423" s="85"/>
    </row>
    <row r="8424" spans="11:16">
      <c r="K8424" s="85">
        <v>27</v>
      </c>
      <c r="L8424" s="78"/>
      <c r="M8424" s="78"/>
      <c r="N8424" s="78"/>
      <c r="P8424" s="85"/>
    </row>
    <row r="8425" spans="11:16">
      <c r="K8425" s="85">
        <v>28</v>
      </c>
      <c r="L8425" s="78"/>
      <c r="M8425" s="78"/>
      <c r="N8425" s="78"/>
      <c r="P8425" s="85"/>
    </row>
    <row r="8426" spans="11:16">
      <c r="K8426" s="85">
        <v>29</v>
      </c>
      <c r="L8426" s="78"/>
      <c r="M8426" s="78"/>
      <c r="N8426" s="78"/>
      <c r="P8426" s="85"/>
    </row>
    <row r="8427" spans="11:16">
      <c r="K8427" s="85">
        <v>30</v>
      </c>
      <c r="L8427" s="78"/>
      <c r="M8427" s="78"/>
      <c r="N8427" s="78"/>
      <c r="P8427" s="85"/>
    </row>
    <row r="8428" spans="11:16">
      <c r="K8428" s="85">
        <v>31</v>
      </c>
      <c r="L8428" s="78"/>
      <c r="M8428" s="78"/>
      <c r="N8428" s="78"/>
      <c r="P8428" s="85"/>
    </row>
    <row r="8429" spans="11:16">
      <c r="K8429" s="85">
        <v>32</v>
      </c>
      <c r="L8429" s="78"/>
      <c r="M8429" s="78"/>
      <c r="N8429" s="78"/>
      <c r="P8429" s="85"/>
    </row>
    <row r="8430" spans="11:16">
      <c r="K8430" s="85">
        <v>33</v>
      </c>
      <c r="L8430" s="78"/>
      <c r="M8430" s="78"/>
      <c r="N8430" s="78"/>
      <c r="P8430" s="85"/>
    </row>
    <row r="8431" spans="11:16">
      <c r="K8431" s="85">
        <v>34</v>
      </c>
      <c r="L8431" s="78"/>
      <c r="M8431" s="78"/>
      <c r="N8431" s="78"/>
      <c r="P8431" s="85"/>
    </row>
    <row r="8432" spans="11:16">
      <c r="K8432" s="85">
        <v>35</v>
      </c>
      <c r="L8432" s="78"/>
      <c r="M8432" s="78"/>
      <c r="N8432" s="78"/>
      <c r="P8432" s="85"/>
    </row>
    <row r="8433" spans="11:16">
      <c r="K8433" s="85">
        <v>36</v>
      </c>
      <c r="L8433" s="78"/>
      <c r="M8433" s="78"/>
      <c r="N8433" s="78"/>
      <c r="P8433" s="85"/>
    </row>
    <row r="8434" spans="11:16">
      <c r="K8434" s="85">
        <v>25</v>
      </c>
      <c r="L8434" s="78"/>
      <c r="M8434" s="78"/>
      <c r="N8434" s="78"/>
      <c r="P8434" s="85"/>
    </row>
    <row r="8435" spans="11:16">
      <c r="K8435" s="85">
        <v>26</v>
      </c>
      <c r="L8435" s="78"/>
      <c r="M8435" s="78"/>
      <c r="N8435" s="78"/>
      <c r="P8435" s="85"/>
    </row>
    <row r="8436" spans="11:16">
      <c r="K8436" s="85">
        <v>27</v>
      </c>
      <c r="L8436" s="78"/>
      <c r="M8436" s="78"/>
      <c r="N8436" s="78"/>
      <c r="P8436" s="85"/>
    </row>
    <row r="8437" spans="11:16">
      <c r="K8437" s="85">
        <v>28</v>
      </c>
      <c r="L8437" s="78"/>
      <c r="M8437" s="78"/>
      <c r="N8437" s="78"/>
      <c r="P8437" s="85"/>
    </row>
    <row r="8438" spans="11:16">
      <c r="K8438" s="85">
        <v>29</v>
      </c>
      <c r="L8438" s="78"/>
      <c r="M8438" s="78"/>
      <c r="N8438" s="78"/>
      <c r="P8438" s="85"/>
    </row>
    <row r="8439" spans="11:16">
      <c r="K8439" s="85">
        <v>30</v>
      </c>
      <c r="L8439" s="78"/>
      <c r="M8439" s="78"/>
      <c r="N8439" s="78"/>
      <c r="P8439" s="85"/>
    </row>
    <row r="8440" spans="11:16">
      <c r="K8440" s="85">
        <v>31</v>
      </c>
      <c r="L8440" s="78"/>
      <c r="M8440" s="78"/>
      <c r="N8440" s="78"/>
      <c r="P8440" s="85"/>
    </row>
    <row r="8441" spans="11:16">
      <c r="K8441" s="85">
        <v>32</v>
      </c>
      <c r="L8441" s="78"/>
      <c r="M8441" s="78"/>
      <c r="N8441" s="78"/>
      <c r="P8441" s="85"/>
    </row>
    <row r="8442" spans="11:16">
      <c r="K8442" s="85">
        <v>34</v>
      </c>
      <c r="L8442" s="78"/>
      <c r="M8442" s="78"/>
      <c r="N8442" s="78"/>
      <c r="P8442" s="85"/>
    </row>
    <row r="8443" spans="11:16">
      <c r="K8443" s="85">
        <v>35</v>
      </c>
      <c r="L8443" s="78"/>
      <c r="M8443" s="78"/>
      <c r="N8443" s="78"/>
      <c r="P8443" s="85"/>
    </row>
    <row r="8444" spans="11:16">
      <c r="K8444" s="85">
        <v>36</v>
      </c>
      <c r="L8444" s="78"/>
      <c r="M8444" s="78"/>
      <c r="N8444" s="78"/>
      <c r="P8444" s="85"/>
    </row>
    <row r="8445" spans="11:16">
      <c r="K8445" s="85">
        <v>25</v>
      </c>
      <c r="L8445" s="78"/>
      <c r="M8445" s="78"/>
      <c r="N8445" s="78"/>
      <c r="P8445" s="85"/>
    </row>
    <row r="8446" spans="11:16">
      <c r="K8446" s="85">
        <v>26</v>
      </c>
      <c r="L8446" s="78"/>
      <c r="M8446" s="78"/>
      <c r="N8446" s="78"/>
      <c r="P8446" s="85"/>
    </row>
    <row r="8447" spans="11:16">
      <c r="K8447" s="85">
        <v>27</v>
      </c>
      <c r="L8447" s="78"/>
      <c r="M8447" s="78"/>
      <c r="N8447" s="78"/>
      <c r="P8447" s="85"/>
    </row>
    <row r="8448" spans="11:16">
      <c r="K8448" s="85">
        <v>28</v>
      </c>
      <c r="L8448" s="78"/>
      <c r="M8448" s="78"/>
      <c r="N8448" s="78"/>
      <c r="P8448" s="85"/>
    </row>
    <row r="8449" spans="11:16">
      <c r="K8449" s="85">
        <v>29</v>
      </c>
      <c r="L8449" s="78"/>
      <c r="M8449" s="78"/>
      <c r="N8449" s="78"/>
      <c r="P8449" s="85"/>
    </row>
    <row r="8450" spans="11:16">
      <c r="K8450" s="85">
        <v>30</v>
      </c>
      <c r="L8450" s="78"/>
      <c r="M8450" s="78"/>
      <c r="N8450" s="78"/>
      <c r="P8450" s="85"/>
    </row>
    <row r="8451" spans="11:16">
      <c r="K8451" s="85">
        <v>31</v>
      </c>
      <c r="L8451" s="78"/>
      <c r="M8451" s="78"/>
      <c r="N8451" s="78"/>
      <c r="P8451" s="85"/>
    </row>
    <row r="8452" spans="11:16">
      <c r="K8452" s="85">
        <v>32</v>
      </c>
      <c r="L8452" s="78"/>
      <c r="M8452" s="78"/>
      <c r="N8452" s="78"/>
      <c r="P8452" s="85"/>
    </row>
    <row r="8453" spans="11:16">
      <c r="K8453" s="85">
        <v>34</v>
      </c>
      <c r="L8453" s="78"/>
      <c r="M8453" s="78"/>
      <c r="N8453" s="78"/>
      <c r="P8453" s="85"/>
    </row>
    <row r="8454" spans="11:16">
      <c r="K8454" s="85">
        <v>35</v>
      </c>
      <c r="L8454" s="78"/>
      <c r="M8454" s="78"/>
      <c r="N8454" s="78"/>
      <c r="P8454" s="85"/>
    </row>
    <row r="8455" spans="11:16">
      <c r="K8455" s="85">
        <v>36</v>
      </c>
      <c r="L8455" s="78"/>
      <c r="M8455" s="78"/>
      <c r="N8455" s="78"/>
      <c r="P8455" s="85"/>
    </row>
    <row r="8456" spans="11:16">
      <c r="K8456" s="85">
        <v>26</v>
      </c>
      <c r="L8456" s="78"/>
      <c r="M8456" s="78"/>
      <c r="N8456" s="78"/>
      <c r="P8456" s="85"/>
    </row>
    <row r="8457" spans="11:16">
      <c r="K8457" s="85">
        <v>27</v>
      </c>
      <c r="L8457" s="78"/>
      <c r="M8457" s="78"/>
      <c r="N8457" s="78"/>
      <c r="P8457" s="85"/>
    </row>
    <row r="8458" spans="11:16">
      <c r="K8458" s="85">
        <v>28</v>
      </c>
      <c r="L8458" s="78"/>
      <c r="M8458" s="78"/>
      <c r="N8458" s="78"/>
      <c r="P8458" s="85"/>
    </row>
    <row r="8459" spans="11:16">
      <c r="K8459" s="85">
        <v>29</v>
      </c>
      <c r="L8459" s="78"/>
      <c r="M8459" s="78"/>
      <c r="N8459" s="78"/>
      <c r="P8459" s="85"/>
    </row>
    <row r="8460" spans="11:16">
      <c r="K8460" s="85">
        <v>30</v>
      </c>
      <c r="L8460" s="78"/>
      <c r="M8460" s="78"/>
      <c r="N8460" s="78"/>
      <c r="P8460" s="85"/>
    </row>
    <row r="8461" spans="11:16">
      <c r="K8461" s="85">
        <v>31</v>
      </c>
      <c r="L8461" s="78"/>
      <c r="M8461" s="78"/>
      <c r="N8461" s="78"/>
      <c r="P8461" s="85"/>
    </row>
    <row r="8462" spans="11:16">
      <c r="K8462" s="85">
        <v>32</v>
      </c>
      <c r="L8462" s="78"/>
      <c r="M8462" s="78"/>
      <c r="N8462" s="78"/>
      <c r="P8462" s="85"/>
    </row>
    <row r="8463" spans="11:16">
      <c r="K8463" s="85">
        <v>33</v>
      </c>
      <c r="L8463" s="78"/>
      <c r="M8463" s="78"/>
      <c r="N8463" s="78"/>
      <c r="P8463" s="85"/>
    </row>
    <row r="8464" spans="11:16">
      <c r="K8464" s="85">
        <v>35</v>
      </c>
      <c r="L8464" s="78"/>
      <c r="M8464" s="78"/>
      <c r="N8464" s="78"/>
      <c r="P8464" s="85"/>
    </row>
    <row r="8465" spans="11:16">
      <c r="K8465" s="85">
        <v>26</v>
      </c>
      <c r="L8465" s="78"/>
      <c r="M8465" s="78"/>
      <c r="N8465" s="78"/>
      <c r="P8465" s="85"/>
    </row>
    <row r="8466" spans="11:16">
      <c r="K8466" s="85">
        <v>27</v>
      </c>
      <c r="L8466" s="78"/>
      <c r="M8466" s="78"/>
      <c r="N8466" s="78"/>
      <c r="P8466" s="85"/>
    </row>
    <row r="8467" spans="11:16">
      <c r="K8467" s="85">
        <v>32</v>
      </c>
      <c r="L8467" s="78"/>
      <c r="M8467" s="78"/>
      <c r="N8467" s="78"/>
      <c r="P8467" s="85"/>
    </row>
    <row r="8468" spans="11:16">
      <c r="K8468" s="85">
        <v>25</v>
      </c>
      <c r="L8468" s="78"/>
      <c r="M8468" s="78"/>
      <c r="N8468" s="78"/>
      <c r="P8468" s="85"/>
    </row>
    <row r="8469" spans="11:16">
      <c r="K8469" s="85">
        <v>26</v>
      </c>
      <c r="L8469" s="78"/>
      <c r="M8469" s="78"/>
      <c r="N8469" s="78"/>
      <c r="P8469" s="85"/>
    </row>
    <row r="8470" spans="11:16">
      <c r="K8470" s="85">
        <v>27</v>
      </c>
      <c r="L8470" s="78"/>
      <c r="M8470" s="78"/>
      <c r="N8470" s="78"/>
      <c r="P8470" s="85"/>
    </row>
    <row r="8471" spans="11:16">
      <c r="K8471" s="85">
        <v>28</v>
      </c>
      <c r="L8471" s="78"/>
      <c r="M8471" s="78"/>
      <c r="N8471" s="78"/>
      <c r="P8471" s="85"/>
    </row>
    <row r="8472" spans="11:16">
      <c r="K8472" s="85">
        <v>31</v>
      </c>
      <c r="L8472" s="78"/>
      <c r="M8472" s="78"/>
      <c r="N8472" s="78"/>
      <c r="P8472" s="85"/>
    </row>
    <row r="8473" spans="11:16">
      <c r="K8473" s="85">
        <v>32</v>
      </c>
      <c r="L8473" s="78"/>
      <c r="M8473" s="78"/>
      <c r="N8473" s="78"/>
      <c r="P8473" s="85"/>
    </row>
    <row r="8474" spans="11:16">
      <c r="K8474" s="85">
        <v>33</v>
      </c>
      <c r="L8474" s="78"/>
      <c r="M8474" s="78"/>
      <c r="N8474" s="78"/>
      <c r="P8474" s="85"/>
    </row>
    <row r="8475" spans="11:16">
      <c r="K8475" s="85">
        <v>34</v>
      </c>
      <c r="L8475" s="78"/>
      <c r="M8475" s="78"/>
      <c r="N8475" s="78"/>
      <c r="P8475" s="85"/>
    </row>
    <row r="8476" spans="11:16">
      <c r="K8476" s="85">
        <v>35</v>
      </c>
      <c r="L8476" s="78"/>
      <c r="M8476" s="78"/>
      <c r="N8476" s="78"/>
      <c r="P8476" s="85"/>
    </row>
    <row r="8477" spans="11:16">
      <c r="K8477" s="85">
        <v>36</v>
      </c>
      <c r="L8477" s="78"/>
      <c r="M8477" s="78"/>
      <c r="N8477" s="78"/>
      <c r="P8477" s="85"/>
    </row>
    <row r="8478" spans="11:16">
      <c r="K8478" s="85">
        <v>34</v>
      </c>
      <c r="L8478" s="78"/>
      <c r="M8478" s="78"/>
      <c r="N8478" s="78"/>
      <c r="P8478" s="85"/>
    </row>
    <row r="8479" spans="11:16">
      <c r="K8479" s="85">
        <v>35</v>
      </c>
      <c r="L8479" s="78"/>
      <c r="M8479" s="78"/>
      <c r="N8479" s="78"/>
      <c r="P8479" s="85"/>
    </row>
    <row r="8480" spans="11:16">
      <c r="K8480" s="85">
        <v>25</v>
      </c>
      <c r="L8480" s="78"/>
      <c r="M8480" s="78"/>
      <c r="N8480" s="78"/>
      <c r="P8480" s="85"/>
    </row>
    <row r="8481" spans="11:16">
      <c r="K8481" s="85">
        <v>27</v>
      </c>
      <c r="L8481" s="78"/>
      <c r="M8481" s="78"/>
      <c r="N8481" s="78"/>
      <c r="P8481" s="85"/>
    </row>
    <row r="8482" spans="11:16">
      <c r="K8482" s="85">
        <v>28</v>
      </c>
      <c r="L8482" s="78"/>
      <c r="M8482" s="78"/>
      <c r="N8482" s="78"/>
      <c r="P8482" s="85"/>
    </row>
    <row r="8483" spans="11:16">
      <c r="K8483" s="85">
        <v>25</v>
      </c>
      <c r="L8483" s="78"/>
      <c r="M8483" s="78"/>
      <c r="N8483" s="78"/>
      <c r="P8483" s="85"/>
    </row>
    <row r="8484" spans="11:16">
      <c r="K8484" s="85">
        <v>26</v>
      </c>
      <c r="L8484" s="78"/>
      <c r="M8484" s="78"/>
      <c r="N8484" s="78"/>
      <c r="P8484" s="85"/>
    </row>
    <row r="8485" spans="11:16">
      <c r="K8485" s="85">
        <v>27</v>
      </c>
      <c r="L8485" s="78"/>
      <c r="M8485" s="78"/>
      <c r="N8485" s="78"/>
      <c r="P8485" s="85"/>
    </row>
    <row r="8486" spans="11:16">
      <c r="K8486" s="85">
        <v>28</v>
      </c>
      <c r="L8486" s="78"/>
      <c r="M8486" s="78"/>
      <c r="N8486" s="78"/>
      <c r="P8486" s="85"/>
    </row>
    <row r="8487" spans="11:16">
      <c r="K8487" s="85">
        <v>33</v>
      </c>
      <c r="L8487" s="78"/>
      <c r="M8487" s="78"/>
      <c r="N8487" s="78"/>
      <c r="P8487" s="85"/>
    </row>
    <row r="8488" spans="11:16">
      <c r="K8488" s="85">
        <v>34</v>
      </c>
      <c r="L8488" s="78"/>
      <c r="M8488" s="78"/>
      <c r="N8488" s="78"/>
      <c r="P8488" s="85"/>
    </row>
    <row r="8489" spans="11:16">
      <c r="K8489" s="85">
        <v>35</v>
      </c>
      <c r="L8489" s="78"/>
      <c r="M8489" s="78"/>
      <c r="N8489" s="78"/>
      <c r="P8489" s="85"/>
    </row>
    <row r="8490" spans="11:16">
      <c r="K8490" s="85">
        <v>36</v>
      </c>
      <c r="L8490" s="78"/>
      <c r="M8490" s="78"/>
      <c r="N8490" s="78"/>
      <c r="P8490" s="85"/>
    </row>
    <row r="8491" spans="11:16">
      <c r="K8491" s="85">
        <v>25</v>
      </c>
      <c r="L8491" s="78"/>
      <c r="M8491" s="78"/>
      <c r="N8491" s="78"/>
      <c r="P8491" s="85"/>
    </row>
    <row r="8492" spans="11:16">
      <c r="K8492" s="85">
        <v>27</v>
      </c>
      <c r="L8492" s="78"/>
      <c r="M8492" s="78"/>
      <c r="N8492" s="78"/>
      <c r="P8492" s="85"/>
    </row>
    <row r="8493" spans="11:16">
      <c r="K8493" s="85">
        <v>31</v>
      </c>
      <c r="L8493" s="78"/>
      <c r="M8493" s="78"/>
      <c r="N8493" s="78"/>
      <c r="P8493" s="85"/>
    </row>
    <row r="8494" spans="11:16">
      <c r="K8494" s="85">
        <v>35</v>
      </c>
      <c r="L8494" s="78"/>
      <c r="M8494" s="78"/>
      <c r="N8494" s="78"/>
      <c r="P8494" s="85"/>
    </row>
    <row r="8495" spans="11:16">
      <c r="K8495" s="85">
        <v>25</v>
      </c>
      <c r="L8495" s="78"/>
      <c r="M8495" s="78"/>
      <c r="N8495" s="78"/>
      <c r="P8495" s="85"/>
    </row>
    <row r="8496" spans="11:16">
      <c r="K8496" s="85">
        <v>26</v>
      </c>
      <c r="L8496" s="78"/>
      <c r="M8496" s="78"/>
      <c r="N8496" s="78"/>
      <c r="P8496" s="85"/>
    </row>
    <row r="8497" spans="11:16">
      <c r="K8497" s="85">
        <v>27</v>
      </c>
      <c r="L8497" s="78"/>
      <c r="M8497" s="78"/>
      <c r="N8497" s="78"/>
      <c r="P8497" s="85"/>
    </row>
    <row r="8498" spans="11:16">
      <c r="K8498" s="85">
        <v>28</v>
      </c>
      <c r="L8498" s="78"/>
      <c r="M8498" s="78"/>
      <c r="N8498" s="78"/>
      <c r="P8498" s="85"/>
    </row>
    <row r="8499" spans="11:16">
      <c r="K8499" s="85">
        <v>29</v>
      </c>
      <c r="L8499" s="78"/>
      <c r="M8499" s="78"/>
      <c r="N8499" s="78"/>
      <c r="P8499" s="85"/>
    </row>
    <row r="8500" spans="11:16">
      <c r="K8500" s="85">
        <v>30</v>
      </c>
      <c r="L8500" s="78"/>
      <c r="M8500" s="78"/>
      <c r="N8500" s="78"/>
      <c r="P8500" s="85"/>
    </row>
    <row r="8501" spans="11:16">
      <c r="K8501" s="85">
        <v>31</v>
      </c>
      <c r="L8501" s="78"/>
      <c r="M8501" s="78"/>
      <c r="N8501" s="78"/>
      <c r="P8501" s="85"/>
    </row>
    <row r="8502" spans="11:16">
      <c r="K8502" s="85">
        <v>32</v>
      </c>
      <c r="L8502" s="78"/>
      <c r="M8502" s="78"/>
      <c r="N8502" s="78"/>
      <c r="P8502" s="85"/>
    </row>
    <row r="8503" spans="11:16">
      <c r="K8503" s="85">
        <v>33</v>
      </c>
      <c r="L8503" s="78"/>
      <c r="M8503" s="78"/>
      <c r="N8503" s="78"/>
      <c r="P8503" s="85"/>
    </row>
    <row r="8504" spans="11:16">
      <c r="K8504" s="85">
        <v>34</v>
      </c>
      <c r="L8504" s="78"/>
      <c r="M8504" s="78"/>
      <c r="N8504" s="78"/>
      <c r="P8504" s="85"/>
    </row>
    <row r="8505" spans="11:16">
      <c r="K8505" s="85">
        <v>35</v>
      </c>
      <c r="L8505" s="78"/>
      <c r="M8505" s="78"/>
      <c r="N8505" s="78"/>
      <c r="P8505" s="85"/>
    </row>
    <row r="8506" spans="11:16">
      <c r="K8506" s="85">
        <v>36</v>
      </c>
      <c r="L8506" s="78"/>
      <c r="M8506" s="78"/>
      <c r="N8506" s="78"/>
      <c r="P8506" s="85"/>
    </row>
    <row r="8507" spans="11:16">
      <c r="K8507" s="85">
        <v>25</v>
      </c>
      <c r="L8507" s="78"/>
      <c r="M8507" s="78"/>
      <c r="N8507" s="78"/>
      <c r="P8507" s="85"/>
    </row>
    <row r="8508" spans="11:16">
      <c r="K8508" s="85">
        <v>27</v>
      </c>
      <c r="L8508" s="78"/>
      <c r="M8508" s="78"/>
      <c r="N8508" s="78"/>
      <c r="P8508" s="85"/>
    </row>
    <row r="8509" spans="11:16">
      <c r="K8509" s="85">
        <v>28</v>
      </c>
      <c r="L8509" s="78"/>
      <c r="M8509" s="78"/>
      <c r="N8509" s="78"/>
      <c r="P8509" s="85"/>
    </row>
    <row r="8510" spans="11:16">
      <c r="K8510" s="85">
        <v>31</v>
      </c>
      <c r="L8510" s="78"/>
      <c r="M8510" s="78"/>
      <c r="N8510" s="78"/>
      <c r="P8510" s="85"/>
    </row>
    <row r="8511" spans="11:16">
      <c r="K8511" s="85">
        <v>32</v>
      </c>
      <c r="L8511" s="78"/>
      <c r="M8511" s="78"/>
      <c r="N8511" s="78"/>
      <c r="P8511" s="85"/>
    </row>
    <row r="8512" spans="11:16">
      <c r="K8512" s="85">
        <v>33</v>
      </c>
      <c r="L8512" s="78"/>
      <c r="M8512" s="78"/>
      <c r="N8512" s="78"/>
      <c r="P8512" s="85"/>
    </row>
    <row r="8513" spans="11:16">
      <c r="K8513" s="85">
        <v>34</v>
      </c>
      <c r="L8513" s="78"/>
      <c r="M8513" s="78"/>
      <c r="N8513" s="78"/>
      <c r="P8513" s="85"/>
    </row>
    <row r="8514" spans="11:16">
      <c r="K8514" s="85">
        <v>35</v>
      </c>
      <c r="L8514" s="78"/>
      <c r="M8514" s="78"/>
      <c r="N8514" s="78"/>
      <c r="P8514" s="85"/>
    </row>
    <row r="8515" spans="11:16">
      <c r="K8515" s="85">
        <v>25</v>
      </c>
      <c r="L8515" s="78"/>
      <c r="M8515" s="78"/>
      <c r="N8515" s="78"/>
      <c r="P8515" s="85"/>
    </row>
    <row r="8516" spans="11:16">
      <c r="K8516" s="85">
        <v>26</v>
      </c>
      <c r="L8516" s="78"/>
      <c r="M8516" s="78"/>
      <c r="N8516" s="78"/>
      <c r="P8516" s="85"/>
    </row>
    <row r="8517" spans="11:16">
      <c r="K8517" s="85">
        <v>27</v>
      </c>
      <c r="L8517" s="78"/>
      <c r="M8517" s="78"/>
      <c r="N8517" s="78"/>
      <c r="P8517" s="85"/>
    </row>
    <row r="8518" spans="11:16">
      <c r="K8518" s="85">
        <v>28</v>
      </c>
      <c r="L8518" s="78"/>
      <c r="M8518" s="78"/>
      <c r="N8518" s="78"/>
      <c r="P8518" s="85"/>
    </row>
    <row r="8519" spans="11:16">
      <c r="K8519" s="85">
        <v>29</v>
      </c>
      <c r="L8519" s="78"/>
      <c r="M8519" s="78"/>
      <c r="N8519" s="78"/>
      <c r="P8519" s="85"/>
    </row>
    <row r="8520" spans="11:16">
      <c r="K8520" s="85">
        <v>30</v>
      </c>
      <c r="L8520" s="78"/>
      <c r="M8520" s="78"/>
      <c r="N8520" s="78"/>
      <c r="P8520" s="85"/>
    </row>
    <row r="8521" spans="11:16">
      <c r="K8521" s="85">
        <v>31</v>
      </c>
      <c r="L8521" s="78"/>
      <c r="M8521" s="78"/>
      <c r="N8521" s="78"/>
      <c r="P8521" s="85"/>
    </row>
    <row r="8522" spans="11:16">
      <c r="K8522" s="85">
        <v>32</v>
      </c>
      <c r="L8522" s="78"/>
      <c r="M8522" s="78"/>
      <c r="N8522" s="78"/>
      <c r="P8522" s="85"/>
    </row>
    <row r="8523" spans="11:16">
      <c r="K8523" s="85">
        <v>33</v>
      </c>
      <c r="L8523" s="78"/>
      <c r="M8523" s="78"/>
      <c r="N8523" s="78"/>
      <c r="P8523" s="85"/>
    </row>
    <row r="8524" spans="11:16">
      <c r="K8524" s="85">
        <v>34</v>
      </c>
      <c r="L8524" s="78"/>
      <c r="M8524" s="78"/>
      <c r="N8524" s="78"/>
      <c r="P8524" s="85"/>
    </row>
    <row r="8525" spans="11:16">
      <c r="K8525" s="85">
        <v>35</v>
      </c>
      <c r="L8525" s="78"/>
      <c r="M8525" s="78"/>
      <c r="N8525" s="78"/>
      <c r="P8525" s="85"/>
    </row>
    <row r="8526" spans="11:16">
      <c r="K8526" s="85">
        <v>36</v>
      </c>
      <c r="L8526" s="78"/>
      <c r="M8526" s="78"/>
      <c r="N8526" s="78"/>
      <c r="P8526" s="85"/>
    </row>
    <row r="8527" spans="11:16">
      <c r="K8527" s="85">
        <v>25</v>
      </c>
      <c r="L8527" s="78"/>
      <c r="M8527" s="78"/>
      <c r="N8527" s="78"/>
      <c r="P8527" s="85"/>
    </row>
    <row r="8528" spans="11:16">
      <c r="K8528" s="85">
        <v>26</v>
      </c>
      <c r="L8528" s="78"/>
      <c r="M8528" s="78"/>
      <c r="N8528" s="78"/>
      <c r="P8528" s="85"/>
    </row>
    <row r="8529" spans="11:16">
      <c r="K8529" s="85">
        <v>27</v>
      </c>
      <c r="L8529" s="78"/>
      <c r="M8529" s="78"/>
      <c r="N8529" s="78"/>
      <c r="P8529" s="85"/>
    </row>
    <row r="8530" spans="11:16">
      <c r="K8530" s="85">
        <v>28</v>
      </c>
      <c r="L8530" s="78"/>
      <c r="M8530" s="78"/>
      <c r="N8530" s="78"/>
      <c r="P8530" s="85"/>
    </row>
    <row r="8531" spans="11:16">
      <c r="K8531" s="85">
        <v>29</v>
      </c>
      <c r="L8531" s="78"/>
      <c r="M8531" s="78"/>
      <c r="N8531" s="78"/>
      <c r="P8531" s="85"/>
    </row>
    <row r="8532" spans="11:16">
      <c r="K8532" s="85">
        <v>30</v>
      </c>
      <c r="L8532" s="78"/>
      <c r="M8532" s="78"/>
      <c r="N8532" s="78"/>
      <c r="P8532" s="85"/>
    </row>
    <row r="8533" spans="11:16">
      <c r="K8533" s="85">
        <v>31</v>
      </c>
      <c r="L8533" s="78"/>
      <c r="M8533" s="78"/>
      <c r="N8533" s="78"/>
      <c r="P8533" s="85"/>
    </row>
    <row r="8534" spans="11:16">
      <c r="K8534" s="85">
        <v>32</v>
      </c>
      <c r="L8534" s="78"/>
      <c r="M8534" s="78"/>
      <c r="N8534" s="78"/>
      <c r="P8534" s="85"/>
    </row>
    <row r="8535" spans="11:16">
      <c r="K8535" s="85">
        <v>33</v>
      </c>
      <c r="L8535" s="78"/>
      <c r="M8535" s="78"/>
      <c r="N8535" s="78"/>
      <c r="P8535" s="85"/>
    </row>
    <row r="8536" spans="11:16">
      <c r="K8536" s="85">
        <v>34</v>
      </c>
      <c r="L8536" s="78"/>
      <c r="M8536" s="78"/>
      <c r="N8536" s="78"/>
      <c r="P8536" s="85"/>
    </row>
    <row r="8537" spans="11:16">
      <c r="K8537" s="85">
        <v>35</v>
      </c>
      <c r="L8537" s="78"/>
      <c r="M8537" s="78"/>
      <c r="N8537" s="78"/>
      <c r="P8537" s="85"/>
    </row>
    <row r="8538" spans="11:16">
      <c r="K8538" s="85">
        <v>25</v>
      </c>
      <c r="L8538" s="78"/>
      <c r="M8538" s="78"/>
      <c r="N8538" s="78"/>
      <c r="P8538" s="85"/>
    </row>
    <row r="8539" spans="11:16">
      <c r="K8539" s="85">
        <v>27</v>
      </c>
      <c r="L8539" s="78"/>
      <c r="M8539" s="78"/>
      <c r="N8539" s="78"/>
      <c r="P8539" s="85"/>
    </row>
    <row r="8540" spans="11:16">
      <c r="K8540" s="85">
        <v>30</v>
      </c>
      <c r="L8540" s="78"/>
      <c r="M8540" s="78"/>
      <c r="N8540" s="78"/>
      <c r="P8540" s="85"/>
    </row>
    <row r="8541" spans="11:16">
      <c r="K8541" s="85">
        <v>31</v>
      </c>
      <c r="L8541" s="78"/>
      <c r="M8541" s="78"/>
      <c r="N8541" s="78"/>
      <c r="P8541" s="85"/>
    </row>
    <row r="8542" spans="11:16">
      <c r="K8542" s="85">
        <v>32</v>
      </c>
      <c r="L8542" s="78"/>
      <c r="M8542" s="78"/>
      <c r="N8542" s="78"/>
      <c r="P8542" s="85"/>
    </row>
    <row r="8543" spans="11:16">
      <c r="K8543" s="85">
        <v>33</v>
      </c>
      <c r="L8543" s="78"/>
      <c r="M8543" s="78"/>
      <c r="N8543" s="78"/>
      <c r="P8543" s="85"/>
    </row>
    <row r="8544" spans="11:16">
      <c r="K8544" s="85">
        <v>35</v>
      </c>
      <c r="L8544" s="78"/>
      <c r="M8544" s="78"/>
      <c r="N8544" s="78"/>
      <c r="P8544" s="85"/>
    </row>
    <row r="8545" spans="11:16">
      <c r="K8545" s="85">
        <v>29</v>
      </c>
      <c r="L8545" s="78"/>
      <c r="M8545" s="78"/>
      <c r="N8545" s="78"/>
      <c r="P8545" s="85"/>
    </row>
    <row r="8546" spans="11:16">
      <c r="K8546" s="85">
        <v>32</v>
      </c>
      <c r="L8546" s="78"/>
      <c r="M8546" s="78"/>
      <c r="N8546" s="78"/>
      <c r="P8546" s="85"/>
    </row>
    <row r="8547" spans="11:16">
      <c r="K8547" s="85">
        <v>25</v>
      </c>
      <c r="L8547" s="78"/>
      <c r="M8547" s="78"/>
      <c r="N8547" s="78"/>
      <c r="P8547" s="85"/>
    </row>
    <row r="8548" spans="11:16">
      <c r="K8548" s="85">
        <v>26</v>
      </c>
      <c r="L8548" s="78"/>
      <c r="M8548" s="78"/>
      <c r="N8548" s="78"/>
      <c r="P8548" s="85"/>
    </row>
    <row r="8549" spans="11:16">
      <c r="K8549" s="85">
        <v>27</v>
      </c>
      <c r="L8549" s="78"/>
      <c r="M8549" s="78"/>
      <c r="N8549" s="78"/>
      <c r="P8549" s="85"/>
    </row>
    <row r="8550" spans="11:16">
      <c r="K8550" s="85">
        <v>29</v>
      </c>
      <c r="L8550" s="78"/>
      <c r="M8550" s="78"/>
      <c r="N8550" s="78"/>
      <c r="P8550" s="85"/>
    </row>
    <row r="8551" spans="11:16">
      <c r="K8551" s="85">
        <v>31</v>
      </c>
      <c r="L8551" s="78"/>
      <c r="M8551" s="78"/>
      <c r="N8551" s="78"/>
      <c r="P8551" s="85"/>
    </row>
    <row r="8552" spans="11:16">
      <c r="K8552" s="85">
        <v>32</v>
      </c>
      <c r="L8552" s="78"/>
      <c r="M8552" s="78"/>
      <c r="N8552" s="78"/>
      <c r="P8552" s="85"/>
    </row>
    <row r="8553" spans="11:16">
      <c r="K8553" s="85">
        <v>34</v>
      </c>
      <c r="L8553" s="78"/>
      <c r="M8553" s="78"/>
      <c r="N8553" s="78"/>
      <c r="P8553" s="85"/>
    </row>
    <row r="8554" spans="11:16">
      <c r="K8554" s="85">
        <v>35</v>
      </c>
      <c r="L8554" s="78"/>
      <c r="M8554" s="78"/>
      <c r="N8554" s="78"/>
      <c r="P8554" s="85"/>
    </row>
    <row r="8555" spans="11:16">
      <c r="K8555" s="85">
        <v>26</v>
      </c>
      <c r="L8555" s="78"/>
      <c r="M8555" s="78"/>
      <c r="N8555" s="78"/>
      <c r="P8555" s="85"/>
    </row>
    <row r="8556" spans="11:16">
      <c r="K8556" s="85">
        <v>27</v>
      </c>
      <c r="L8556" s="78"/>
      <c r="M8556" s="78"/>
      <c r="N8556" s="78"/>
      <c r="P8556" s="85"/>
    </row>
    <row r="8557" spans="11:16">
      <c r="K8557" s="85">
        <v>30</v>
      </c>
      <c r="L8557" s="78"/>
      <c r="M8557" s="78"/>
      <c r="N8557" s="78"/>
      <c r="P8557" s="85"/>
    </row>
    <row r="8558" spans="11:16">
      <c r="K8558" s="85">
        <v>31</v>
      </c>
      <c r="L8558" s="78"/>
      <c r="M8558" s="78"/>
      <c r="N8558" s="78"/>
      <c r="P8558" s="85"/>
    </row>
    <row r="8559" spans="11:16">
      <c r="K8559" s="85">
        <v>33</v>
      </c>
      <c r="L8559" s="78"/>
      <c r="M8559" s="78"/>
      <c r="N8559" s="78"/>
      <c r="P8559" s="85"/>
    </row>
    <row r="8560" spans="11:16">
      <c r="K8560" s="85">
        <v>34</v>
      </c>
      <c r="L8560" s="78"/>
      <c r="M8560" s="78"/>
      <c r="N8560" s="78"/>
      <c r="P8560" s="85"/>
    </row>
    <row r="8561" spans="11:16">
      <c r="K8561" s="85">
        <v>35</v>
      </c>
      <c r="L8561" s="78"/>
      <c r="M8561" s="78"/>
      <c r="N8561" s="78"/>
      <c r="P8561" s="85"/>
    </row>
    <row r="8562" spans="11:16">
      <c r="K8562" s="85">
        <v>25</v>
      </c>
      <c r="L8562" s="78"/>
      <c r="M8562" s="78"/>
      <c r="N8562" s="78"/>
      <c r="P8562" s="85"/>
    </row>
    <row r="8563" spans="11:16">
      <c r="K8563" s="85">
        <v>26</v>
      </c>
      <c r="L8563" s="78"/>
      <c r="M8563" s="78"/>
      <c r="N8563" s="78"/>
      <c r="P8563" s="85"/>
    </row>
    <row r="8564" spans="11:16">
      <c r="K8564" s="85">
        <v>27</v>
      </c>
      <c r="L8564" s="78"/>
      <c r="M8564" s="78"/>
      <c r="N8564" s="78"/>
      <c r="P8564" s="85"/>
    </row>
    <row r="8565" spans="11:16">
      <c r="K8565" s="85">
        <v>28</v>
      </c>
      <c r="L8565" s="78"/>
      <c r="M8565" s="78"/>
      <c r="N8565" s="78"/>
      <c r="P8565" s="85"/>
    </row>
    <row r="8566" spans="11:16">
      <c r="K8566" s="85">
        <v>30</v>
      </c>
      <c r="L8566" s="78"/>
      <c r="M8566" s="78"/>
      <c r="N8566" s="78"/>
      <c r="P8566" s="85"/>
    </row>
    <row r="8567" spans="11:16">
      <c r="K8567" s="85">
        <v>31</v>
      </c>
      <c r="L8567" s="78"/>
      <c r="M8567" s="78"/>
      <c r="N8567" s="78"/>
      <c r="P8567" s="85"/>
    </row>
    <row r="8568" spans="11:16">
      <c r="K8568" s="85">
        <v>34</v>
      </c>
      <c r="L8568" s="78"/>
      <c r="M8568" s="78"/>
      <c r="N8568" s="78"/>
      <c r="P8568" s="85"/>
    </row>
    <row r="8569" spans="11:16">
      <c r="K8569" s="85">
        <v>35</v>
      </c>
      <c r="L8569" s="78"/>
      <c r="M8569" s="78"/>
      <c r="N8569" s="78"/>
      <c r="P8569" s="85"/>
    </row>
    <row r="8570" spans="11:16">
      <c r="K8570" s="85">
        <v>25</v>
      </c>
      <c r="L8570" s="78"/>
      <c r="M8570" s="78"/>
      <c r="N8570" s="78"/>
      <c r="P8570" s="85"/>
    </row>
    <row r="8571" spans="11:16">
      <c r="K8571" s="85">
        <v>27</v>
      </c>
      <c r="L8571" s="78"/>
      <c r="M8571" s="78"/>
      <c r="N8571" s="78"/>
      <c r="P8571" s="85"/>
    </row>
    <row r="8572" spans="11:16">
      <c r="K8572" s="85">
        <v>31</v>
      </c>
      <c r="L8572" s="78"/>
      <c r="M8572" s="78"/>
      <c r="N8572" s="78"/>
      <c r="P8572" s="85"/>
    </row>
    <row r="8573" spans="11:16">
      <c r="K8573" s="85">
        <v>32</v>
      </c>
      <c r="L8573" s="78"/>
      <c r="M8573" s="78"/>
      <c r="N8573" s="78"/>
      <c r="P8573" s="85"/>
    </row>
    <row r="8574" spans="11:16">
      <c r="K8574" s="85">
        <v>34</v>
      </c>
      <c r="L8574" s="78"/>
      <c r="M8574" s="78"/>
      <c r="N8574" s="78"/>
      <c r="P8574" s="85"/>
    </row>
    <row r="8575" spans="11:16">
      <c r="K8575" s="85">
        <v>35</v>
      </c>
      <c r="L8575" s="78"/>
      <c r="M8575" s="78"/>
      <c r="N8575" s="78"/>
      <c r="P8575" s="85"/>
    </row>
    <row r="8576" spans="11:16">
      <c r="K8576" s="85">
        <v>25</v>
      </c>
      <c r="L8576" s="78"/>
      <c r="M8576" s="78"/>
      <c r="N8576" s="78"/>
      <c r="P8576" s="85"/>
    </row>
    <row r="8577" spans="11:16">
      <c r="K8577" s="85">
        <v>26</v>
      </c>
      <c r="L8577" s="78"/>
      <c r="M8577" s="78"/>
      <c r="N8577" s="78"/>
      <c r="P8577" s="85"/>
    </row>
    <row r="8578" spans="11:16">
      <c r="K8578" s="85">
        <v>27</v>
      </c>
      <c r="L8578" s="78"/>
      <c r="M8578" s="78"/>
      <c r="N8578" s="78"/>
      <c r="P8578" s="85"/>
    </row>
    <row r="8579" spans="11:16">
      <c r="K8579" s="85">
        <v>33</v>
      </c>
      <c r="L8579" s="78"/>
      <c r="M8579" s="78"/>
      <c r="N8579" s="78"/>
      <c r="P8579" s="85"/>
    </row>
    <row r="8580" spans="11:16">
      <c r="K8580" s="85">
        <v>34</v>
      </c>
      <c r="L8580" s="78"/>
      <c r="M8580" s="78"/>
      <c r="N8580" s="78"/>
      <c r="P8580" s="85"/>
    </row>
    <row r="8581" spans="11:16">
      <c r="K8581" s="85">
        <v>35</v>
      </c>
      <c r="L8581" s="78"/>
      <c r="M8581" s="78"/>
      <c r="N8581" s="78"/>
      <c r="P8581" s="85"/>
    </row>
    <row r="8582" spans="11:16">
      <c r="K8582" s="85">
        <v>25</v>
      </c>
      <c r="L8582" s="78"/>
      <c r="M8582" s="78"/>
      <c r="N8582" s="78"/>
      <c r="P8582" s="85"/>
    </row>
    <row r="8583" spans="11:16">
      <c r="K8583" s="85">
        <v>26</v>
      </c>
      <c r="L8583" s="78"/>
      <c r="M8583" s="78"/>
      <c r="N8583" s="78"/>
      <c r="P8583" s="85"/>
    </row>
    <row r="8584" spans="11:16">
      <c r="K8584" s="85">
        <v>27</v>
      </c>
      <c r="L8584" s="78"/>
      <c r="M8584" s="78"/>
      <c r="N8584" s="78"/>
      <c r="P8584" s="85"/>
    </row>
    <row r="8585" spans="11:16">
      <c r="K8585" s="85">
        <v>29</v>
      </c>
      <c r="L8585" s="78"/>
      <c r="M8585" s="78"/>
      <c r="N8585" s="78"/>
      <c r="P8585" s="85"/>
    </row>
    <row r="8586" spans="11:16">
      <c r="K8586" s="85">
        <v>30</v>
      </c>
      <c r="L8586" s="78"/>
      <c r="M8586" s="78"/>
      <c r="N8586" s="78"/>
      <c r="P8586" s="85"/>
    </row>
    <row r="8587" spans="11:16">
      <c r="K8587" s="85">
        <v>31</v>
      </c>
      <c r="L8587" s="78"/>
      <c r="M8587" s="78"/>
      <c r="N8587" s="78"/>
      <c r="P8587" s="85"/>
    </row>
    <row r="8588" spans="11:16">
      <c r="K8588" s="85">
        <v>32</v>
      </c>
      <c r="L8588" s="78"/>
      <c r="M8588" s="78"/>
      <c r="N8588" s="78"/>
      <c r="P8588" s="85"/>
    </row>
    <row r="8589" spans="11:16">
      <c r="K8589" s="85">
        <v>34</v>
      </c>
      <c r="L8589" s="78"/>
      <c r="M8589" s="78"/>
      <c r="N8589" s="78"/>
      <c r="P8589" s="85"/>
    </row>
    <row r="8590" spans="11:16">
      <c r="K8590" s="85">
        <v>35</v>
      </c>
      <c r="L8590" s="78"/>
      <c r="M8590" s="78"/>
      <c r="N8590" s="78"/>
      <c r="P8590" s="85"/>
    </row>
    <row r="8591" spans="11:16">
      <c r="K8591" s="85">
        <v>36</v>
      </c>
      <c r="L8591" s="78"/>
      <c r="M8591" s="78"/>
      <c r="N8591" s="78"/>
      <c r="P8591" s="85"/>
    </row>
    <row r="8592" spans="11:16">
      <c r="K8592" s="85">
        <v>26</v>
      </c>
      <c r="L8592" s="78"/>
      <c r="M8592" s="78"/>
      <c r="N8592" s="78"/>
      <c r="P8592" s="85"/>
    </row>
    <row r="8593" spans="11:16">
      <c r="K8593" s="85">
        <v>27</v>
      </c>
      <c r="L8593" s="78"/>
      <c r="M8593" s="78"/>
      <c r="N8593" s="78"/>
      <c r="P8593" s="85"/>
    </row>
    <row r="8594" spans="11:16">
      <c r="K8594" s="85">
        <v>30</v>
      </c>
      <c r="L8594" s="78"/>
      <c r="M8594" s="78"/>
      <c r="N8594" s="78"/>
      <c r="P8594" s="85"/>
    </row>
    <row r="8595" spans="11:16">
      <c r="K8595" s="85">
        <v>31</v>
      </c>
      <c r="L8595" s="78"/>
      <c r="M8595" s="78"/>
      <c r="N8595" s="78"/>
      <c r="P8595" s="85"/>
    </row>
    <row r="8596" spans="11:16">
      <c r="K8596" s="85">
        <v>34</v>
      </c>
      <c r="L8596" s="78"/>
      <c r="M8596" s="78"/>
      <c r="N8596" s="78"/>
      <c r="P8596" s="85"/>
    </row>
    <row r="8597" spans="11:16">
      <c r="K8597" s="85">
        <v>25</v>
      </c>
      <c r="L8597" s="78"/>
      <c r="M8597" s="78"/>
      <c r="N8597" s="78"/>
      <c r="P8597" s="85"/>
    </row>
    <row r="8598" spans="11:16">
      <c r="K8598" s="85">
        <v>26</v>
      </c>
      <c r="L8598" s="78"/>
      <c r="M8598" s="78"/>
      <c r="N8598" s="78"/>
      <c r="P8598" s="85"/>
    </row>
    <row r="8599" spans="11:16">
      <c r="K8599" s="85">
        <v>27</v>
      </c>
      <c r="L8599" s="78"/>
      <c r="M8599" s="78"/>
      <c r="N8599" s="78"/>
      <c r="P8599" s="85"/>
    </row>
    <row r="8600" spans="11:16">
      <c r="K8600" s="85">
        <v>28</v>
      </c>
      <c r="L8600" s="78"/>
      <c r="M8600" s="78"/>
      <c r="N8600" s="78"/>
      <c r="P8600" s="85"/>
    </row>
    <row r="8601" spans="11:16">
      <c r="K8601" s="85">
        <v>30</v>
      </c>
      <c r="L8601" s="78"/>
      <c r="M8601" s="78"/>
      <c r="N8601" s="78"/>
      <c r="P8601" s="85"/>
    </row>
    <row r="8602" spans="11:16">
      <c r="K8602" s="85">
        <v>31</v>
      </c>
      <c r="L8602" s="78"/>
      <c r="M8602" s="78"/>
      <c r="N8602" s="78"/>
      <c r="P8602" s="85"/>
    </row>
    <row r="8603" spans="11:16">
      <c r="K8603" s="85">
        <v>32</v>
      </c>
      <c r="L8603" s="78"/>
      <c r="M8603" s="78"/>
      <c r="N8603" s="78"/>
      <c r="P8603" s="85"/>
    </row>
    <row r="8604" spans="11:16">
      <c r="K8604" s="85">
        <v>34</v>
      </c>
      <c r="L8604" s="78"/>
      <c r="M8604" s="78"/>
      <c r="N8604" s="78"/>
      <c r="P8604" s="85"/>
    </row>
    <row r="8605" spans="11:16">
      <c r="K8605" s="85">
        <v>35</v>
      </c>
      <c r="L8605" s="78"/>
      <c r="M8605" s="78"/>
      <c r="N8605" s="78"/>
      <c r="P8605" s="85"/>
    </row>
    <row r="8606" spans="11:16">
      <c r="K8606" s="85">
        <v>27</v>
      </c>
      <c r="L8606" s="78"/>
      <c r="M8606" s="78"/>
      <c r="N8606" s="78"/>
      <c r="P8606" s="85"/>
    </row>
    <row r="8607" spans="11:16">
      <c r="K8607" s="85">
        <v>31</v>
      </c>
      <c r="L8607" s="78"/>
      <c r="M8607" s="78"/>
      <c r="N8607" s="78"/>
      <c r="P8607" s="85"/>
    </row>
    <row r="8608" spans="11:16">
      <c r="K8608" s="85">
        <v>32</v>
      </c>
      <c r="L8608" s="78"/>
      <c r="M8608" s="78"/>
      <c r="N8608" s="78"/>
      <c r="P8608" s="85"/>
    </row>
    <row r="8609" spans="11:16">
      <c r="K8609" s="85">
        <v>34</v>
      </c>
      <c r="L8609" s="78"/>
      <c r="M8609" s="78"/>
      <c r="N8609" s="78"/>
      <c r="P8609" s="85"/>
    </row>
    <row r="8610" spans="11:16">
      <c r="K8610" s="85">
        <v>35</v>
      </c>
      <c r="L8610" s="78"/>
      <c r="M8610" s="78"/>
      <c r="N8610" s="78"/>
      <c r="P8610" s="85"/>
    </row>
    <row r="8611" spans="11:16">
      <c r="K8611" s="85">
        <v>25</v>
      </c>
      <c r="L8611" s="78"/>
      <c r="M8611" s="78"/>
      <c r="N8611" s="78"/>
      <c r="P8611" s="85"/>
    </row>
    <row r="8612" spans="11:16">
      <c r="K8612" s="85">
        <v>26</v>
      </c>
      <c r="L8612" s="78"/>
      <c r="M8612" s="78"/>
      <c r="N8612" s="78"/>
      <c r="P8612" s="85"/>
    </row>
    <row r="8613" spans="11:16">
      <c r="K8613" s="85">
        <v>27</v>
      </c>
      <c r="L8613" s="78"/>
      <c r="M8613" s="78"/>
      <c r="N8613" s="78"/>
      <c r="P8613" s="85"/>
    </row>
    <row r="8614" spans="11:16">
      <c r="K8614" s="85">
        <v>28</v>
      </c>
      <c r="L8614" s="78"/>
      <c r="M8614" s="78"/>
      <c r="N8614" s="78"/>
      <c r="P8614" s="85"/>
    </row>
    <row r="8615" spans="11:16">
      <c r="K8615" s="85">
        <v>29</v>
      </c>
      <c r="L8615" s="78"/>
      <c r="M8615" s="78"/>
      <c r="N8615" s="78"/>
      <c r="P8615" s="85"/>
    </row>
    <row r="8616" spans="11:16">
      <c r="K8616" s="85">
        <v>30</v>
      </c>
      <c r="L8616" s="78"/>
      <c r="M8616" s="78"/>
      <c r="N8616" s="78"/>
      <c r="P8616" s="85"/>
    </row>
    <row r="8617" spans="11:16">
      <c r="K8617" s="85">
        <v>31</v>
      </c>
      <c r="L8617" s="78"/>
      <c r="M8617" s="78"/>
      <c r="N8617" s="78"/>
      <c r="P8617" s="85"/>
    </row>
    <row r="8618" spans="11:16">
      <c r="K8618" s="85">
        <v>32</v>
      </c>
      <c r="L8618" s="78"/>
      <c r="M8618" s="78"/>
      <c r="N8618" s="78"/>
      <c r="P8618" s="85"/>
    </row>
    <row r="8619" spans="11:16">
      <c r="K8619" s="85">
        <v>33</v>
      </c>
      <c r="L8619" s="78"/>
      <c r="M8619" s="78"/>
      <c r="N8619" s="78"/>
      <c r="P8619" s="85"/>
    </row>
    <row r="8620" spans="11:16">
      <c r="K8620" s="85">
        <v>34</v>
      </c>
      <c r="L8620" s="78"/>
      <c r="M8620" s="78"/>
      <c r="N8620" s="78"/>
      <c r="P8620" s="85"/>
    </row>
    <row r="8621" spans="11:16">
      <c r="K8621" s="85">
        <v>35</v>
      </c>
      <c r="L8621" s="78"/>
      <c r="M8621" s="78"/>
      <c r="N8621" s="78"/>
      <c r="P8621" s="85"/>
    </row>
    <row r="8622" spans="11:16">
      <c r="K8622" s="85">
        <v>36</v>
      </c>
      <c r="L8622" s="78"/>
      <c r="M8622" s="78"/>
      <c r="N8622" s="78"/>
      <c r="P8622" s="85"/>
    </row>
    <row r="8623" spans="11:16">
      <c r="K8623" s="85">
        <v>25</v>
      </c>
      <c r="L8623" s="78"/>
      <c r="M8623" s="78"/>
      <c r="N8623" s="78"/>
      <c r="P8623" s="85"/>
    </row>
    <row r="8624" spans="11:16">
      <c r="K8624" s="85">
        <v>26</v>
      </c>
      <c r="L8624" s="78"/>
      <c r="M8624" s="78"/>
      <c r="N8624" s="78"/>
      <c r="P8624" s="85"/>
    </row>
    <row r="8625" spans="11:16">
      <c r="K8625" s="85">
        <v>27</v>
      </c>
      <c r="L8625" s="78"/>
      <c r="M8625" s="78"/>
      <c r="N8625" s="78"/>
      <c r="P8625" s="85"/>
    </row>
    <row r="8626" spans="11:16">
      <c r="K8626" s="85">
        <v>28</v>
      </c>
      <c r="L8626" s="78"/>
      <c r="M8626" s="78"/>
      <c r="N8626" s="78"/>
      <c r="P8626" s="85"/>
    </row>
    <row r="8627" spans="11:16">
      <c r="K8627" s="85">
        <v>29</v>
      </c>
      <c r="L8627" s="78"/>
      <c r="M8627" s="78"/>
      <c r="N8627" s="78"/>
      <c r="P8627" s="85"/>
    </row>
    <row r="8628" spans="11:16">
      <c r="K8628" s="85">
        <v>30</v>
      </c>
      <c r="L8628" s="78"/>
      <c r="M8628" s="78"/>
      <c r="N8628" s="78"/>
      <c r="P8628" s="85"/>
    </row>
    <row r="8629" spans="11:16">
      <c r="K8629" s="85">
        <v>31</v>
      </c>
      <c r="L8629" s="78"/>
      <c r="M8629" s="78"/>
      <c r="N8629" s="78"/>
      <c r="P8629" s="85"/>
    </row>
    <row r="8630" spans="11:16">
      <c r="K8630" s="85">
        <v>32</v>
      </c>
      <c r="L8630" s="78"/>
      <c r="M8630" s="78"/>
      <c r="N8630" s="78"/>
      <c r="P8630" s="85"/>
    </row>
    <row r="8631" spans="11:16">
      <c r="K8631" s="85">
        <v>33</v>
      </c>
      <c r="L8631" s="78"/>
      <c r="M8631" s="78"/>
      <c r="N8631" s="78"/>
      <c r="P8631" s="85"/>
    </row>
    <row r="8632" spans="11:16">
      <c r="K8632" s="85">
        <v>34</v>
      </c>
      <c r="L8632" s="78"/>
      <c r="M8632" s="78"/>
      <c r="N8632" s="78"/>
      <c r="P8632" s="85"/>
    </row>
    <row r="8633" spans="11:16">
      <c r="K8633" s="85">
        <v>35</v>
      </c>
      <c r="L8633" s="78"/>
      <c r="M8633" s="78"/>
      <c r="N8633" s="78"/>
      <c r="P8633" s="85"/>
    </row>
    <row r="8634" spans="11:16">
      <c r="K8634" s="85">
        <v>36</v>
      </c>
      <c r="L8634" s="78"/>
      <c r="M8634" s="78"/>
      <c r="N8634" s="78"/>
      <c r="P8634" s="85"/>
    </row>
    <row r="8635" spans="11:16">
      <c r="K8635" s="85">
        <v>26</v>
      </c>
      <c r="L8635" s="78"/>
      <c r="M8635" s="78"/>
      <c r="N8635" s="78"/>
      <c r="P8635" s="85"/>
    </row>
    <row r="8636" spans="11:16">
      <c r="K8636" s="85">
        <v>28</v>
      </c>
      <c r="L8636" s="78"/>
      <c r="M8636" s="78"/>
      <c r="N8636" s="78"/>
      <c r="P8636" s="85"/>
    </row>
    <row r="8637" spans="11:16">
      <c r="K8637" s="85">
        <v>29</v>
      </c>
      <c r="L8637" s="78"/>
      <c r="M8637" s="78"/>
      <c r="N8637" s="78"/>
      <c r="P8637" s="85"/>
    </row>
    <row r="8638" spans="11:16">
      <c r="K8638" s="85">
        <v>30</v>
      </c>
      <c r="L8638" s="78"/>
      <c r="M8638" s="78"/>
      <c r="N8638" s="78"/>
      <c r="P8638" s="85"/>
    </row>
    <row r="8639" spans="11:16">
      <c r="K8639" s="85">
        <v>31</v>
      </c>
      <c r="L8639" s="78"/>
      <c r="M8639" s="78"/>
      <c r="N8639" s="78"/>
      <c r="P8639" s="85"/>
    </row>
    <row r="8640" spans="11:16">
      <c r="K8640" s="85">
        <v>34</v>
      </c>
      <c r="L8640" s="78"/>
      <c r="M8640" s="78"/>
      <c r="N8640" s="78"/>
      <c r="P8640" s="85"/>
    </row>
    <row r="8641" spans="11:16">
      <c r="K8641" s="85">
        <v>35</v>
      </c>
      <c r="L8641" s="78"/>
      <c r="M8641" s="78"/>
      <c r="N8641" s="78"/>
      <c r="P8641" s="85"/>
    </row>
    <row r="8642" spans="11:16">
      <c r="K8642" s="85">
        <v>25</v>
      </c>
      <c r="L8642" s="78"/>
      <c r="M8642" s="78"/>
      <c r="N8642" s="78"/>
      <c r="P8642" s="85"/>
    </row>
    <row r="8643" spans="11:16">
      <c r="K8643" s="85">
        <v>26</v>
      </c>
      <c r="L8643" s="78"/>
      <c r="M8643" s="78"/>
      <c r="N8643" s="78"/>
      <c r="P8643" s="85"/>
    </row>
    <row r="8644" spans="11:16">
      <c r="K8644" s="85">
        <v>27</v>
      </c>
      <c r="L8644" s="78"/>
      <c r="M8644" s="78"/>
      <c r="N8644" s="78"/>
      <c r="P8644" s="85"/>
    </row>
    <row r="8645" spans="11:16">
      <c r="K8645" s="85">
        <v>28</v>
      </c>
      <c r="L8645" s="78"/>
      <c r="M8645" s="78"/>
      <c r="N8645" s="78"/>
      <c r="P8645" s="85"/>
    </row>
    <row r="8646" spans="11:16">
      <c r="K8646" s="85">
        <v>29</v>
      </c>
      <c r="L8646" s="78"/>
      <c r="M8646" s="78"/>
      <c r="N8646" s="78"/>
      <c r="P8646" s="85"/>
    </row>
    <row r="8647" spans="11:16">
      <c r="K8647" s="85">
        <v>30</v>
      </c>
      <c r="L8647" s="78"/>
      <c r="M8647" s="78"/>
      <c r="N8647" s="78"/>
      <c r="P8647" s="85"/>
    </row>
    <row r="8648" spans="11:16">
      <c r="K8648" s="85">
        <v>31</v>
      </c>
      <c r="L8648" s="78"/>
      <c r="M8648" s="78"/>
      <c r="N8648" s="78"/>
      <c r="P8648" s="85"/>
    </row>
    <row r="8649" spans="11:16">
      <c r="K8649" s="85">
        <v>32</v>
      </c>
      <c r="L8649" s="78"/>
      <c r="M8649" s="78"/>
      <c r="N8649" s="78"/>
      <c r="P8649" s="85"/>
    </row>
    <row r="8650" spans="11:16">
      <c r="K8650" s="85">
        <v>33</v>
      </c>
      <c r="L8650" s="78"/>
      <c r="M8650" s="78"/>
      <c r="N8650" s="78"/>
      <c r="P8650" s="85"/>
    </row>
    <row r="8651" spans="11:16">
      <c r="K8651" s="85">
        <v>34</v>
      </c>
      <c r="L8651" s="78"/>
      <c r="M8651" s="78"/>
      <c r="N8651" s="78"/>
      <c r="P8651" s="85"/>
    </row>
    <row r="8652" spans="11:16">
      <c r="K8652" s="85">
        <v>35</v>
      </c>
      <c r="L8652" s="78"/>
      <c r="M8652" s="78"/>
      <c r="N8652" s="78"/>
      <c r="P8652" s="85"/>
    </row>
    <row r="8653" spans="11:16">
      <c r="K8653" s="85">
        <v>36</v>
      </c>
      <c r="L8653" s="78"/>
      <c r="M8653" s="78"/>
      <c r="N8653" s="78"/>
      <c r="P8653" s="85"/>
    </row>
    <row r="8654" spans="11:16">
      <c r="K8654" s="85">
        <v>25</v>
      </c>
      <c r="L8654" s="78"/>
      <c r="M8654" s="78"/>
      <c r="N8654" s="78"/>
      <c r="P8654" s="85"/>
    </row>
    <row r="8655" spans="11:16">
      <c r="K8655" s="85">
        <v>26</v>
      </c>
      <c r="L8655" s="78"/>
      <c r="M8655" s="78"/>
      <c r="N8655" s="78"/>
      <c r="P8655" s="85"/>
    </row>
    <row r="8656" spans="11:16">
      <c r="K8656" s="85">
        <v>27</v>
      </c>
      <c r="L8656" s="78"/>
      <c r="M8656" s="78"/>
      <c r="N8656" s="78"/>
      <c r="P8656" s="85"/>
    </row>
    <row r="8657" spans="11:16">
      <c r="K8657" s="85">
        <v>28</v>
      </c>
      <c r="L8657" s="78"/>
      <c r="M8657" s="78"/>
      <c r="N8657" s="78"/>
      <c r="P8657" s="85"/>
    </row>
    <row r="8658" spans="11:16">
      <c r="K8658" s="85">
        <v>29</v>
      </c>
      <c r="L8658" s="78"/>
      <c r="M8658" s="78"/>
      <c r="N8658" s="78"/>
      <c r="P8658" s="85"/>
    </row>
    <row r="8659" spans="11:16">
      <c r="K8659" s="85">
        <v>30</v>
      </c>
      <c r="L8659" s="78"/>
      <c r="M8659" s="78"/>
      <c r="N8659" s="78"/>
      <c r="P8659" s="85"/>
    </row>
    <row r="8660" spans="11:16">
      <c r="K8660" s="85">
        <v>31</v>
      </c>
      <c r="L8660" s="78"/>
      <c r="M8660" s="78"/>
      <c r="N8660" s="78"/>
      <c r="P8660" s="85"/>
    </row>
    <row r="8661" spans="11:16">
      <c r="K8661" s="85">
        <v>32</v>
      </c>
      <c r="L8661" s="78"/>
      <c r="M8661" s="78"/>
      <c r="N8661" s="78"/>
      <c r="P8661" s="85"/>
    </row>
    <row r="8662" spans="11:16">
      <c r="K8662" s="85">
        <v>33</v>
      </c>
      <c r="L8662" s="78"/>
      <c r="M8662" s="78"/>
      <c r="N8662" s="78"/>
      <c r="P8662" s="85"/>
    </row>
    <row r="8663" spans="11:16">
      <c r="K8663" s="85">
        <v>34</v>
      </c>
      <c r="L8663" s="78"/>
      <c r="M8663" s="78"/>
      <c r="N8663" s="78"/>
      <c r="P8663" s="85"/>
    </row>
    <row r="8664" spans="11:16">
      <c r="K8664" s="85">
        <v>35</v>
      </c>
      <c r="L8664" s="78"/>
      <c r="M8664" s="78"/>
      <c r="N8664" s="78"/>
      <c r="P8664" s="85"/>
    </row>
    <row r="8665" spans="11:16">
      <c r="K8665" s="85">
        <v>25</v>
      </c>
      <c r="L8665" s="78"/>
      <c r="M8665" s="78"/>
      <c r="N8665" s="78"/>
      <c r="P8665" s="85"/>
    </row>
    <row r="8666" spans="11:16">
      <c r="K8666" s="85">
        <v>26</v>
      </c>
      <c r="L8666" s="78"/>
      <c r="M8666" s="78"/>
      <c r="N8666" s="78"/>
      <c r="P8666" s="85"/>
    </row>
    <row r="8667" spans="11:16">
      <c r="K8667" s="85">
        <v>27</v>
      </c>
      <c r="L8667" s="78"/>
      <c r="M8667" s="78"/>
      <c r="N8667" s="78"/>
      <c r="P8667" s="85"/>
    </row>
    <row r="8668" spans="11:16">
      <c r="K8668" s="85">
        <v>28</v>
      </c>
      <c r="L8668" s="78"/>
      <c r="M8668" s="78"/>
      <c r="N8668" s="78"/>
      <c r="P8668" s="85"/>
    </row>
    <row r="8669" spans="11:16">
      <c r="K8669" s="85">
        <v>29</v>
      </c>
      <c r="L8669" s="78"/>
      <c r="M8669" s="78"/>
      <c r="N8669" s="78"/>
      <c r="P8669" s="85"/>
    </row>
    <row r="8670" spans="11:16">
      <c r="K8670" s="85">
        <v>30</v>
      </c>
      <c r="L8670" s="78"/>
      <c r="M8670" s="78"/>
      <c r="N8670" s="78"/>
      <c r="P8670" s="85"/>
    </row>
    <row r="8671" spans="11:16">
      <c r="K8671" s="85">
        <v>32</v>
      </c>
      <c r="L8671" s="78"/>
      <c r="M8671" s="78"/>
      <c r="N8671" s="78"/>
      <c r="P8671" s="85"/>
    </row>
    <row r="8672" spans="11:16">
      <c r="K8672" s="85">
        <v>33</v>
      </c>
      <c r="L8672" s="78"/>
      <c r="M8672" s="78"/>
      <c r="N8672" s="78"/>
      <c r="P8672" s="85"/>
    </row>
    <row r="8673" spans="11:16">
      <c r="K8673" s="85">
        <v>34</v>
      </c>
      <c r="L8673" s="78"/>
      <c r="M8673" s="78"/>
      <c r="N8673" s="78"/>
      <c r="P8673" s="85"/>
    </row>
    <row r="8674" spans="11:16">
      <c r="K8674" s="85">
        <v>35</v>
      </c>
      <c r="L8674" s="78"/>
      <c r="M8674" s="78"/>
      <c r="N8674" s="78"/>
      <c r="P8674" s="85"/>
    </row>
    <row r="8675" spans="11:16">
      <c r="K8675" s="85">
        <v>36</v>
      </c>
      <c r="L8675" s="78"/>
      <c r="M8675" s="78"/>
      <c r="N8675" s="78"/>
      <c r="P8675" s="85"/>
    </row>
    <row r="8676" spans="11:16">
      <c r="K8676" s="85">
        <v>25</v>
      </c>
      <c r="L8676" s="78"/>
      <c r="M8676" s="78"/>
      <c r="N8676" s="78"/>
      <c r="P8676" s="85"/>
    </row>
    <row r="8677" spans="11:16">
      <c r="K8677" s="85">
        <v>27</v>
      </c>
      <c r="L8677" s="78"/>
      <c r="M8677" s="78"/>
      <c r="N8677" s="78"/>
      <c r="P8677" s="85"/>
    </row>
    <row r="8678" spans="11:16">
      <c r="K8678" s="85">
        <v>32</v>
      </c>
      <c r="L8678" s="78"/>
      <c r="M8678" s="78"/>
      <c r="N8678" s="78"/>
      <c r="P8678" s="85"/>
    </row>
    <row r="8679" spans="11:16">
      <c r="K8679" s="85">
        <v>33</v>
      </c>
      <c r="L8679" s="78"/>
      <c r="M8679" s="78"/>
      <c r="N8679" s="78"/>
      <c r="P8679" s="85"/>
    </row>
    <row r="8680" spans="11:16">
      <c r="K8680" s="85">
        <v>34</v>
      </c>
      <c r="L8680" s="78"/>
      <c r="M8680" s="78"/>
      <c r="N8680" s="78"/>
      <c r="P8680" s="85"/>
    </row>
    <row r="8681" spans="11:16">
      <c r="K8681" s="85">
        <v>35</v>
      </c>
      <c r="L8681" s="78"/>
      <c r="M8681" s="78"/>
      <c r="N8681" s="78"/>
      <c r="P8681" s="85"/>
    </row>
    <row r="8682" spans="11:16">
      <c r="K8682" s="85">
        <v>25</v>
      </c>
      <c r="L8682" s="78"/>
      <c r="M8682" s="78"/>
      <c r="N8682" s="78"/>
      <c r="P8682" s="85"/>
    </row>
    <row r="8683" spans="11:16">
      <c r="K8683" s="85">
        <v>26</v>
      </c>
      <c r="L8683" s="78"/>
      <c r="M8683" s="78"/>
      <c r="N8683" s="78"/>
      <c r="P8683" s="85"/>
    </row>
    <row r="8684" spans="11:16">
      <c r="K8684" s="85">
        <v>27</v>
      </c>
      <c r="L8684" s="78"/>
      <c r="M8684" s="78"/>
      <c r="N8684" s="78"/>
      <c r="P8684" s="85"/>
    </row>
    <row r="8685" spans="11:16">
      <c r="K8685" s="85">
        <v>29</v>
      </c>
      <c r="L8685" s="78"/>
      <c r="M8685" s="78"/>
      <c r="N8685" s="78"/>
      <c r="P8685" s="85"/>
    </row>
    <row r="8686" spans="11:16">
      <c r="K8686" s="85">
        <v>30</v>
      </c>
      <c r="L8686" s="78"/>
      <c r="M8686" s="78"/>
      <c r="N8686" s="78"/>
      <c r="P8686" s="85"/>
    </row>
    <row r="8687" spans="11:16">
      <c r="K8687" s="85">
        <v>31</v>
      </c>
      <c r="L8687" s="78"/>
      <c r="M8687" s="78"/>
      <c r="N8687" s="78"/>
      <c r="P8687" s="85"/>
    </row>
    <row r="8688" spans="11:16">
      <c r="K8688" s="85">
        <v>32</v>
      </c>
      <c r="L8688" s="78"/>
      <c r="M8688" s="78"/>
      <c r="N8688" s="78"/>
      <c r="P8688" s="85"/>
    </row>
    <row r="8689" spans="11:16">
      <c r="K8689" s="85">
        <v>33</v>
      </c>
      <c r="L8689" s="78"/>
      <c r="M8689" s="78"/>
      <c r="N8689" s="78"/>
      <c r="P8689" s="85"/>
    </row>
    <row r="8690" spans="11:16">
      <c r="K8690" s="85">
        <v>34</v>
      </c>
      <c r="L8690" s="78"/>
      <c r="M8690" s="78"/>
      <c r="N8690" s="78"/>
      <c r="P8690" s="85"/>
    </row>
    <row r="8691" spans="11:16">
      <c r="K8691" s="85">
        <v>35</v>
      </c>
      <c r="L8691" s="78"/>
      <c r="M8691" s="78"/>
      <c r="N8691" s="78"/>
      <c r="P8691" s="85"/>
    </row>
    <row r="8692" spans="11:16">
      <c r="K8692" s="85">
        <v>36</v>
      </c>
      <c r="L8692" s="78"/>
      <c r="M8692" s="78"/>
      <c r="N8692" s="78"/>
      <c r="P8692" s="85"/>
    </row>
    <row r="8693" spans="11:16">
      <c r="K8693" s="85">
        <v>25</v>
      </c>
      <c r="L8693" s="78"/>
      <c r="M8693" s="78"/>
      <c r="N8693" s="78"/>
      <c r="P8693" s="85"/>
    </row>
    <row r="8694" spans="11:16">
      <c r="K8694" s="85">
        <v>26</v>
      </c>
      <c r="L8694" s="78"/>
      <c r="M8694" s="78"/>
      <c r="N8694" s="78"/>
      <c r="P8694" s="85"/>
    </row>
    <row r="8695" spans="11:16">
      <c r="K8695" s="85">
        <v>27</v>
      </c>
      <c r="L8695" s="78"/>
      <c r="M8695" s="78"/>
      <c r="N8695" s="78"/>
      <c r="P8695" s="85"/>
    </row>
    <row r="8696" spans="11:16">
      <c r="K8696" s="85">
        <v>29</v>
      </c>
      <c r="L8696" s="78"/>
      <c r="M8696" s="78"/>
      <c r="N8696" s="78"/>
      <c r="P8696" s="85"/>
    </row>
    <row r="8697" spans="11:16">
      <c r="K8697" s="85">
        <v>30</v>
      </c>
      <c r="L8697" s="78"/>
      <c r="M8697" s="78"/>
      <c r="N8697" s="78"/>
      <c r="P8697" s="85"/>
    </row>
    <row r="8698" spans="11:16">
      <c r="K8698" s="85">
        <v>31</v>
      </c>
      <c r="L8698" s="78"/>
      <c r="M8698" s="78"/>
      <c r="N8698" s="78"/>
      <c r="P8698" s="85"/>
    </row>
    <row r="8699" spans="11:16">
      <c r="K8699" s="85">
        <v>34</v>
      </c>
      <c r="L8699" s="78"/>
      <c r="M8699" s="78"/>
      <c r="N8699" s="78"/>
      <c r="P8699" s="85"/>
    </row>
    <row r="8700" spans="11:16">
      <c r="K8700" s="85">
        <v>35</v>
      </c>
      <c r="L8700" s="78"/>
      <c r="M8700" s="78"/>
      <c r="N8700" s="78"/>
      <c r="P8700" s="85"/>
    </row>
    <row r="8701" spans="11:16">
      <c r="K8701" s="85">
        <v>25</v>
      </c>
      <c r="L8701" s="78"/>
      <c r="M8701" s="78"/>
      <c r="N8701" s="78"/>
      <c r="P8701" s="85"/>
    </row>
    <row r="8702" spans="11:16">
      <c r="K8702" s="85">
        <v>26</v>
      </c>
      <c r="L8702" s="78"/>
      <c r="M8702" s="78"/>
      <c r="N8702" s="78"/>
      <c r="P8702" s="85"/>
    </row>
    <row r="8703" spans="11:16">
      <c r="K8703" s="85">
        <v>27</v>
      </c>
      <c r="L8703" s="78"/>
      <c r="M8703" s="78"/>
      <c r="N8703" s="78"/>
      <c r="P8703" s="85"/>
    </row>
    <row r="8704" spans="11:16">
      <c r="K8704" s="85">
        <v>28</v>
      </c>
      <c r="L8704" s="78"/>
      <c r="M8704" s="78"/>
      <c r="N8704" s="78"/>
      <c r="P8704" s="85"/>
    </row>
    <row r="8705" spans="11:16">
      <c r="K8705" s="85">
        <v>29</v>
      </c>
      <c r="L8705" s="78"/>
      <c r="M8705" s="78"/>
      <c r="N8705" s="78"/>
      <c r="P8705" s="85"/>
    </row>
    <row r="8706" spans="11:16">
      <c r="K8706" s="85">
        <v>30</v>
      </c>
      <c r="L8706" s="78"/>
      <c r="M8706" s="78"/>
      <c r="N8706" s="78"/>
      <c r="P8706" s="85"/>
    </row>
    <row r="8707" spans="11:16">
      <c r="K8707" s="85">
        <v>31</v>
      </c>
      <c r="L8707" s="78"/>
      <c r="M8707" s="78"/>
      <c r="N8707" s="78"/>
      <c r="P8707" s="85"/>
    </row>
    <row r="8708" spans="11:16">
      <c r="K8708" s="85">
        <v>32</v>
      </c>
      <c r="L8708" s="78"/>
      <c r="M8708" s="78"/>
      <c r="N8708" s="78"/>
      <c r="P8708" s="85"/>
    </row>
    <row r="8709" spans="11:16">
      <c r="K8709" s="85">
        <v>34</v>
      </c>
      <c r="L8709" s="78"/>
      <c r="M8709" s="78"/>
      <c r="N8709" s="78"/>
      <c r="P8709" s="85"/>
    </row>
    <row r="8710" spans="11:16">
      <c r="K8710" s="85">
        <v>35</v>
      </c>
      <c r="L8710" s="78"/>
      <c r="M8710" s="78"/>
      <c r="N8710" s="78"/>
      <c r="P8710" s="85"/>
    </row>
    <row r="8711" spans="11:16">
      <c r="K8711" s="85">
        <v>25</v>
      </c>
      <c r="L8711" s="78"/>
      <c r="M8711" s="78"/>
      <c r="N8711" s="78"/>
      <c r="P8711" s="85"/>
    </row>
    <row r="8712" spans="11:16">
      <c r="K8712" s="85">
        <v>26</v>
      </c>
      <c r="L8712" s="78"/>
      <c r="M8712" s="78"/>
      <c r="N8712" s="78"/>
      <c r="P8712" s="85"/>
    </row>
    <row r="8713" spans="11:16">
      <c r="K8713" s="85">
        <v>27</v>
      </c>
      <c r="L8713" s="78"/>
      <c r="M8713" s="78"/>
      <c r="N8713" s="78"/>
      <c r="P8713" s="85"/>
    </row>
    <row r="8714" spans="11:16">
      <c r="K8714" s="85">
        <v>28</v>
      </c>
      <c r="L8714" s="78"/>
      <c r="M8714" s="78"/>
      <c r="N8714" s="78"/>
      <c r="P8714" s="85"/>
    </row>
    <row r="8715" spans="11:16">
      <c r="K8715" s="85">
        <v>29</v>
      </c>
      <c r="L8715" s="78"/>
      <c r="M8715" s="78"/>
      <c r="N8715" s="78"/>
      <c r="P8715" s="85"/>
    </row>
    <row r="8716" spans="11:16">
      <c r="K8716" s="85">
        <v>30</v>
      </c>
      <c r="L8716" s="78"/>
      <c r="M8716" s="78"/>
      <c r="N8716" s="78"/>
      <c r="P8716" s="85"/>
    </row>
    <row r="8717" spans="11:16">
      <c r="K8717" s="85">
        <v>31</v>
      </c>
      <c r="L8717" s="78"/>
      <c r="M8717" s="78"/>
      <c r="N8717" s="78"/>
      <c r="P8717" s="85"/>
    </row>
    <row r="8718" spans="11:16">
      <c r="K8718" s="85">
        <v>32</v>
      </c>
      <c r="L8718" s="78"/>
      <c r="M8718" s="78"/>
      <c r="N8718" s="78"/>
      <c r="P8718" s="85"/>
    </row>
    <row r="8719" spans="11:16">
      <c r="K8719" s="85">
        <v>33</v>
      </c>
      <c r="L8719" s="78"/>
      <c r="M8719" s="78"/>
      <c r="N8719" s="78"/>
      <c r="P8719" s="85"/>
    </row>
    <row r="8720" spans="11:16">
      <c r="K8720" s="85">
        <v>34</v>
      </c>
      <c r="L8720" s="78"/>
      <c r="M8720" s="78"/>
      <c r="N8720" s="78"/>
      <c r="P8720" s="85"/>
    </row>
    <row r="8721" spans="11:16">
      <c r="K8721" s="85">
        <v>35</v>
      </c>
      <c r="L8721" s="78"/>
      <c r="M8721" s="78"/>
      <c r="N8721" s="78"/>
      <c r="P8721" s="85"/>
    </row>
    <row r="8722" spans="11:16">
      <c r="K8722" s="85">
        <v>36</v>
      </c>
      <c r="L8722" s="78"/>
      <c r="M8722" s="78"/>
      <c r="N8722" s="78"/>
      <c r="P8722" s="85"/>
    </row>
    <row r="8723" spans="11:16">
      <c r="K8723" s="85">
        <v>25</v>
      </c>
      <c r="L8723" s="78"/>
      <c r="M8723" s="78"/>
      <c r="N8723" s="78"/>
      <c r="P8723" s="85"/>
    </row>
    <row r="8724" spans="11:16">
      <c r="K8724" s="85">
        <v>30</v>
      </c>
      <c r="L8724" s="78"/>
      <c r="M8724" s="78"/>
      <c r="N8724" s="78"/>
      <c r="P8724" s="85"/>
    </row>
    <row r="8725" spans="11:16">
      <c r="K8725" s="85">
        <v>34</v>
      </c>
      <c r="L8725" s="78"/>
      <c r="M8725" s="78"/>
      <c r="N8725" s="78"/>
      <c r="P8725" s="85"/>
    </row>
    <row r="8726" spans="11:16">
      <c r="K8726" s="85">
        <v>35</v>
      </c>
      <c r="L8726" s="78"/>
      <c r="M8726" s="78"/>
      <c r="N8726" s="78"/>
      <c r="P8726" s="85"/>
    </row>
    <row r="8727" spans="11:16">
      <c r="K8727" s="85">
        <v>25</v>
      </c>
      <c r="L8727" s="78"/>
      <c r="M8727" s="78"/>
      <c r="N8727" s="78"/>
      <c r="P8727" s="85"/>
    </row>
    <row r="8728" spans="11:16">
      <c r="K8728" s="85">
        <v>27</v>
      </c>
      <c r="L8728" s="78"/>
      <c r="M8728" s="78"/>
      <c r="N8728" s="78"/>
      <c r="P8728" s="85"/>
    </row>
    <row r="8729" spans="11:16">
      <c r="K8729" s="85">
        <v>25</v>
      </c>
      <c r="L8729" s="78"/>
      <c r="M8729" s="78"/>
      <c r="N8729" s="78"/>
      <c r="P8729" s="85"/>
    </row>
    <row r="8730" spans="11:16">
      <c r="K8730" s="85">
        <v>26</v>
      </c>
      <c r="L8730" s="78"/>
      <c r="M8730" s="78"/>
      <c r="N8730" s="78"/>
      <c r="P8730" s="85"/>
    </row>
    <row r="8731" spans="11:16">
      <c r="K8731" s="85">
        <v>27</v>
      </c>
      <c r="L8731" s="78"/>
      <c r="M8731" s="78"/>
      <c r="N8731" s="78"/>
      <c r="P8731" s="85"/>
    </row>
    <row r="8732" spans="11:16">
      <c r="K8732" s="85">
        <v>28</v>
      </c>
      <c r="L8732" s="78"/>
      <c r="M8732" s="78"/>
      <c r="N8732" s="78"/>
      <c r="P8732" s="85"/>
    </row>
    <row r="8733" spans="11:16">
      <c r="K8733" s="85">
        <v>29</v>
      </c>
      <c r="L8733" s="78"/>
      <c r="M8733" s="78"/>
      <c r="N8733" s="78"/>
      <c r="P8733" s="85"/>
    </row>
    <row r="8734" spans="11:16">
      <c r="K8734" s="85">
        <v>30</v>
      </c>
      <c r="L8734" s="78"/>
      <c r="M8734" s="78"/>
      <c r="N8734" s="78"/>
      <c r="P8734" s="85"/>
    </row>
    <row r="8735" spans="11:16">
      <c r="K8735" s="85">
        <v>31</v>
      </c>
      <c r="L8735" s="78"/>
      <c r="M8735" s="78"/>
      <c r="N8735" s="78"/>
      <c r="P8735" s="85"/>
    </row>
    <row r="8736" spans="11:16">
      <c r="K8736" s="85">
        <v>32</v>
      </c>
      <c r="L8736" s="78"/>
      <c r="M8736" s="78"/>
      <c r="N8736" s="78"/>
      <c r="P8736" s="85"/>
    </row>
    <row r="8737" spans="11:16">
      <c r="K8737" s="85">
        <v>33</v>
      </c>
      <c r="L8737" s="78"/>
      <c r="M8737" s="78"/>
      <c r="N8737" s="78"/>
      <c r="P8737" s="85"/>
    </row>
    <row r="8738" spans="11:16">
      <c r="K8738" s="85">
        <v>34</v>
      </c>
      <c r="L8738" s="78"/>
      <c r="M8738" s="78"/>
      <c r="N8738" s="78"/>
      <c r="P8738" s="85"/>
    </row>
    <row r="8739" spans="11:16">
      <c r="K8739" s="85">
        <v>35</v>
      </c>
      <c r="L8739" s="78"/>
      <c r="M8739" s="78"/>
      <c r="N8739" s="78"/>
      <c r="P8739" s="85"/>
    </row>
    <row r="8740" spans="11:16">
      <c r="K8740" s="85">
        <v>25</v>
      </c>
      <c r="L8740" s="78"/>
      <c r="M8740" s="78"/>
      <c r="N8740" s="78"/>
      <c r="P8740" s="85"/>
    </row>
    <row r="8741" spans="11:16">
      <c r="K8741" s="85">
        <v>26</v>
      </c>
      <c r="L8741" s="78"/>
      <c r="M8741" s="78"/>
      <c r="N8741" s="78"/>
      <c r="P8741" s="85"/>
    </row>
    <row r="8742" spans="11:16">
      <c r="K8742" s="85">
        <v>27</v>
      </c>
      <c r="L8742" s="78"/>
      <c r="M8742" s="78"/>
      <c r="N8742" s="78"/>
      <c r="P8742" s="85"/>
    </row>
    <row r="8743" spans="11:16">
      <c r="K8743" s="85">
        <v>28</v>
      </c>
      <c r="L8743" s="78"/>
      <c r="M8743" s="78"/>
      <c r="N8743" s="78"/>
      <c r="P8743" s="85"/>
    </row>
    <row r="8744" spans="11:16">
      <c r="K8744" s="85">
        <v>31</v>
      </c>
      <c r="L8744" s="78"/>
      <c r="M8744" s="78"/>
      <c r="N8744" s="78"/>
      <c r="P8744" s="85"/>
    </row>
    <row r="8745" spans="11:16">
      <c r="K8745" s="85">
        <v>32</v>
      </c>
      <c r="L8745" s="78"/>
      <c r="M8745" s="78"/>
      <c r="N8745" s="78"/>
      <c r="P8745" s="85"/>
    </row>
    <row r="8746" spans="11:16">
      <c r="K8746" s="85">
        <v>34</v>
      </c>
      <c r="L8746" s="78"/>
      <c r="M8746" s="78"/>
      <c r="N8746" s="78"/>
      <c r="P8746" s="85"/>
    </row>
    <row r="8747" spans="11:16">
      <c r="K8747" s="85">
        <v>25</v>
      </c>
      <c r="L8747" s="78"/>
      <c r="M8747" s="78"/>
      <c r="N8747" s="78"/>
      <c r="P8747" s="85"/>
    </row>
    <row r="8748" spans="11:16">
      <c r="K8748" s="85">
        <v>27</v>
      </c>
      <c r="L8748" s="78"/>
      <c r="M8748" s="78"/>
      <c r="N8748" s="78"/>
      <c r="P8748" s="85"/>
    </row>
    <row r="8749" spans="11:16">
      <c r="K8749" s="85">
        <v>25</v>
      </c>
      <c r="L8749" s="78"/>
      <c r="M8749" s="78"/>
      <c r="N8749" s="78"/>
      <c r="P8749" s="85"/>
    </row>
    <row r="8750" spans="11:16">
      <c r="K8750" s="85">
        <v>26</v>
      </c>
      <c r="L8750" s="78"/>
      <c r="M8750" s="78"/>
      <c r="N8750" s="78"/>
      <c r="P8750" s="85"/>
    </row>
    <row r="8751" spans="11:16">
      <c r="K8751" s="85">
        <v>27</v>
      </c>
      <c r="L8751" s="78"/>
      <c r="M8751" s="78"/>
      <c r="N8751" s="78"/>
      <c r="P8751" s="85"/>
    </row>
    <row r="8752" spans="11:16">
      <c r="K8752" s="85">
        <v>28</v>
      </c>
      <c r="L8752" s="78"/>
      <c r="M8752" s="78"/>
      <c r="N8752" s="78"/>
      <c r="P8752" s="85"/>
    </row>
    <row r="8753" spans="11:16">
      <c r="K8753" s="85">
        <v>29</v>
      </c>
      <c r="L8753" s="78"/>
      <c r="M8753" s="78"/>
      <c r="N8753" s="78"/>
      <c r="P8753" s="85"/>
    </row>
    <row r="8754" spans="11:16">
      <c r="K8754" s="85">
        <v>30</v>
      </c>
      <c r="L8754" s="78"/>
      <c r="M8754" s="78"/>
      <c r="N8754" s="78"/>
      <c r="P8754" s="85"/>
    </row>
    <row r="8755" spans="11:16">
      <c r="K8755" s="85">
        <v>31</v>
      </c>
      <c r="L8755" s="78"/>
      <c r="M8755" s="78"/>
      <c r="N8755" s="78"/>
      <c r="P8755" s="85"/>
    </row>
    <row r="8756" spans="11:16">
      <c r="K8756" s="85">
        <v>32</v>
      </c>
      <c r="L8756" s="78"/>
      <c r="M8756" s="78"/>
      <c r="N8756" s="78"/>
      <c r="P8756" s="85"/>
    </row>
    <row r="8757" spans="11:16">
      <c r="K8757" s="85">
        <v>33</v>
      </c>
      <c r="L8757" s="78"/>
      <c r="M8757" s="78"/>
      <c r="N8757" s="78"/>
      <c r="P8757" s="85"/>
    </row>
    <row r="8758" spans="11:16">
      <c r="K8758" s="85">
        <v>34</v>
      </c>
      <c r="L8758" s="78"/>
      <c r="M8758" s="78"/>
      <c r="N8758" s="78"/>
      <c r="P8758" s="85"/>
    </row>
    <row r="8759" spans="11:16">
      <c r="K8759" s="85">
        <v>35</v>
      </c>
      <c r="L8759" s="78"/>
      <c r="M8759" s="78"/>
      <c r="N8759" s="78"/>
      <c r="P8759" s="85"/>
    </row>
    <row r="8760" spans="11:16">
      <c r="K8760" s="85">
        <v>36</v>
      </c>
      <c r="L8760" s="78"/>
      <c r="M8760" s="78"/>
      <c r="N8760" s="78"/>
      <c r="P8760" s="85"/>
    </row>
    <row r="8761" spans="11:16">
      <c r="K8761" s="85">
        <v>25</v>
      </c>
      <c r="L8761" s="78"/>
      <c r="M8761" s="78"/>
      <c r="N8761" s="78"/>
      <c r="P8761" s="85"/>
    </row>
    <row r="8762" spans="11:16">
      <c r="K8762" s="85">
        <v>27</v>
      </c>
      <c r="L8762" s="78"/>
      <c r="M8762" s="78"/>
      <c r="N8762" s="78"/>
      <c r="P8762" s="85"/>
    </row>
    <row r="8763" spans="11:16">
      <c r="K8763" s="85">
        <v>29</v>
      </c>
      <c r="L8763" s="78"/>
      <c r="M8763" s="78"/>
      <c r="N8763" s="78"/>
      <c r="P8763" s="85"/>
    </row>
    <row r="8764" spans="11:16">
      <c r="K8764" s="85">
        <v>31</v>
      </c>
      <c r="L8764" s="78"/>
      <c r="M8764" s="78"/>
      <c r="N8764" s="78"/>
      <c r="P8764" s="85"/>
    </row>
    <row r="8765" spans="11:16">
      <c r="K8765" s="85">
        <v>36</v>
      </c>
      <c r="L8765" s="78"/>
      <c r="M8765" s="78"/>
      <c r="N8765" s="78"/>
      <c r="P8765" s="85"/>
    </row>
    <row r="8766" spans="11:16">
      <c r="K8766" s="85">
        <v>25</v>
      </c>
      <c r="L8766" s="78"/>
      <c r="M8766" s="78"/>
      <c r="N8766" s="78"/>
      <c r="P8766" s="85"/>
    </row>
    <row r="8767" spans="11:16">
      <c r="K8767" s="85">
        <v>26</v>
      </c>
      <c r="L8767" s="78"/>
      <c r="M8767" s="78"/>
      <c r="N8767" s="78"/>
      <c r="P8767" s="85"/>
    </row>
    <row r="8768" spans="11:16">
      <c r="K8768" s="85">
        <v>27</v>
      </c>
      <c r="L8768" s="78"/>
      <c r="M8768" s="78"/>
      <c r="N8768" s="78"/>
      <c r="P8768" s="85"/>
    </row>
    <row r="8769" spans="11:16">
      <c r="K8769" s="85">
        <v>28</v>
      </c>
      <c r="L8769" s="78"/>
      <c r="M8769" s="78"/>
      <c r="N8769" s="78"/>
      <c r="P8769" s="85"/>
    </row>
    <row r="8770" spans="11:16">
      <c r="K8770" s="85">
        <v>29</v>
      </c>
      <c r="L8770" s="78"/>
      <c r="M8770" s="78"/>
      <c r="N8770" s="78"/>
      <c r="P8770" s="85"/>
    </row>
    <row r="8771" spans="11:16">
      <c r="K8771" s="85">
        <v>30</v>
      </c>
      <c r="L8771" s="78"/>
      <c r="M8771" s="78"/>
      <c r="N8771" s="78"/>
      <c r="P8771" s="85"/>
    </row>
    <row r="8772" spans="11:16">
      <c r="K8772" s="85">
        <v>31</v>
      </c>
      <c r="L8772" s="78"/>
      <c r="M8772" s="78"/>
      <c r="N8772" s="78"/>
      <c r="P8772" s="85"/>
    </row>
    <row r="8773" spans="11:16">
      <c r="K8773" s="85">
        <v>32</v>
      </c>
      <c r="L8773" s="78"/>
      <c r="M8773" s="78"/>
      <c r="N8773" s="78"/>
      <c r="P8773" s="85"/>
    </row>
    <row r="8774" spans="11:16">
      <c r="K8774" s="85">
        <v>33</v>
      </c>
      <c r="L8774" s="78"/>
      <c r="M8774" s="78"/>
      <c r="N8774" s="78"/>
      <c r="P8774" s="85"/>
    </row>
    <row r="8775" spans="11:16">
      <c r="K8775" s="85">
        <v>34</v>
      </c>
      <c r="L8775" s="78"/>
      <c r="M8775" s="78"/>
      <c r="N8775" s="78"/>
      <c r="P8775" s="85"/>
    </row>
    <row r="8776" spans="11:16">
      <c r="K8776" s="85">
        <v>35</v>
      </c>
      <c r="L8776" s="78"/>
      <c r="M8776" s="78"/>
      <c r="N8776" s="78"/>
      <c r="P8776" s="85"/>
    </row>
    <row r="8777" spans="11:16">
      <c r="K8777" s="85">
        <v>25</v>
      </c>
      <c r="L8777" s="78"/>
      <c r="M8777" s="78"/>
      <c r="N8777" s="78"/>
      <c r="P8777" s="85"/>
    </row>
    <row r="8778" spans="11:16">
      <c r="K8778" s="85">
        <v>27</v>
      </c>
      <c r="L8778" s="78"/>
      <c r="M8778" s="78"/>
      <c r="N8778" s="78"/>
      <c r="P8778" s="85"/>
    </row>
    <row r="8779" spans="11:16">
      <c r="K8779" s="85">
        <v>30</v>
      </c>
      <c r="L8779" s="78"/>
      <c r="M8779" s="78"/>
      <c r="N8779" s="78"/>
      <c r="P8779" s="85"/>
    </row>
    <row r="8780" spans="11:16">
      <c r="K8780" s="85">
        <v>31</v>
      </c>
      <c r="L8780" s="78"/>
      <c r="M8780" s="78"/>
      <c r="N8780" s="78"/>
      <c r="P8780" s="85"/>
    </row>
    <row r="8781" spans="11:16">
      <c r="K8781" s="85">
        <v>25</v>
      </c>
      <c r="L8781" s="78"/>
      <c r="M8781" s="78"/>
      <c r="N8781" s="78"/>
      <c r="P8781" s="85"/>
    </row>
    <row r="8782" spans="11:16">
      <c r="K8782" s="85">
        <v>26</v>
      </c>
      <c r="L8782" s="78"/>
      <c r="M8782" s="78"/>
      <c r="N8782" s="78"/>
      <c r="P8782" s="85"/>
    </row>
    <row r="8783" spans="11:16">
      <c r="K8783" s="85">
        <v>27</v>
      </c>
      <c r="L8783" s="78"/>
      <c r="M8783" s="78"/>
      <c r="N8783" s="78"/>
      <c r="P8783" s="85"/>
    </row>
    <row r="8784" spans="11:16">
      <c r="K8784" s="85">
        <v>28</v>
      </c>
      <c r="L8784" s="78"/>
      <c r="M8784" s="78"/>
      <c r="N8784" s="78"/>
      <c r="P8784" s="85"/>
    </row>
    <row r="8785" spans="11:16">
      <c r="K8785" s="85">
        <v>29</v>
      </c>
      <c r="L8785" s="78"/>
      <c r="M8785" s="78"/>
      <c r="N8785" s="78"/>
      <c r="P8785" s="85"/>
    </row>
    <row r="8786" spans="11:16">
      <c r="K8786" s="85">
        <v>30</v>
      </c>
      <c r="L8786" s="78"/>
      <c r="M8786" s="78"/>
      <c r="N8786" s="78"/>
      <c r="P8786" s="85"/>
    </row>
    <row r="8787" spans="11:16">
      <c r="K8787" s="85">
        <v>33</v>
      </c>
      <c r="L8787" s="78"/>
      <c r="M8787" s="78"/>
      <c r="N8787" s="78"/>
      <c r="P8787" s="85"/>
    </row>
    <row r="8788" spans="11:16">
      <c r="K8788" s="85">
        <v>34</v>
      </c>
      <c r="L8788" s="78"/>
      <c r="M8788" s="78"/>
      <c r="N8788" s="78"/>
      <c r="P8788" s="85"/>
    </row>
    <row r="8789" spans="11:16">
      <c r="K8789" s="85">
        <v>35</v>
      </c>
      <c r="L8789" s="78"/>
      <c r="M8789" s="78"/>
      <c r="N8789" s="78"/>
      <c r="P8789" s="85"/>
    </row>
    <row r="8790" spans="11:16">
      <c r="K8790" s="85">
        <v>36</v>
      </c>
      <c r="L8790" s="78"/>
      <c r="M8790" s="78"/>
      <c r="N8790" s="78"/>
      <c r="P8790" s="85"/>
    </row>
    <row r="8791" spans="11:16">
      <c r="K8791" s="85">
        <v>25</v>
      </c>
      <c r="L8791" s="78"/>
      <c r="M8791" s="78"/>
      <c r="N8791" s="78"/>
      <c r="P8791" s="85"/>
    </row>
    <row r="8792" spans="11:16">
      <c r="K8792" s="85">
        <v>26</v>
      </c>
      <c r="L8792" s="78"/>
      <c r="M8792" s="78"/>
      <c r="N8792" s="78"/>
      <c r="P8792" s="85"/>
    </row>
    <row r="8793" spans="11:16">
      <c r="K8793" s="85">
        <v>27</v>
      </c>
      <c r="L8793" s="78"/>
      <c r="M8793" s="78"/>
      <c r="N8793" s="78"/>
      <c r="P8793" s="85"/>
    </row>
    <row r="8794" spans="11:16">
      <c r="K8794" s="85">
        <v>28</v>
      </c>
      <c r="L8794" s="78"/>
      <c r="M8794" s="78"/>
      <c r="N8794" s="78"/>
      <c r="P8794" s="85"/>
    </row>
    <row r="8795" spans="11:16">
      <c r="K8795" s="85">
        <v>30</v>
      </c>
      <c r="L8795" s="78"/>
      <c r="M8795" s="78"/>
      <c r="N8795" s="78"/>
      <c r="P8795" s="85"/>
    </row>
    <row r="8796" spans="11:16">
      <c r="K8796" s="85">
        <v>33</v>
      </c>
      <c r="L8796" s="78"/>
      <c r="M8796" s="78"/>
      <c r="N8796" s="78"/>
      <c r="P8796" s="85"/>
    </row>
    <row r="8797" spans="11:16">
      <c r="K8797" s="85">
        <v>34</v>
      </c>
      <c r="L8797" s="78"/>
      <c r="M8797" s="78"/>
      <c r="N8797" s="78"/>
      <c r="P8797" s="85"/>
    </row>
    <row r="8798" spans="11:16">
      <c r="K8798" s="85">
        <v>35</v>
      </c>
      <c r="L8798" s="78"/>
      <c r="M8798" s="78"/>
      <c r="N8798" s="78"/>
      <c r="P8798" s="85"/>
    </row>
    <row r="8799" spans="11:16">
      <c r="K8799" s="85">
        <v>36</v>
      </c>
      <c r="L8799" s="78"/>
      <c r="M8799" s="78"/>
      <c r="N8799" s="78"/>
      <c r="P8799" s="85"/>
    </row>
    <row r="8800" spans="11:16">
      <c r="K8800" s="85">
        <v>25</v>
      </c>
      <c r="L8800" s="78"/>
      <c r="M8800" s="78"/>
      <c r="N8800" s="78"/>
      <c r="P8800" s="85"/>
    </row>
    <row r="8801" spans="11:16">
      <c r="K8801" s="85">
        <v>27</v>
      </c>
      <c r="L8801" s="78"/>
      <c r="M8801" s="78"/>
      <c r="N8801" s="78"/>
      <c r="P8801" s="85"/>
    </row>
    <row r="8802" spans="11:16">
      <c r="K8802" s="85">
        <v>28</v>
      </c>
      <c r="L8802" s="78"/>
      <c r="M8802" s="78"/>
      <c r="N8802" s="78"/>
      <c r="P8802" s="85"/>
    </row>
    <row r="8803" spans="11:16">
      <c r="K8803" s="85">
        <v>29</v>
      </c>
      <c r="L8803" s="78"/>
      <c r="M8803" s="78"/>
      <c r="N8803" s="78"/>
      <c r="P8803" s="85"/>
    </row>
    <row r="8804" spans="11:16">
      <c r="K8804" s="85">
        <v>30</v>
      </c>
      <c r="L8804" s="78"/>
      <c r="M8804" s="78"/>
      <c r="N8804" s="78"/>
      <c r="P8804" s="85"/>
    </row>
    <row r="8805" spans="11:16">
      <c r="K8805" s="85">
        <v>33</v>
      </c>
      <c r="L8805" s="78"/>
      <c r="M8805" s="78"/>
      <c r="N8805" s="78"/>
      <c r="P8805" s="85"/>
    </row>
    <row r="8806" spans="11:16">
      <c r="K8806" s="85">
        <v>34</v>
      </c>
      <c r="L8806" s="78"/>
      <c r="M8806" s="78"/>
      <c r="N8806" s="78"/>
      <c r="P8806" s="85"/>
    </row>
    <row r="8807" spans="11:16">
      <c r="K8807" s="85">
        <v>35</v>
      </c>
      <c r="L8807" s="78"/>
      <c r="M8807" s="78"/>
      <c r="N8807" s="78"/>
      <c r="P8807" s="85"/>
    </row>
    <row r="8808" spans="11:16">
      <c r="K8808" s="85">
        <v>36</v>
      </c>
      <c r="L8808" s="78"/>
      <c r="M8808" s="78"/>
      <c r="N8808" s="78"/>
      <c r="P8808" s="85"/>
    </row>
    <row r="8809" spans="11:16">
      <c r="K8809" s="85">
        <v>25</v>
      </c>
      <c r="L8809" s="78"/>
      <c r="M8809" s="78"/>
      <c r="N8809" s="78"/>
      <c r="P8809" s="85"/>
    </row>
    <row r="8810" spans="11:16">
      <c r="K8810" s="85">
        <v>27</v>
      </c>
      <c r="L8810" s="78"/>
      <c r="M8810" s="78"/>
      <c r="N8810" s="78"/>
      <c r="P8810" s="85"/>
    </row>
    <row r="8811" spans="11:16">
      <c r="K8811" s="85">
        <v>30</v>
      </c>
      <c r="L8811" s="78"/>
      <c r="M8811" s="78"/>
      <c r="N8811" s="78"/>
      <c r="P8811" s="85"/>
    </row>
    <row r="8812" spans="11:16">
      <c r="K8812" s="85">
        <v>31</v>
      </c>
      <c r="L8812" s="78"/>
      <c r="M8812" s="78"/>
      <c r="N8812" s="78"/>
      <c r="P8812" s="85"/>
    </row>
    <row r="8813" spans="11:16">
      <c r="K8813" s="85">
        <v>32</v>
      </c>
      <c r="L8813" s="78"/>
      <c r="M8813" s="78"/>
      <c r="N8813" s="78"/>
      <c r="P8813" s="85"/>
    </row>
    <row r="8814" spans="11:16">
      <c r="K8814" s="85">
        <v>34</v>
      </c>
      <c r="L8814" s="78"/>
      <c r="M8814" s="78"/>
      <c r="N8814" s="78"/>
      <c r="P8814" s="85"/>
    </row>
    <row r="8815" spans="11:16">
      <c r="K8815" s="85">
        <v>35</v>
      </c>
      <c r="L8815" s="78"/>
      <c r="M8815" s="78"/>
      <c r="N8815" s="78"/>
      <c r="P8815" s="85"/>
    </row>
    <row r="8816" spans="11:16">
      <c r="K8816" s="85">
        <v>25</v>
      </c>
      <c r="L8816" s="78"/>
      <c r="M8816" s="78"/>
      <c r="N8816" s="78"/>
      <c r="P8816" s="85"/>
    </row>
    <row r="8817" spans="11:16">
      <c r="K8817" s="85">
        <v>26</v>
      </c>
      <c r="L8817" s="78"/>
      <c r="M8817" s="78"/>
      <c r="N8817" s="78"/>
      <c r="P8817" s="85"/>
    </row>
    <row r="8818" spans="11:16">
      <c r="K8818" s="85">
        <v>27</v>
      </c>
      <c r="L8818" s="78"/>
      <c r="M8818" s="78"/>
      <c r="N8818" s="78"/>
      <c r="P8818" s="85"/>
    </row>
    <row r="8819" spans="11:16">
      <c r="K8819" s="85">
        <v>28</v>
      </c>
      <c r="L8819" s="78"/>
      <c r="M8819" s="78"/>
      <c r="N8819" s="78"/>
      <c r="P8819" s="85"/>
    </row>
    <row r="8820" spans="11:16">
      <c r="K8820" s="85">
        <v>29</v>
      </c>
      <c r="L8820" s="78"/>
      <c r="M8820" s="78"/>
      <c r="N8820" s="78"/>
      <c r="P8820" s="85"/>
    </row>
    <row r="8821" spans="11:16">
      <c r="K8821" s="85">
        <v>30</v>
      </c>
      <c r="L8821" s="78"/>
      <c r="M8821" s="78"/>
      <c r="N8821" s="78"/>
      <c r="P8821" s="85"/>
    </row>
    <row r="8822" spans="11:16">
      <c r="K8822" s="85">
        <v>31</v>
      </c>
      <c r="L8822" s="78"/>
      <c r="M8822" s="78"/>
      <c r="N8822" s="78"/>
      <c r="P8822" s="85"/>
    </row>
    <row r="8823" spans="11:16">
      <c r="K8823" s="85">
        <v>32</v>
      </c>
      <c r="L8823" s="78"/>
      <c r="M8823" s="78"/>
      <c r="N8823" s="78"/>
      <c r="P8823" s="85"/>
    </row>
    <row r="8824" spans="11:16">
      <c r="K8824" s="85">
        <v>33</v>
      </c>
      <c r="L8824" s="78"/>
      <c r="M8824" s="78"/>
      <c r="N8824" s="78"/>
      <c r="P8824" s="85"/>
    </row>
    <row r="8825" spans="11:16">
      <c r="K8825" s="85">
        <v>34</v>
      </c>
      <c r="L8825" s="78"/>
      <c r="M8825" s="78"/>
      <c r="N8825" s="78"/>
      <c r="P8825" s="85"/>
    </row>
    <row r="8826" spans="11:16">
      <c r="K8826" s="85">
        <v>35</v>
      </c>
      <c r="L8826" s="78"/>
      <c r="M8826" s="78"/>
      <c r="N8826" s="78"/>
      <c r="P8826" s="85"/>
    </row>
    <row r="8827" spans="11:16">
      <c r="K8827" s="85">
        <v>36</v>
      </c>
      <c r="L8827" s="78"/>
      <c r="M8827" s="78"/>
      <c r="N8827" s="78"/>
      <c r="P8827" s="85"/>
    </row>
    <row r="8828" spans="11:16">
      <c r="K8828" s="85">
        <v>25</v>
      </c>
      <c r="L8828" s="78"/>
      <c r="M8828" s="78"/>
      <c r="N8828" s="78"/>
      <c r="P8828" s="85"/>
    </row>
    <row r="8829" spans="11:16">
      <c r="K8829" s="85">
        <v>26</v>
      </c>
      <c r="L8829" s="78"/>
      <c r="M8829" s="78"/>
      <c r="N8829" s="78"/>
      <c r="P8829" s="85"/>
    </row>
    <row r="8830" spans="11:16">
      <c r="K8830" s="85">
        <v>27</v>
      </c>
      <c r="L8830" s="78"/>
      <c r="M8830" s="78"/>
      <c r="N8830" s="78"/>
      <c r="P8830" s="85"/>
    </row>
    <row r="8831" spans="11:16">
      <c r="K8831" s="85">
        <v>28</v>
      </c>
      <c r="L8831" s="78"/>
      <c r="M8831" s="78"/>
      <c r="N8831" s="78"/>
      <c r="P8831" s="85"/>
    </row>
    <row r="8832" spans="11:16">
      <c r="K8832" s="85">
        <v>29</v>
      </c>
      <c r="L8832" s="78"/>
      <c r="M8832" s="78"/>
      <c r="N8832" s="78"/>
      <c r="P8832" s="85"/>
    </row>
    <row r="8833" spans="11:16">
      <c r="K8833" s="85">
        <v>30</v>
      </c>
      <c r="L8833" s="78"/>
      <c r="M8833" s="78"/>
      <c r="N8833" s="78"/>
      <c r="P8833" s="85"/>
    </row>
    <row r="8834" spans="11:16">
      <c r="K8834" s="85">
        <v>31</v>
      </c>
      <c r="L8834" s="78"/>
      <c r="M8834" s="78"/>
      <c r="N8834" s="78"/>
      <c r="P8834" s="85"/>
    </row>
    <row r="8835" spans="11:16">
      <c r="K8835" s="85">
        <v>32</v>
      </c>
      <c r="L8835" s="78"/>
      <c r="M8835" s="78"/>
      <c r="N8835" s="78"/>
      <c r="P8835" s="85"/>
    </row>
    <row r="8836" spans="11:16">
      <c r="K8836" s="85">
        <v>34</v>
      </c>
      <c r="L8836" s="78"/>
      <c r="M8836" s="78"/>
      <c r="N8836" s="78"/>
      <c r="P8836" s="85"/>
    </row>
    <row r="8837" spans="11:16">
      <c r="K8837" s="85">
        <v>35</v>
      </c>
      <c r="L8837" s="78"/>
      <c r="M8837" s="78"/>
      <c r="N8837" s="78"/>
      <c r="P8837" s="85"/>
    </row>
    <row r="8838" spans="11:16">
      <c r="K8838" s="85">
        <v>36</v>
      </c>
      <c r="L8838" s="78"/>
      <c r="M8838" s="78"/>
      <c r="N8838" s="78"/>
      <c r="P8838" s="85"/>
    </row>
    <row r="8839" spans="11:16">
      <c r="K8839" s="85">
        <v>32</v>
      </c>
      <c r="L8839" s="78"/>
      <c r="M8839" s="78"/>
      <c r="N8839" s="78"/>
      <c r="P8839" s="85"/>
    </row>
    <row r="8840" spans="11:16">
      <c r="K8840" s="85">
        <v>34</v>
      </c>
      <c r="L8840" s="78"/>
      <c r="M8840" s="78"/>
      <c r="N8840" s="78"/>
      <c r="P8840" s="85"/>
    </row>
    <row r="8841" spans="11:16">
      <c r="K8841" s="85">
        <v>35</v>
      </c>
      <c r="L8841" s="78"/>
      <c r="M8841" s="78"/>
      <c r="N8841" s="78"/>
      <c r="P8841" s="85"/>
    </row>
    <row r="8842" spans="11:16">
      <c r="K8842" s="85">
        <v>25</v>
      </c>
      <c r="L8842" s="78"/>
      <c r="M8842" s="78"/>
      <c r="N8842" s="78"/>
      <c r="P8842" s="85"/>
    </row>
    <row r="8843" spans="11:16">
      <c r="K8843" s="85">
        <v>27</v>
      </c>
      <c r="L8843" s="78"/>
      <c r="M8843" s="78"/>
      <c r="N8843" s="78"/>
      <c r="P8843" s="85"/>
    </row>
    <row r="8844" spans="11:16">
      <c r="K8844" s="85">
        <v>28</v>
      </c>
      <c r="L8844" s="78"/>
      <c r="M8844" s="78"/>
      <c r="N8844" s="78"/>
      <c r="P8844" s="85"/>
    </row>
    <row r="8845" spans="11:16">
      <c r="K8845" s="85">
        <v>31</v>
      </c>
      <c r="L8845" s="78"/>
      <c r="M8845" s="78"/>
      <c r="N8845" s="78"/>
      <c r="P8845" s="85"/>
    </row>
    <row r="8846" spans="11:16">
      <c r="K8846" s="85">
        <v>32</v>
      </c>
      <c r="L8846" s="78"/>
      <c r="M8846" s="78"/>
      <c r="N8846" s="78"/>
      <c r="P8846" s="85"/>
    </row>
    <row r="8847" spans="11:16">
      <c r="K8847" s="85">
        <v>34</v>
      </c>
      <c r="L8847" s="78"/>
      <c r="M8847" s="78"/>
      <c r="N8847" s="78"/>
      <c r="P8847" s="85"/>
    </row>
    <row r="8848" spans="11:16">
      <c r="K8848" s="85">
        <v>35</v>
      </c>
      <c r="L8848" s="78"/>
      <c r="M8848" s="78"/>
      <c r="N8848" s="78"/>
      <c r="P8848" s="85"/>
    </row>
    <row r="8849" spans="11:16">
      <c r="K8849" s="85">
        <v>36</v>
      </c>
      <c r="L8849" s="78"/>
      <c r="M8849" s="78"/>
      <c r="N8849" s="78"/>
      <c r="P8849" s="85"/>
    </row>
    <row r="8850" spans="11:16">
      <c r="K8850" s="85">
        <v>25</v>
      </c>
      <c r="L8850" s="78"/>
      <c r="M8850" s="78"/>
      <c r="N8850" s="78"/>
      <c r="P8850" s="85"/>
    </row>
    <row r="8851" spans="11:16">
      <c r="K8851" s="85">
        <v>27</v>
      </c>
      <c r="L8851" s="78"/>
      <c r="M8851" s="78"/>
      <c r="N8851" s="78"/>
      <c r="P8851" s="85"/>
    </row>
    <row r="8852" spans="11:16">
      <c r="K8852" s="85">
        <v>30</v>
      </c>
      <c r="L8852" s="78"/>
      <c r="M8852" s="78"/>
      <c r="N8852" s="78"/>
      <c r="P8852" s="85"/>
    </row>
    <row r="8853" spans="11:16">
      <c r="K8853" s="85">
        <v>31</v>
      </c>
      <c r="L8853" s="78"/>
      <c r="M8853" s="78"/>
      <c r="N8853" s="78"/>
      <c r="P8853" s="85"/>
    </row>
    <row r="8854" spans="11:16">
      <c r="K8854" s="85">
        <v>34</v>
      </c>
      <c r="L8854" s="78"/>
      <c r="M8854" s="78"/>
      <c r="N8854" s="78"/>
      <c r="P8854" s="85"/>
    </row>
    <row r="8855" spans="11:16">
      <c r="K8855" s="85">
        <v>35</v>
      </c>
      <c r="L8855" s="78"/>
      <c r="M8855" s="78"/>
      <c r="N8855" s="78"/>
      <c r="P8855" s="85"/>
    </row>
    <row r="8856" spans="11:16">
      <c r="K8856" s="85">
        <v>25</v>
      </c>
      <c r="L8856" s="78"/>
      <c r="M8856" s="78"/>
      <c r="N8856" s="78"/>
      <c r="P8856" s="85"/>
    </row>
    <row r="8857" spans="11:16">
      <c r="K8857" s="85">
        <v>26</v>
      </c>
      <c r="L8857" s="78"/>
      <c r="M8857" s="78"/>
      <c r="N8857" s="78"/>
      <c r="P8857" s="85"/>
    </row>
    <row r="8858" spans="11:16">
      <c r="K8858" s="85">
        <v>27</v>
      </c>
      <c r="L8858" s="78"/>
      <c r="M8858" s="78"/>
      <c r="N8858" s="78"/>
      <c r="P8858" s="85"/>
    </row>
    <row r="8859" spans="11:16">
      <c r="K8859" s="85">
        <v>29</v>
      </c>
      <c r="L8859" s="78"/>
      <c r="M8859" s="78"/>
      <c r="N8859" s="78"/>
      <c r="P8859" s="85"/>
    </row>
    <row r="8860" spans="11:16">
      <c r="K8860" s="85">
        <v>30</v>
      </c>
      <c r="L8860" s="78"/>
      <c r="M8860" s="78"/>
      <c r="N8860" s="78"/>
      <c r="P8860" s="85"/>
    </row>
    <row r="8861" spans="11:16">
      <c r="K8861" s="85">
        <v>31</v>
      </c>
      <c r="L8861" s="78"/>
      <c r="M8861" s="78"/>
      <c r="N8861" s="78"/>
      <c r="P8861" s="85"/>
    </row>
    <row r="8862" spans="11:16">
      <c r="K8862" s="85">
        <v>32</v>
      </c>
      <c r="L8862" s="78"/>
      <c r="M8862" s="78"/>
      <c r="N8862" s="78"/>
      <c r="P8862" s="85"/>
    </row>
    <row r="8863" spans="11:16">
      <c r="K8863" s="85">
        <v>33</v>
      </c>
      <c r="L8863" s="78"/>
      <c r="M8863" s="78"/>
      <c r="N8863" s="78"/>
      <c r="P8863" s="85"/>
    </row>
    <row r="8864" spans="11:16">
      <c r="K8864" s="85">
        <v>34</v>
      </c>
      <c r="L8864" s="78"/>
      <c r="M8864" s="78"/>
      <c r="N8864" s="78"/>
      <c r="P8864" s="85"/>
    </row>
    <row r="8865" spans="11:16">
      <c r="K8865" s="85">
        <v>35</v>
      </c>
      <c r="L8865" s="78"/>
      <c r="M8865" s="78"/>
      <c r="N8865" s="78"/>
      <c r="P8865" s="85"/>
    </row>
    <row r="8866" spans="11:16">
      <c r="K8866" s="85">
        <v>36</v>
      </c>
      <c r="L8866" s="78"/>
      <c r="M8866" s="78"/>
      <c r="N8866" s="78"/>
      <c r="P8866" s="85"/>
    </row>
    <row r="8867" spans="11:16">
      <c r="K8867" s="85">
        <v>27</v>
      </c>
      <c r="L8867" s="78"/>
      <c r="M8867" s="78"/>
      <c r="N8867" s="78"/>
      <c r="P8867" s="85"/>
    </row>
    <row r="8868" spans="11:16">
      <c r="K8868" s="85">
        <v>31</v>
      </c>
      <c r="L8868" s="78"/>
      <c r="M8868" s="78"/>
      <c r="N8868" s="78"/>
      <c r="P8868" s="85"/>
    </row>
    <row r="8869" spans="11:16">
      <c r="K8869" s="85">
        <v>34</v>
      </c>
      <c r="L8869" s="78"/>
      <c r="M8869" s="78"/>
      <c r="N8869" s="78"/>
      <c r="P8869" s="85"/>
    </row>
    <row r="8870" spans="11:16">
      <c r="K8870" s="85">
        <v>35</v>
      </c>
      <c r="L8870" s="78"/>
      <c r="M8870" s="78"/>
      <c r="N8870" s="78"/>
      <c r="P8870" s="85"/>
    </row>
    <row r="8871" spans="11:16">
      <c r="K8871" s="85">
        <v>25</v>
      </c>
      <c r="L8871" s="78"/>
      <c r="M8871" s="78"/>
      <c r="N8871" s="78"/>
      <c r="P8871" s="85"/>
    </row>
    <row r="8872" spans="11:16">
      <c r="K8872" s="85">
        <v>26</v>
      </c>
      <c r="L8872" s="78"/>
      <c r="M8872" s="78"/>
      <c r="N8872" s="78"/>
      <c r="P8872" s="85"/>
    </row>
    <row r="8873" spans="11:16">
      <c r="K8873" s="85">
        <v>27</v>
      </c>
      <c r="L8873" s="78"/>
      <c r="M8873" s="78"/>
      <c r="N8873" s="78"/>
      <c r="P8873" s="85"/>
    </row>
    <row r="8874" spans="11:16">
      <c r="K8874" s="85">
        <v>28</v>
      </c>
      <c r="L8874" s="78"/>
      <c r="M8874" s="78"/>
      <c r="N8874" s="78"/>
      <c r="P8874" s="85"/>
    </row>
    <row r="8875" spans="11:16">
      <c r="K8875" s="85">
        <v>29</v>
      </c>
      <c r="L8875" s="78"/>
      <c r="M8875" s="78"/>
      <c r="N8875" s="78"/>
      <c r="P8875" s="85"/>
    </row>
    <row r="8876" spans="11:16">
      <c r="K8876" s="85">
        <v>31</v>
      </c>
      <c r="L8876" s="78"/>
      <c r="M8876" s="78"/>
      <c r="N8876" s="78"/>
      <c r="P8876" s="85"/>
    </row>
    <row r="8877" spans="11:16">
      <c r="K8877" s="85">
        <v>32</v>
      </c>
      <c r="L8877" s="78"/>
      <c r="M8877" s="78"/>
      <c r="N8877" s="78"/>
      <c r="P8877" s="85"/>
    </row>
    <row r="8878" spans="11:16">
      <c r="K8878" s="85">
        <v>33</v>
      </c>
      <c r="L8878" s="78"/>
      <c r="M8878" s="78"/>
      <c r="N8878" s="78"/>
      <c r="P8878" s="85"/>
    </row>
    <row r="8879" spans="11:16">
      <c r="K8879" s="85">
        <v>34</v>
      </c>
      <c r="L8879" s="78"/>
      <c r="M8879" s="78"/>
      <c r="N8879" s="78"/>
      <c r="P8879" s="85"/>
    </row>
    <row r="8880" spans="11:16">
      <c r="K8880" s="85">
        <v>35</v>
      </c>
      <c r="L8880" s="78"/>
      <c r="M8880" s="78"/>
      <c r="N8880" s="78"/>
      <c r="P8880" s="85"/>
    </row>
    <row r="8881" spans="11:16">
      <c r="K8881" s="85">
        <v>36</v>
      </c>
      <c r="L8881" s="78"/>
      <c r="M8881" s="78"/>
      <c r="N8881" s="78"/>
      <c r="P8881" s="85"/>
    </row>
    <row r="8882" spans="11:16">
      <c r="K8882" s="85">
        <v>25</v>
      </c>
      <c r="L8882" s="78"/>
      <c r="M8882" s="78"/>
      <c r="N8882" s="78"/>
      <c r="P8882" s="85"/>
    </row>
    <row r="8883" spans="11:16">
      <c r="K8883" s="85">
        <v>26</v>
      </c>
      <c r="L8883" s="78"/>
      <c r="M8883" s="78"/>
      <c r="N8883" s="78"/>
      <c r="P8883" s="85"/>
    </row>
    <row r="8884" spans="11:16">
      <c r="K8884" s="85">
        <v>27</v>
      </c>
      <c r="L8884" s="78"/>
      <c r="M8884" s="78"/>
      <c r="N8884" s="78"/>
      <c r="P8884" s="85"/>
    </row>
    <row r="8885" spans="11:16">
      <c r="K8885" s="85">
        <v>28</v>
      </c>
      <c r="L8885" s="78"/>
      <c r="M8885" s="78"/>
      <c r="N8885" s="78"/>
      <c r="P8885" s="85"/>
    </row>
    <row r="8886" spans="11:16">
      <c r="K8886" s="85">
        <v>29</v>
      </c>
      <c r="L8886" s="78"/>
      <c r="M8886" s="78"/>
      <c r="N8886" s="78"/>
      <c r="P8886" s="85"/>
    </row>
    <row r="8887" spans="11:16">
      <c r="K8887" s="85">
        <v>30</v>
      </c>
      <c r="L8887" s="78"/>
      <c r="M8887" s="78"/>
      <c r="N8887" s="78"/>
      <c r="P8887" s="85"/>
    </row>
    <row r="8888" spans="11:16">
      <c r="K8888" s="85">
        <v>31</v>
      </c>
      <c r="L8888" s="78"/>
      <c r="M8888" s="78"/>
      <c r="N8888" s="78"/>
      <c r="P8888" s="85"/>
    </row>
    <row r="8889" spans="11:16">
      <c r="K8889" s="85">
        <v>32</v>
      </c>
      <c r="L8889" s="78"/>
      <c r="M8889" s="78"/>
      <c r="N8889" s="78"/>
      <c r="P8889" s="85"/>
    </row>
    <row r="8890" spans="11:16">
      <c r="K8890" s="85">
        <v>33</v>
      </c>
      <c r="L8890" s="78"/>
      <c r="M8890" s="78"/>
      <c r="N8890" s="78"/>
      <c r="P8890" s="85"/>
    </row>
    <row r="8891" spans="11:16">
      <c r="K8891" s="85">
        <v>34</v>
      </c>
      <c r="L8891" s="78"/>
      <c r="M8891" s="78"/>
      <c r="N8891" s="78"/>
      <c r="P8891" s="85"/>
    </row>
    <row r="8892" spans="11:16">
      <c r="K8892" s="85">
        <v>35</v>
      </c>
      <c r="L8892" s="78"/>
      <c r="M8892" s="78"/>
      <c r="N8892" s="78"/>
      <c r="P8892" s="85"/>
    </row>
    <row r="8893" spans="11:16">
      <c r="K8893" s="85">
        <v>25</v>
      </c>
      <c r="L8893" s="78"/>
      <c r="M8893" s="78"/>
      <c r="N8893" s="78"/>
      <c r="P8893" s="85"/>
    </row>
    <row r="8894" spans="11:16">
      <c r="K8894" s="85">
        <v>26</v>
      </c>
      <c r="L8894" s="78"/>
      <c r="M8894" s="78"/>
      <c r="N8894" s="78"/>
      <c r="P8894" s="85"/>
    </row>
    <row r="8895" spans="11:16">
      <c r="K8895" s="85">
        <v>27</v>
      </c>
      <c r="L8895" s="78"/>
      <c r="M8895" s="78"/>
      <c r="N8895" s="78"/>
      <c r="P8895" s="85"/>
    </row>
    <row r="8896" spans="11:16">
      <c r="K8896" s="85">
        <v>28</v>
      </c>
      <c r="L8896" s="78"/>
      <c r="M8896" s="78"/>
      <c r="N8896" s="78"/>
      <c r="P8896" s="85"/>
    </row>
    <row r="8897" spans="11:16">
      <c r="K8897" s="85">
        <v>29</v>
      </c>
      <c r="L8897" s="78"/>
      <c r="M8897" s="78"/>
      <c r="N8897" s="78"/>
      <c r="P8897" s="85"/>
    </row>
    <row r="8898" spans="11:16">
      <c r="K8898" s="85">
        <v>31</v>
      </c>
      <c r="L8898" s="78"/>
      <c r="M8898" s="78"/>
      <c r="N8898" s="78"/>
      <c r="P8898" s="85"/>
    </row>
    <row r="8899" spans="11:16">
      <c r="K8899" s="85">
        <v>32</v>
      </c>
      <c r="L8899" s="78"/>
      <c r="M8899" s="78"/>
      <c r="N8899" s="78"/>
      <c r="P8899" s="85"/>
    </row>
    <row r="8900" spans="11:16">
      <c r="K8900" s="85">
        <v>33</v>
      </c>
      <c r="L8900" s="78"/>
      <c r="M8900" s="78"/>
      <c r="N8900" s="78"/>
      <c r="P8900" s="85"/>
    </row>
    <row r="8901" spans="11:16">
      <c r="K8901" s="85">
        <v>34</v>
      </c>
      <c r="L8901" s="78"/>
      <c r="M8901" s="78"/>
      <c r="N8901" s="78"/>
      <c r="P8901" s="85"/>
    </row>
    <row r="8902" spans="11:16">
      <c r="K8902" s="85">
        <v>35</v>
      </c>
      <c r="L8902" s="78"/>
      <c r="M8902" s="78"/>
      <c r="N8902" s="78"/>
      <c r="P8902" s="85"/>
    </row>
    <row r="8903" spans="11:16">
      <c r="K8903" s="85">
        <v>25</v>
      </c>
      <c r="L8903" s="78"/>
      <c r="M8903" s="78"/>
      <c r="N8903" s="78"/>
      <c r="P8903" s="85"/>
    </row>
    <row r="8904" spans="11:16">
      <c r="K8904" s="85">
        <v>26</v>
      </c>
      <c r="L8904" s="78"/>
      <c r="M8904" s="78"/>
      <c r="N8904" s="78"/>
      <c r="P8904" s="85"/>
    </row>
    <row r="8905" spans="11:16">
      <c r="K8905" s="85">
        <v>27</v>
      </c>
      <c r="L8905" s="78"/>
      <c r="M8905" s="78"/>
      <c r="N8905" s="78"/>
      <c r="P8905" s="85"/>
    </row>
    <row r="8906" spans="11:16">
      <c r="K8906" s="85">
        <v>28</v>
      </c>
      <c r="L8906" s="78"/>
      <c r="M8906" s="78"/>
      <c r="N8906" s="78"/>
      <c r="P8906" s="85"/>
    </row>
    <row r="8907" spans="11:16">
      <c r="K8907" s="85">
        <v>29</v>
      </c>
      <c r="L8907" s="78"/>
      <c r="M8907" s="78"/>
      <c r="N8907" s="78"/>
      <c r="P8907" s="85"/>
    </row>
    <row r="8908" spans="11:16">
      <c r="K8908" s="85">
        <v>30</v>
      </c>
      <c r="L8908" s="78"/>
      <c r="M8908" s="78"/>
      <c r="N8908" s="78"/>
      <c r="P8908" s="85"/>
    </row>
    <row r="8909" spans="11:16">
      <c r="K8909" s="85">
        <v>31</v>
      </c>
      <c r="L8909" s="78"/>
      <c r="M8909" s="78"/>
      <c r="N8909" s="78"/>
      <c r="P8909" s="85"/>
    </row>
    <row r="8910" spans="11:16">
      <c r="K8910" s="85">
        <v>32</v>
      </c>
      <c r="L8910" s="78"/>
      <c r="M8910" s="78"/>
      <c r="N8910" s="78"/>
      <c r="P8910" s="85"/>
    </row>
    <row r="8911" spans="11:16">
      <c r="K8911" s="85">
        <v>34</v>
      </c>
      <c r="L8911" s="78"/>
      <c r="M8911" s="78"/>
      <c r="N8911" s="78"/>
      <c r="P8911" s="85"/>
    </row>
    <row r="8912" spans="11:16">
      <c r="K8912" s="85">
        <v>35</v>
      </c>
      <c r="L8912" s="78"/>
      <c r="M8912" s="78"/>
      <c r="N8912" s="78"/>
      <c r="P8912" s="85"/>
    </row>
    <row r="8913" spans="11:16">
      <c r="K8913" s="85">
        <v>25</v>
      </c>
      <c r="L8913" s="78"/>
      <c r="M8913" s="78"/>
      <c r="N8913" s="78"/>
      <c r="P8913" s="85"/>
    </row>
    <row r="8914" spans="11:16">
      <c r="K8914" s="85">
        <v>27</v>
      </c>
      <c r="L8914" s="78"/>
      <c r="M8914" s="78"/>
      <c r="N8914" s="78"/>
      <c r="P8914" s="85"/>
    </row>
    <row r="8915" spans="11:16">
      <c r="K8915" s="85">
        <v>31</v>
      </c>
      <c r="L8915" s="78"/>
      <c r="M8915" s="78"/>
      <c r="N8915" s="78"/>
      <c r="P8915" s="85"/>
    </row>
    <row r="8916" spans="11:16">
      <c r="K8916" s="85">
        <v>34</v>
      </c>
      <c r="L8916" s="78"/>
      <c r="M8916" s="78"/>
      <c r="N8916" s="78"/>
      <c r="P8916" s="85"/>
    </row>
    <row r="8917" spans="11:16">
      <c r="K8917" s="85">
        <v>35</v>
      </c>
      <c r="L8917" s="78"/>
      <c r="M8917" s="78"/>
      <c r="N8917" s="78"/>
      <c r="P8917" s="85"/>
    </row>
    <row r="8918" spans="11:16">
      <c r="K8918" s="85">
        <v>25</v>
      </c>
      <c r="L8918" s="78"/>
      <c r="M8918" s="78"/>
      <c r="N8918" s="78"/>
      <c r="P8918" s="85"/>
    </row>
    <row r="8919" spans="11:16">
      <c r="K8919" s="85">
        <v>27</v>
      </c>
      <c r="L8919" s="78"/>
      <c r="M8919" s="78"/>
      <c r="N8919" s="78"/>
      <c r="P8919" s="85"/>
    </row>
    <row r="8920" spans="11:16">
      <c r="K8920" s="85">
        <v>28</v>
      </c>
      <c r="L8920" s="78"/>
      <c r="M8920" s="78"/>
      <c r="N8920" s="78"/>
      <c r="P8920" s="85"/>
    </row>
    <row r="8921" spans="11:16">
      <c r="K8921" s="85">
        <v>30</v>
      </c>
      <c r="L8921" s="78"/>
      <c r="M8921" s="78"/>
      <c r="N8921" s="78"/>
      <c r="P8921" s="85"/>
    </row>
    <row r="8922" spans="11:16">
      <c r="K8922" s="85">
        <v>31</v>
      </c>
      <c r="L8922" s="78"/>
      <c r="M8922" s="78"/>
      <c r="N8922" s="78"/>
      <c r="P8922" s="85"/>
    </row>
    <row r="8923" spans="11:16">
      <c r="K8923" s="85">
        <v>32</v>
      </c>
      <c r="L8923" s="78"/>
      <c r="M8923" s="78"/>
      <c r="N8923" s="78"/>
      <c r="P8923" s="85"/>
    </row>
    <row r="8924" spans="11:16">
      <c r="K8924" s="85">
        <v>34</v>
      </c>
      <c r="L8924" s="78"/>
      <c r="M8924" s="78"/>
      <c r="N8924" s="78"/>
      <c r="P8924" s="85"/>
    </row>
    <row r="8925" spans="11:16">
      <c r="K8925" s="85">
        <v>35</v>
      </c>
      <c r="L8925" s="78"/>
      <c r="M8925" s="78"/>
      <c r="N8925" s="78"/>
      <c r="P8925" s="85"/>
    </row>
    <row r="8926" spans="11:16">
      <c r="K8926" s="85">
        <v>25</v>
      </c>
      <c r="L8926" s="78"/>
      <c r="M8926" s="78"/>
      <c r="N8926" s="78"/>
      <c r="P8926" s="85"/>
    </row>
    <row r="8927" spans="11:16">
      <c r="K8927" s="85">
        <v>26</v>
      </c>
      <c r="L8927" s="78"/>
      <c r="M8927" s="78"/>
      <c r="N8927" s="78"/>
      <c r="P8927" s="85"/>
    </row>
    <row r="8928" spans="11:16">
      <c r="K8928" s="85">
        <v>27</v>
      </c>
      <c r="L8928" s="78"/>
      <c r="M8928" s="78"/>
      <c r="N8928" s="78"/>
      <c r="P8928" s="85"/>
    </row>
    <row r="8929" spans="11:16">
      <c r="K8929" s="85">
        <v>28</v>
      </c>
      <c r="L8929" s="78"/>
      <c r="M8929" s="78"/>
      <c r="N8929" s="78"/>
      <c r="P8929" s="85"/>
    </row>
    <row r="8930" spans="11:16">
      <c r="K8930" s="85">
        <v>29</v>
      </c>
      <c r="L8930" s="78"/>
      <c r="M8930" s="78"/>
      <c r="N8930" s="78"/>
      <c r="P8930" s="85"/>
    </row>
    <row r="8931" spans="11:16">
      <c r="K8931" s="85">
        <v>30</v>
      </c>
      <c r="L8931" s="78"/>
      <c r="M8931" s="78"/>
      <c r="N8931" s="78"/>
      <c r="P8931" s="85"/>
    </row>
    <row r="8932" spans="11:16">
      <c r="K8932" s="85">
        <v>31</v>
      </c>
      <c r="L8932" s="78"/>
      <c r="M8932" s="78"/>
      <c r="N8932" s="78"/>
      <c r="P8932" s="85"/>
    </row>
    <row r="8933" spans="11:16">
      <c r="K8933" s="85">
        <v>32</v>
      </c>
      <c r="L8933" s="78"/>
      <c r="M8933" s="78"/>
      <c r="N8933" s="78"/>
      <c r="P8933" s="85"/>
    </row>
    <row r="8934" spans="11:16">
      <c r="K8934" s="85">
        <v>33</v>
      </c>
      <c r="L8934" s="78"/>
      <c r="M8934" s="78"/>
      <c r="N8934" s="78"/>
      <c r="P8934" s="85"/>
    </row>
    <row r="8935" spans="11:16">
      <c r="K8935" s="85">
        <v>34</v>
      </c>
      <c r="L8935" s="78"/>
      <c r="M8935" s="78"/>
      <c r="N8935" s="78"/>
      <c r="P8935" s="85"/>
    </row>
    <row r="8936" spans="11:16">
      <c r="K8936" s="85">
        <v>35</v>
      </c>
      <c r="L8936" s="78"/>
      <c r="M8936" s="78"/>
      <c r="N8936" s="78"/>
      <c r="P8936" s="85"/>
    </row>
    <row r="8937" spans="11:16">
      <c r="K8937" s="85">
        <v>36</v>
      </c>
      <c r="L8937" s="78"/>
      <c r="M8937" s="78"/>
      <c r="N8937" s="78"/>
      <c r="P8937" s="85"/>
    </row>
    <row r="8938" spans="11:16">
      <c r="K8938" s="85">
        <v>26</v>
      </c>
      <c r="L8938" s="78"/>
      <c r="M8938" s="78"/>
      <c r="N8938" s="78"/>
      <c r="P8938" s="85"/>
    </row>
    <row r="8939" spans="11:16">
      <c r="K8939" s="85">
        <v>27</v>
      </c>
      <c r="L8939" s="78"/>
      <c r="M8939" s="78"/>
      <c r="N8939" s="78"/>
      <c r="P8939" s="85"/>
    </row>
    <row r="8940" spans="11:16">
      <c r="K8940" s="85">
        <v>29</v>
      </c>
      <c r="L8940" s="78"/>
      <c r="M8940" s="78"/>
      <c r="N8940" s="78"/>
      <c r="P8940" s="85"/>
    </row>
    <row r="8941" spans="11:16">
      <c r="K8941" s="85">
        <v>31</v>
      </c>
      <c r="L8941" s="78"/>
      <c r="M8941" s="78"/>
      <c r="N8941" s="78"/>
      <c r="P8941" s="85"/>
    </row>
    <row r="8942" spans="11:16">
      <c r="K8942" s="85">
        <v>33</v>
      </c>
      <c r="L8942" s="78"/>
      <c r="M8942" s="78"/>
      <c r="N8942" s="78"/>
      <c r="P8942" s="85"/>
    </row>
    <row r="8943" spans="11:16">
      <c r="K8943" s="85">
        <v>34</v>
      </c>
      <c r="L8943" s="78"/>
      <c r="M8943" s="78"/>
      <c r="N8943" s="78"/>
      <c r="P8943" s="85"/>
    </row>
    <row r="8944" spans="11:16">
      <c r="K8944" s="85">
        <v>35</v>
      </c>
      <c r="L8944" s="78"/>
      <c r="M8944" s="78"/>
      <c r="N8944" s="78"/>
      <c r="P8944" s="85"/>
    </row>
    <row r="8945" spans="11:16">
      <c r="K8945" s="85">
        <v>25</v>
      </c>
      <c r="L8945" s="78"/>
      <c r="M8945" s="78"/>
      <c r="N8945" s="78"/>
      <c r="P8945" s="85"/>
    </row>
    <row r="8946" spans="11:16">
      <c r="K8946" s="85">
        <v>26</v>
      </c>
      <c r="L8946" s="78"/>
      <c r="M8946" s="78"/>
      <c r="N8946" s="78"/>
      <c r="P8946" s="85"/>
    </row>
    <row r="8947" spans="11:16">
      <c r="K8947" s="85">
        <v>27</v>
      </c>
      <c r="L8947" s="78"/>
      <c r="M8947" s="78"/>
      <c r="N8947" s="78"/>
      <c r="P8947" s="85"/>
    </row>
    <row r="8948" spans="11:16">
      <c r="K8948" s="85">
        <v>28</v>
      </c>
      <c r="L8948" s="78"/>
      <c r="M8948" s="78"/>
      <c r="N8948" s="78"/>
      <c r="P8948" s="85"/>
    </row>
    <row r="8949" spans="11:16">
      <c r="K8949" s="85">
        <v>29</v>
      </c>
      <c r="L8949" s="78"/>
      <c r="M8949" s="78"/>
      <c r="N8949" s="78"/>
      <c r="P8949" s="85"/>
    </row>
    <row r="8950" spans="11:16">
      <c r="K8950" s="85">
        <v>30</v>
      </c>
      <c r="L8950" s="78"/>
      <c r="M8950" s="78"/>
      <c r="N8950" s="78"/>
      <c r="P8950" s="85"/>
    </row>
    <row r="8951" spans="11:16">
      <c r="K8951" s="85">
        <v>32</v>
      </c>
      <c r="L8951" s="78"/>
      <c r="M8951" s="78"/>
      <c r="N8951" s="78"/>
      <c r="P8951" s="85"/>
    </row>
    <row r="8952" spans="11:16">
      <c r="K8952" s="85">
        <v>34</v>
      </c>
      <c r="L8952" s="78"/>
      <c r="M8952" s="78"/>
      <c r="N8952" s="78"/>
      <c r="P8952" s="85"/>
    </row>
    <row r="8953" spans="11:16">
      <c r="K8953" s="85">
        <v>35</v>
      </c>
      <c r="L8953" s="78"/>
      <c r="M8953" s="78"/>
      <c r="N8953" s="78"/>
      <c r="P8953" s="85"/>
    </row>
    <row r="8954" spans="11:16">
      <c r="K8954" s="85">
        <v>36</v>
      </c>
      <c r="L8954" s="78"/>
      <c r="M8954" s="78"/>
      <c r="N8954" s="78"/>
      <c r="P8954" s="85"/>
    </row>
    <row r="8955" spans="11:16">
      <c r="K8955" s="85">
        <v>27</v>
      </c>
      <c r="L8955" s="78"/>
      <c r="M8955" s="78"/>
      <c r="N8955" s="78"/>
      <c r="P8955" s="85"/>
    </row>
    <row r="8956" spans="11:16">
      <c r="K8956" s="85">
        <v>28</v>
      </c>
      <c r="L8956" s="78"/>
      <c r="M8956" s="78"/>
      <c r="N8956" s="78"/>
      <c r="P8956" s="85"/>
    </row>
    <row r="8957" spans="11:16">
      <c r="K8957" s="85">
        <v>31</v>
      </c>
      <c r="L8957" s="78"/>
      <c r="M8957" s="78"/>
      <c r="N8957" s="78"/>
      <c r="P8957" s="85"/>
    </row>
    <row r="8958" spans="11:16">
      <c r="K8958" s="85">
        <v>32</v>
      </c>
      <c r="L8958" s="78"/>
      <c r="M8958" s="78"/>
      <c r="N8958" s="78"/>
      <c r="P8958" s="85"/>
    </row>
    <row r="8959" spans="11:16">
      <c r="K8959" s="85">
        <v>33</v>
      </c>
      <c r="L8959" s="78"/>
      <c r="M8959" s="78"/>
      <c r="N8959" s="78"/>
      <c r="P8959" s="85"/>
    </row>
    <row r="8960" spans="11:16">
      <c r="K8960" s="85">
        <v>34</v>
      </c>
      <c r="L8960" s="78"/>
      <c r="M8960" s="78"/>
      <c r="N8960" s="78"/>
      <c r="P8960" s="85"/>
    </row>
    <row r="8961" spans="11:16">
      <c r="K8961" s="85">
        <v>35</v>
      </c>
      <c r="L8961" s="78"/>
      <c r="M8961" s="78"/>
      <c r="N8961" s="78"/>
      <c r="P8961" s="85"/>
    </row>
    <row r="8962" spans="11:16">
      <c r="K8962" s="85">
        <v>36</v>
      </c>
      <c r="L8962" s="78"/>
      <c r="M8962" s="78"/>
      <c r="N8962" s="78"/>
      <c r="P8962" s="85"/>
    </row>
    <row r="8963" spans="11:16">
      <c r="K8963" s="85">
        <v>25</v>
      </c>
      <c r="L8963" s="78"/>
      <c r="M8963" s="78"/>
      <c r="N8963" s="78"/>
      <c r="P8963" s="85"/>
    </row>
    <row r="8964" spans="11:16">
      <c r="K8964" s="85">
        <v>26</v>
      </c>
      <c r="L8964" s="78"/>
      <c r="M8964" s="78"/>
      <c r="N8964" s="78"/>
      <c r="P8964" s="85"/>
    </row>
    <row r="8965" spans="11:16">
      <c r="K8965" s="85">
        <v>27</v>
      </c>
      <c r="L8965" s="78"/>
      <c r="M8965" s="78"/>
      <c r="N8965" s="78"/>
      <c r="P8965" s="85"/>
    </row>
    <row r="8966" spans="11:16">
      <c r="K8966" s="85">
        <v>29</v>
      </c>
      <c r="L8966" s="78"/>
      <c r="M8966" s="78"/>
      <c r="N8966" s="78"/>
      <c r="P8966" s="85"/>
    </row>
    <row r="8967" spans="11:16">
      <c r="K8967" s="85">
        <v>30</v>
      </c>
      <c r="L8967" s="78"/>
      <c r="M8967" s="78"/>
      <c r="N8967" s="78"/>
      <c r="P8967" s="85"/>
    </row>
    <row r="8968" spans="11:16">
      <c r="K8968" s="85">
        <v>31</v>
      </c>
      <c r="L8968" s="78"/>
      <c r="M8968" s="78"/>
      <c r="N8968" s="78"/>
      <c r="P8968" s="85"/>
    </row>
    <row r="8969" spans="11:16">
      <c r="K8969" s="85">
        <v>32</v>
      </c>
      <c r="L8969" s="78"/>
      <c r="M8969" s="78"/>
      <c r="N8969" s="78"/>
      <c r="P8969" s="85"/>
    </row>
    <row r="8970" spans="11:16">
      <c r="K8970" s="85">
        <v>33</v>
      </c>
      <c r="L8970" s="78"/>
      <c r="M8970" s="78"/>
      <c r="N8970" s="78"/>
      <c r="P8970" s="85"/>
    </row>
    <row r="8971" spans="11:16">
      <c r="K8971" s="85">
        <v>34</v>
      </c>
      <c r="L8971" s="78"/>
      <c r="M8971" s="78"/>
      <c r="N8971" s="78"/>
      <c r="P8971" s="85"/>
    </row>
    <row r="8972" spans="11:16">
      <c r="K8972" s="85">
        <v>35</v>
      </c>
      <c r="L8972" s="78"/>
      <c r="M8972" s="78"/>
      <c r="N8972" s="78"/>
      <c r="P8972" s="85"/>
    </row>
    <row r="8973" spans="11:16">
      <c r="K8973" s="85">
        <v>26</v>
      </c>
      <c r="L8973" s="78"/>
      <c r="M8973" s="78"/>
      <c r="N8973" s="78"/>
      <c r="P8973" s="85"/>
    </row>
    <row r="8974" spans="11:16">
      <c r="K8974" s="85">
        <v>27</v>
      </c>
      <c r="L8974" s="78"/>
      <c r="M8974" s="78"/>
      <c r="N8974" s="78"/>
      <c r="P8974" s="85"/>
    </row>
    <row r="8975" spans="11:16">
      <c r="K8975" s="85">
        <v>28</v>
      </c>
      <c r="L8975" s="78"/>
      <c r="M8975" s="78"/>
      <c r="N8975" s="78"/>
      <c r="P8975" s="85"/>
    </row>
    <row r="8976" spans="11:16">
      <c r="K8976" s="85">
        <v>31</v>
      </c>
      <c r="L8976" s="78"/>
      <c r="M8976" s="78"/>
      <c r="N8976" s="78"/>
      <c r="P8976" s="85"/>
    </row>
    <row r="8977" spans="11:16">
      <c r="K8977" s="85">
        <v>32</v>
      </c>
      <c r="L8977" s="78"/>
      <c r="M8977" s="78"/>
      <c r="N8977" s="78"/>
      <c r="P8977" s="85"/>
    </row>
    <row r="8978" spans="11:16">
      <c r="K8978" s="85">
        <v>33</v>
      </c>
      <c r="L8978" s="78"/>
      <c r="M8978" s="78"/>
      <c r="N8978" s="78"/>
      <c r="P8978" s="85"/>
    </row>
    <row r="8979" spans="11:16">
      <c r="K8979" s="85">
        <v>34</v>
      </c>
      <c r="L8979" s="78"/>
      <c r="M8979" s="78"/>
      <c r="N8979" s="78"/>
      <c r="P8979" s="85"/>
    </row>
    <row r="8980" spans="11:16">
      <c r="K8980" s="85">
        <v>35</v>
      </c>
      <c r="L8980" s="78"/>
      <c r="M8980" s="78"/>
      <c r="N8980" s="78"/>
      <c r="P8980" s="85"/>
    </row>
    <row r="8981" spans="11:16">
      <c r="K8981" s="85">
        <v>36</v>
      </c>
      <c r="L8981" s="78"/>
      <c r="M8981" s="78"/>
      <c r="N8981" s="78"/>
      <c r="P8981" s="85"/>
    </row>
    <row r="8982" spans="11:16">
      <c r="K8982" s="85">
        <v>25</v>
      </c>
      <c r="L8982" s="78"/>
      <c r="M8982" s="78"/>
      <c r="N8982" s="78"/>
      <c r="P8982" s="85"/>
    </row>
    <row r="8983" spans="11:16">
      <c r="K8983" s="85">
        <v>26</v>
      </c>
      <c r="L8983" s="78"/>
      <c r="M8983" s="78"/>
      <c r="N8983" s="78"/>
      <c r="P8983" s="85"/>
    </row>
    <row r="8984" spans="11:16">
      <c r="K8984" s="85">
        <v>27</v>
      </c>
      <c r="L8984" s="78"/>
      <c r="M8984" s="78"/>
      <c r="N8984" s="78"/>
      <c r="P8984" s="85"/>
    </row>
    <row r="8985" spans="11:16">
      <c r="K8985" s="85">
        <v>28</v>
      </c>
      <c r="L8985" s="78"/>
      <c r="M8985" s="78"/>
      <c r="N8985" s="78"/>
      <c r="P8985" s="85"/>
    </row>
    <row r="8986" spans="11:16">
      <c r="K8986" s="85">
        <v>31</v>
      </c>
      <c r="L8986" s="78"/>
      <c r="M8986" s="78"/>
      <c r="N8986" s="78"/>
      <c r="P8986" s="85"/>
    </row>
    <row r="8987" spans="11:16">
      <c r="K8987" s="85">
        <v>35</v>
      </c>
      <c r="L8987" s="78"/>
      <c r="M8987" s="78"/>
      <c r="N8987" s="78"/>
      <c r="P8987" s="85"/>
    </row>
    <row r="8988" spans="11:16">
      <c r="K8988" s="85">
        <v>27</v>
      </c>
      <c r="L8988" s="78"/>
      <c r="M8988" s="78"/>
      <c r="N8988" s="78"/>
      <c r="P8988" s="85"/>
    </row>
    <row r="8989" spans="11:16">
      <c r="K8989" s="85">
        <v>31</v>
      </c>
      <c r="L8989" s="78"/>
      <c r="M8989" s="78"/>
      <c r="N8989" s="78"/>
      <c r="P8989" s="85"/>
    </row>
    <row r="8990" spans="11:16">
      <c r="K8990" s="85">
        <v>32</v>
      </c>
      <c r="L8990" s="78"/>
      <c r="M8990" s="78"/>
      <c r="N8990" s="78"/>
      <c r="P8990" s="85"/>
    </row>
    <row r="8991" spans="11:16">
      <c r="K8991" s="85">
        <v>35</v>
      </c>
      <c r="L8991" s="78"/>
      <c r="M8991" s="78"/>
      <c r="N8991" s="78"/>
      <c r="P8991" s="85"/>
    </row>
    <row r="8992" spans="11:16">
      <c r="K8992" s="85">
        <v>25</v>
      </c>
      <c r="L8992" s="78"/>
      <c r="M8992" s="78"/>
      <c r="N8992" s="78"/>
      <c r="P8992" s="85"/>
    </row>
    <row r="8993" spans="11:16">
      <c r="K8993" s="85">
        <v>27</v>
      </c>
      <c r="L8993" s="78"/>
      <c r="M8993" s="78"/>
      <c r="N8993" s="78"/>
      <c r="P8993" s="85"/>
    </row>
    <row r="8994" spans="11:16">
      <c r="K8994" s="85">
        <v>28</v>
      </c>
      <c r="L8994" s="78"/>
      <c r="M8994" s="78"/>
      <c r="N8994" s="78"/>
      <c r="P8994" s="85"/>
    </row>
    <row r="8995" spans="11:16">
      <c r="K8995" s="85">
        <v>30</v>
      </c>
      <c r="L8995" s="78"/>
      <c r="M8995" s="78"/>
      <c r="N8995" s="78"/>
      <c r="P8995" s="85"/>
    </row>
    <row r="8996" spans="11:16">
      <c r="K8996" s="85">
        <v>31</v>
      </c>
      <c r="L8996" s="78"/>
      <c r="M8996" s="78"/>
      <c r="N8996" s="78"/>
      <c r="P8996" s="85"/>
    </row>
    <row r="8997" spans="11:16">
      <c r="K8997" s="85">
        <v>32</v>
      </c>
      <c r="L8997" s="78"/>
      <c r="M8997" s="78"/>
      <c r="N8997" s="78"/>
      <c r="P8997" s="85"/>
    </row>
    <row r="8998" spans="11:16">
      <c r="K8998" s="85">
        <v>34</v>
      </c>
      <c r="L8998" s="78"/>
      <c r="M8998" s="78"/>
      <c r="N8998" s="78"/>
      <c r="P8998" s="85"/>
    </row>
    <row r="8999" spans="11:16">
      <c r="K8999" s="85">
        <v>35</v>
      </c>
      <c r="L8999" s="78"/>
      <c r="M8999" s="78"/>
      <c r="N8999" s="78"/>
      <c r="P8999" s="85"/>
    </row>
    <row r="9000" spans="11:16">
      <c r="K9000" s="85">
        <v>36</v>
      </c>
      <c r="L9000" s="78"/>
      <c r="M9000" s="78"/>
      <c r="N9000" s="78"/>
      <c r="P9000" s="85"/>
    </row>
    <row r="9001" spans="11:16">
      <c r="K9001" s="85">
        <v>27</v>
      </c>
      <c r="L9001" s="78"/>
      <c r="M9001" s="78"/>
      <c r="N9001" s="78"/>
      <c r="P9001" s="85"/>
    </row>
    <row r="9002" spans="11:16">
      <c r="K9002" s="85">
        <v>28</v>
      </c>
      <c r="L9002" s="78"/>
      <c r="M9002" s="78"/>
      <c r="N9002" s="78"/>
      <c r="P9002" s="85"/>
    </row>
    <row r="9003" spans="11:16">
      <c r="K9003" s="85">
        <v>33</v>
      </c>
      <c r="L9003" s="78"/>
      <c r="M9003" s="78"/>
      <c r="N9003" s="78"/>
      <c r="P9003" s="85"/>
    </row>
    <row r="9004" spans="11:16">
      <c r="K9004" s="85">
        <v>34</v>
      </c>
      <c r="L9004" s="78"/>
      <c r="M9004" s="78"/>
      <c r="N9004" s="78"/>
      <c r="P9004" s="85"/>
    </row>
    <row r="9005" spans="11:16">
      <c r="K9005" s="85">
        <v>25</v>
      </c>
      <c r="L9005" s="78"/>
      <c r="M9005" s="78"/>
      <c r="N9005" s="78"/>
      <c r="P9005" s="85"/>
    </row>
    <row r="9006" spans="11:16">
      <c r="K9006" s="85">
        <v>26</v>
      </c>
      <c r="L9006" s="78"/>
      <c r="M9006" s="78"/>
      <c r="N9006" s="78"/>
      <c r="P9006" s="85"/>
    </row>
    <row r="9007" spans="11:16">
      <c r="K9007" s="85">
        <v>27</v>
      </c>
      <c r="L9007" s="78"/>
      <c r="M9007" s="78"/>
      <c r="N9007" s="78"/>
      <c r="P9007" s="85"/>
    </row>
    <row r="9008" spans="11:16">
      <c r="K9008" s="85">
        <v>28</v>
      </c>
      <c r="L9008" s="78"/>
      <c r="M9008" s="78"/>
      <c r="N9008" s="78"/>
      <c r="P9008" s="85"/>
    </row>
    <row r="9009" spans="11:16">
      <c r="K9009" s="85">
        <v>29</v>
      </c>
      <c r="L9009" s="78"/>
      <c r="M9009" s="78"/>
      <c r="N9009" s="78"/>
      <c r="P9009" s="85"/>
    </row>
    <row r="9010" spans="11:16">
      <c r="K9010" s="85">
        <v>30</v>
      </c>
      <c r="L9010" s="78"/>
      <c r="M9010" s="78"/>
      <c r="N9010" s="78"/>
      <c r="P9010" s="85"/>
    </row>
    <row r="9011" spans="11:16">
      <c r="K9011" s="85">
        <v>31</v>
      </c>
      <c r="L9011" s="78"/>
      <c r="M9011" s="78"/>
      <c r="N9011" s="78"/>
      <c r="P9011" s="85"/>
    </row>
    <row r="9012" spans="11:16">
      <c r="K9012" s="85">
        <v>32</v>
      </c>
      <c r="L9012" s="78"/>
      <c r="M9012" s="78"/>
      <c r="N9012" s="78"/>
      <c r="P9012" s="85"/>
    </row>
    <row r="9013" spans="11:16">
      <c r="K9013" s="85">
        <v>33</v>
      </c>
      <c r="L9013" s="78"/>
      <c r="M9013" s="78"/>
      <c r="N9013" s="78"/>
      <c r="P9013" s="85"/>
    </row>
    <row r="9014" spans="11:16">
      <c r="K9014" s="85">
        <v>34</v>
      </c>
      <c r="L9014" s="78"/>
      <c r="M9014" s="78"/>
      <c r="N9014" s="78"/>
      <c r="P9014" s="85"/>
    </row>
    <row r="9015" spans="11:16">
      <c r="K9015" s="85">
        <v>35</v>
      </c>
      <c r="L9015" s="78"/>
      <c r="M9015" s="78"/>
      <c r="N9015" s="78"/>
      <c r="P9015" s="85"/>
    </row>
    <row r="9016" spans="11:16">
      <c r="K9016" s="85">
        <v>36</v>
      </c>
      <c r="L9016" s="78"/>
      <c r="M9016" s="78"/>
      <c r="N9016" s="78"/>
      <c r="P9016" s="85"/>
    </row>
    <row r="9017" spans="11:16">
      <c r="K9017" s="85">
        <v>25</v>
      </c>
      <c r="L9017" s="78"/>
      <c r="M9017" s="78"/>
      <c r="N9017" s="78"/>
      <c r="P9017" s="85"/>
    </row>
    <row r="9018" spans="11:16">
      <c r="K9018" s="85">
        <v>27</v>
      </c>
      <c r="L9018" s="78"/>
      <c r="M9018" s="78"/>
      <c r="N9018" s="78"/>
      <c r="P9018" s="85"/>
    </row>
    <row r="9019" spans="11:16">
      <c r="K9019" s="85">
        <v>30</v>
      </c>
      <c r="L9019" s="78"/>
      <c r="M9019" s="78"/>
      <c r="N9019" s="78"/>
      <c r="P9019" s="85"/>
    </row>
    <row r="9020" spans="11:16">
      <c r="K9020" s="85">
        <v>34</v>
      </c>
      <c r="L9020" s="78"/>
      <c r="M9020" s="78"/>
      <c r="N9020" s="78"/>
      <c r="P9020" s="85"/>
    </row>
    <row r="9021" spans="11:16">
      <c r="K9021" s="85">
        <v>25</v>
      </c>
      <c r="L9021" s="78"/>
      <c r="M9021" s="78"/>
      <c r="N9021" s="78"/>
      <c r="P9021" s="85"/>
    </row>
    <row r="9022" spans="11:16">
      <c r="K9022" s="85">
        <v>26</v>
      </c>
      <c r="L9022" s="78"/>
      <c r="M9022" s="78"/>
      <c r="N9022" s="78"/>
      <c r="P9022" s="85"/>
    </row>
    <row r="9023" spans="11:16">
      <c r="K9023" s="85">
        <v>27</v>
      </c>
      <c r="L9023" s="78"/>
      <c r="M9023" s="78"/>
      <c r="N9023" s="78"/>
      <c r="P9023" s="85"/>
    </row>
    <row r="9024" spans="11:16">
      <c r="K9024" s="85">
        <v>28</v>
      </c>
      <c r="L9024" s="78"/>
      <c r="M9024" s="78"/>
      <c r="N9024" s="78"/>
      <c r="P9024" s="85"/>
    </row>
    <row r="9025" spans="11:16">
      <c r="K9025" s="85">
        <v>29</v>
      </c>
      <c r="L9025" s="78"/>
      <c r="M9025" s="78"/>
      <c r="N9025" s="78"/>
      <c r="P9025" s="85"/>
    </row>
    <row r="9026" spans="11:16">
      <c r="K9026" s="85">
        <v>30</v>
      </c>
      <c r="L9026" s="78"/>
      <c r="M9026" s="78"/>
      <c r="N9026" s="78"/>
      <c r="P9026" s="85"/>
    </row>
    <row r="9027" spans="11:16">
      <c r="K9027" s="85">
        <v>31</v>
      </c>
      <c r="L9027" s="78"/>
      <c r="M9027" s="78"/>
      <c r="N9027" s="78"/>
      <c r="P9027" s="85"/>
    </row>
    <row r="9028" spans="11:16">
      <c r="K9028" s="85">
        <v>32</v>
      </c>
      <c r="L9028" s="78"/>
      <c r="M9028" s="78"/>
      <c r="N9028" s="78"/>
      <c r="P9028" s="85"/>
    </row>
    <row r="9029" spans="11:16">
      <c r="K9029" s="85">
        <v>33</v>
      </c>
      <c r="L9029" s="78"/>
      <c r="M9029" s="78"/>
      <c r="N9029" s="78"/>
      <c r="P9029" s="85"/>
    </row>
    <row r="9030" spans="11:16">
      <c r="K9030" s="85">
        <v>34</v>
      </c>
      <c r="L9030" s="78"/>
      <c r="M9030" s="78"/>
      <c r="N9030" s="78"/>
      <c r="P9030" s="85"/>
    </row>
    <row r="9031" spans="11:16">
      <c r="K9031" s="85">
        <v>35</v>
      </c>
      <c r="L9031" s="78"/>
      <c r="M9031" s="78"/>
      <c r="N9031" s="78"/>
      <c r="P9031" s="85"/>
    </row>
    <row r="9032" spans="11:16">
      <c r="K9032" s="85">
        <v>25</v>
      </c>
      <c r="L9032" s="78"/>
      <c r="M9032" s="78"/>
      <c r="N9032" s="78"/>
      <c r="P9032" s="85"/>
    </row>
    <row r="9033" spans="11:16">
      <c r="K9033" s="85">
        <v>26</v>
      </c>
      <c r="L9033" s="78"/>
      <c r="M9033" s="78"/>
      <c r="N9033" s="78"/>
      <c r="P9033" s="85"/>
    </row>
    <row r="9034" spans="11:16">
      <c r="K9034" s="85">
        <v>27</v>
      </c>
      <c r="L9034" s="78"/>
      <c r="M9034" s="78"/>
      <c r="N9034" s="78"/>
      <c r="P9034" s="85"/>
    </row>
    <row r="9035" spans="11:16">
      <c r="K9035" s="85">
        <v>28</v>
      </c>
      <c r="L9035" s="78"/>
      <c r="M9035" s="78"/>
      <c r="N9035" s="78"/>
      <c r="P9035" s="85"/>
    </row>
    <row r="9036" spans="11:16">
      <c r="K9036" s="85">
        <v>29</v>
      </c>
      <c r="L9036" s="78"/>
      <c r="M9036" s="78"/>
      <c r="N9036" s="78"/>
      <c r="P9036" s="85"/>
    </row>
    <row r="9037" spans="11:16">
      <c r="K9037" s="85">
        <v>30</v>
      </c>
      <c r="L9037" s="78"/>
      <c r="M9037" s="78"/>
      <c r="N9037" s="78"/>
      <c r="P9037" s="85"/>
    </row>
    <row r="9038" spans="11:16">
      <c r="K9038" s="85">
        <v>31</v>
      </c>
      <c r="L9038" s="78"/>
      <c r="M9038" s="78"/>
      <c r="N9038" s="78"/>
      <c r="P9038" s="85"/>
    </row>
    <row r="9039" spans="11:16">
      <c r="K9039" s="85">
        <v>32</v>
      </c>
      <c r="L9039" s="78"/>
      <c r="M9039" s="78"/>
      <c r="N9039" s="78"/>
      <c r="P9039" s="85"/>
    </row>
    <row r="9040" spans="11:16">
      <c r="K9040" s="85">
        <v>33</v>
      </c>
      <c r="L9040" s="78"/>
      <c r="M9040" s="78"/>
      <c r="N9040" s="78"/>
      <c r="P9040" s="85"/>
    </row>
    <row r="9041" spans="11:16">
      <c r="K9041" s="85">
        <v>34</v>
      </c>
      <c r="L9041" s="78"/>
      <c r="M9041" s="78"/>
      <c r="N9041" s="78"/>
      <c r="P9041" s="85"/>
    </row>
    <row r="9042" spans="11:16">
      <c r="K9042" s="85">
        <v>35</v>
      </c>
      <c r="L9042" s="78"/>
      <c r="M9042" s="78"/>
      <c r="N9042" s="78"/>
      <c r="P9042" s="85"/>
    </row>
    <row r="9043" spans="11:16">
      <c r="K9043" s="85">
        <v>36</v>
      </c>
      <c r="L9043" s="78"/>
      <c r="M9043" s="78"/>
      <c r="N9043" s="78"/>
      <c r="P9043" s="85"/>
    </row>
    <row r="9044" spans="11:16">
      <c r="K9044" s="85">
        <v>27</v>
      </c>
      <c r="L9044" s="78"/>
      <c r="M9044" s="78"/>
      <c r="N9044" s="78"/>
      <c r="P9044" s="85"/>
    </row>
    <row r="9045" spans="11:16">
      <c r="K9045" s="85">
        <v>28</v>
      </c>
      <c r="L9045" s="78"/>
      <c r="M9045" s="78"/>
      <c r="N9045" s="78"/>
      <c r="P9045" s="85"/>
    </row>
    <row r="9046" spans="11:16">
      <c r="K9046" s="85">
        <v>31</v>
      </c>
      <c r="L9046" s="78"/>
      <c r="M9046" s="78"/>
      <c r="N9046" s="78"/>
      <c r="P9046" s="85"/>
    </row>
    <row r="9047" spans="11:16">
      <c r="K9047" s="85">
        <v>32</v>
      </c>
      <c r="L9047" s="78"/>
      <c r="M9047" s="78"/>
      <c r="N9047" s="78"/>
      <c r="P9047" s="85"/>
    </row>
    <row r="9048" spans="11:16">
      <c r="K9048" s="85">
        <v>34</v>
      </c>
      <c r="L9048" s="78"/>
      <c r="M9048" s="78"/>
      <c r="N9048" s="78"/>
      <c r="P9048" s="85"/>
    </row>
    <row r="9049" spans="11:16">
      <c r="K9049" s="85">
        <v>27</v>
      </c>
      <c r="L9049" s="78"/>
      <c r="M9049" s="78"/>
      <c r="N9049" s="78"/>
      <c r="P9049" s="85"/>
    </row>
    <row r="9050" spans="11:16">
      <c r="K9050" s="85">
        <v>25</v>
      </c>
      <c r="L9050" s="78"/>
      <c r="M9050" s="78"/>
      <c r="N9050" s="78"/>
      <c r="P9050" s="85"/>
    </row>
    <row r="9051" spans="11:16">
      <c r="K9051" s="85">
        <v>26</v>
      </c>
      <c r="L9051" s="78"/>
      <c r="M9051" s="78"/>
      <c r="N9051" s="78"/>
      <c r="P9051" s="85"/>
    </row>
    <row r="9052" spans="11:16">
      <c r="K9052" s="85">
        <v>27</v>
      </c>
      <c r="L9052" s="78"/>
      <c r="M9052" s="78"/>
      <c r="N9052" s="78"/>
      <c r="P9052" s="85"/>
    </row>
    <row r="9053" spans="11:16">
      <c r="K9053" s="85">
        <v>29</v>
      </c>
      <c r="L9053" s="78"/>
      <c r="M9053" s="78"/>
      <c r="N9053" s="78"/>
      <c r="P9053" s="85"/>
    </row>
    <row r="9054" spans="11:16">
      <c r="K9054" s="85">
        <v>30</v>
      </c>
      <c r="L9054" s="78"/>
      <c r="M9054" s="78"/>
      <c r="N9054" s="78"/>
      <c r="P9054" s="85"/>
    </row>
    <row r="9055" spans="11:16">
      <c r="K9055" s="85">
        <v>31</v>
      </c>
      <c r="L9055" s="78"/>
      <c r="M9055" s="78"/>
      <c r="N9055" s="78"/>
      <c r="P9055" s="85"/>
    </row>
    <row r="9056" spans="11:16">
      <c r="K9056" s="85">
        <v>32</v>
      </c>
      <c r="L9056" s="78"/>
      <c r="M9056" s="78"/>
      <c r="N9056" s="78"/>
      <c r="P9056" s="85"/>
    </row>
    <row r="9057" spans="11:16">
      <c r="K9057" s="85">
        <v>33</v>
      </c>
      <c r="L9057" s="78"/>
      <c r="M9057" s="78"/>
      <c r="N9057" s="78"/>
      <c r="P9057" s="85"/>
    </row>
    <row r="9058" spans="11:16">
      <c r="K9058" s="85">
        <v>34</v>
      </c>
      <c r="L9058" s="78"/>
      <c r="M9058" s="78"/>
      <c r="N9058" s="78"/>
      <c r="P9058" s="85"/>
    </row>
    <row r="9059" spans="11:16">
      <c r="K9059" s="85">
        <v>35</v>
      </c>
      <c r="L9059" s="78"/>
      <c r="M9059" s="78"/>
      <c r="N9059" s="78"/>
      <c r="P9059" s="85"/>
    </row>
    <row r="9060" spans="11:16">
      <c r="K9060" s="85">
        <v>36</v>
      </c>
      <c r="L9060" s="78"/>
      <c r="M9060" s="78"/>
      <c r="N9060" s="78"/>
      <c r="P9060" s="85"/>
    </row>
    <row r="9061" spans="11:16">
      <c r="K9061" s="85">
        <v>25</v>
      </c>
      <c r="L9061" s="78"/>
      <c r="M9061" s="78"/>
      <c r="N9061" s="78"/>
      <c r="P9061" s="85"/>
    </row>
    <row r="9062" spans="11:16">
      <c r="K9062" s="85">
        <v>26</v>
      </c>
      <c r="L9062" s="78"/>
      <c r="M9062" s="78"/>
      <c r="N9062" s="78"/>
      <c r="P9062" s="85"/>
    </row>
    <row r="9063" spans="11:16">
      <c r="K9063" s="85">
        <v>27</v>
      </c>
      <c r="L9063" s="78"/>
      <c r="M9063" s="78"/>
      <c r="N9063" s="78"/>
      <c r="P9063" s="85"/>
    </row>
    <row r="9064" spans="11:16">
      <c r="K9064" s="85">
        <v>28</v>
      </c>
      <c r="L9064" s="78"/>
      <c r="M9064" s="78"/>
      <c r="N9064" s="78"/>
      <c r="P9064" s="85"/>
    </row>
    <row r="9065" spans="11:16">
      <c r="K9065" s="85">
        <v>29</v>
      </c>
      <c r="L9065" s="78"/>
      <c r="M9065" s="78"/>
      <c r="N9065" s="78"/>
      <c r="P9065" s="85"/>
    </row>
    <row r="9066" spans="11:16">
      <c r="K9066" s="85">
        <v>30</v>
      </c>
      <c r="L9066" s="78"/>
      <c r="M9066" s="78"/>
      <c r="N9066" s="78"/>
      <c r="P9066" s="85"/>
    </row>
    <row r="9067" spans="11:16">
      <c r="K9067" s="85">
        <v>31</v>
      </c>
      <c r="L9067" s="78"/>
      <c r="M9067" s="78"/>
      <c r="N9067" s="78"/>
      <c r="P9067" s="85"/>
    </row>
    <row r="9068" spans="11:16">
      <c r="K9068" s="85">
        <v>32</v>
      </c>
      <c r="L9068" s="78"/>
      <c r="M9068" s="78"/>
      <c r="N9068" s="78"/>
      <c r="P9068" s="85"/>
    </row>
    <row r="9069" spans="11:16">
      <c r="K9069" s="85">
        <v>33</v>
      </c>
      <c r="L9069" s="78"/>
      <c r="M9069" s="78"/>
      <c r="N9069" s="78"/>
      <c r="P9069" s="85"/>
    </row>
    <row r="9070" spans="11:16">
      <c r="K9070" s="85">
        <v>34</v>
      </c>
      <c r="L9070" s="78"/>
      <c r="M9070" s="78"/>
      <c r="N9070" s="78"/>
      <c r="P9070" s="85"/>
    </row>
    <row r="9071" spans="11:16">
      <c r="K9071" s="85">
        <v>35</v>
      </c>
      <c r="L9071" s="78"/>
      <c r="M9071" s="78"/>
      <c r="N9071" s="78"/>
      <c r="P9071" s="85"/>
    </row>
    <row r="9072" spans="11:16">
      <c r="K9072" s="85">
        <v>36</v>
      </c>
      <c r="L9072" s="78"/>
      <c r="M9072" s="78"/>
      <c r="N9072" s="78"/>
      <c r="P9072" s="85"/>
    </row>
    <row r="9073" spans="11:16">
      <c r="K9073" s="85">
        <v>25</v>
      </c>
      <c r="L9073" s="78"/>
      <c r="M9073" s="78"/>
      <c r="N9073" s="78"/>
      <c r="P9073" s="85"/>
    </row>
    <row r="9074" spans="11:16">
      <c r="K9074" s="85">
        <v>26</v>
      </c>
      <c r="L9074" s="78"/>
      <c r="M9074" s="78"/>
      <c r="N9074" s="78"/>
      <c r="P9074" s="85"/>
    </row>
    <row r="9075" spans="11:16">
      <c r="K9075" s="85">
        <v>27</v>
      </c>
      <c r="L9075" s="78"/>
      <c r="M9075" s="78"/>
      <c r="N9075" s="78"/>
      <c r="P9075" s="85"/>
    </row>
    <row r="9076" spans="11:16">
      <c r="K9076" s="85">
        <v>28</v>
      </c>
      <c r="L9076" s="78"/>
      <c r="M9076" s="78"/>
      <c r="N9076" s="78"/>
      <c r="P9076" s="85"/>
    </row>
    <row r="9077" spans="11:16">
      <c r="K9077" s="85">
        <v>29</v>
      </c>
      <c r="L9077" s="78"/>
      <c r="M9077" s="78"/>
      <c r="N9077" s="78"/>
      <c r="P9077" s="85"/>
    </row>
    <row r="9078" spans="11:16">
      <c r="K9078" s="85">
        <v>30</v>
      </c>
      <c r="L9078" s="78"/>
      <c r="M9078" s="78"/>
      <c r="N9078" s="78"/>
      <c r="P9078" s="85"/>
    </row>
    <row r="9079" spans="11:16">
      <c r="K9079" s="85">
        <v>31</v>
      </c>
      <c r="L9079" s="78"/>
      <c r="M9079" s="78"/>
      <c r="N9079" s="78"/>
      <c r="P9079" s="85"/>
    </row>
    <row r="9080" spans="11:16">
      <c r="K9080" s="85">
        <v>32</v>
      </c>
      <c r="L9080" s="78"/>
      <c r="M9080" s="78"/>
      <c r="N9080" s="78"/>
      <c r="P9080" s="85"/>
    </row>
    <row r="9081" spans="11:16">
      <c r="K9081" s="85">
        <v>34</v>
      </c>
      <c r="L9081" s="78"/>
      <c r="M9081" s="78"/>
      <c r="N9081" s="78"/>
      <c r="P9081" s="85"/>
    </row>
    <row r="9082" spans="11:16">
      <c r="K9082" s="85">
        <v>35</v>
      </c>
      <c r="L9082" s="78"/>
      <c r="M9082" s="78"/>
      <c r="N9082" s="78"/>
      <c r="P9082" s="85"/>
    </row>
    <row r="9083" spans="11:16">
      <c r="K9083" s="85">
        <v>36</v>
      </c>
      <c r="L9083" s="78"/>
      <c r="M9083" s="78"/>
      <c r="N9083" s="78"/>
      <c r="P9083" s="85"/>
    </row>
    <row r="9084" spans="11:16">
      <c r="K9084" s="85">
        <v>27</v>
      </c>
      <c r="L9084" s="78"/>
      <c r="M9084" s="78"/>
      <c r="N9084" s="78"/>
      <c r="P9084" s="85"/>
    </row>
    <row r="9085" spans="11:16">
      <c r="K9085" s="85">
        <v>31</v>
      </c>
      <c r="L9085" s="78"/>
      <c r="M9085" s="78"/>
      <c r="N9085" s="78"/>
      <c r="P9085" s="85"/>
    </row>
    <row r="9086" spans="11:16">
      <c r="K9086" s="85">
        <v>32</v>
      </c>
      <c r="L9086" s="78"/>
      <c r="M9086" s="78"/>
      <c r="N9086" s="78"/>
      <c r="P9086" s="85"/>
    </row>
    <row r="9087" spans="11:16">
      <c r="K9087" s="85">
        <v>33</v>
      </c>
      <c r="L9087" s="78"/>
      <c r="M9087" s="78"/>
      <c r="N9087" s="78"/>
      <c r="P9087" s="85"/>
    </row>
    <row r="9088" spans="11:16">
      <c r="K9088" s="85">
        <v>34</v>
      </c>
      <c r="L9088" s="78"/>
      <c r="M9088" s="78"/>
      <c r="N9088" s="78"/>
      <c r="P9088" s="85"/>
    </row>
    <row r="9089" spans="11:16">
      <c r="K9089" s="85">
        <v>25</v>
      </c>
      <c r="L9089" s="78"/>
      <c r="M9089" s="78"/>
      <c r="N9089" s="78"/>
      <c r="P9089" s="85"/>
    </row>
    <row r="9090" spans="11:16">
      <c r="K9090" s="85">
        <v>26</v>
      </c>
      <c r="L9090" s="78"/>
      <c r="M9090" s="78"/>
      <c r="N9090" s="78"/>
      <c r="P9090" s="85"/>
    </row>
    <row r="9091" spans="11:16">
      <c r="K9091" s="85">
        <v>27</v>
      </c>
      <c r="L9091" s="78"/>
      <c r="M9091" s="78"/>
      <c r="N9091" s="78"/>
      <c r="P9091" s="85"/>
    </row>
    <row r="9092" spans="11:16">
      <c r="K9092" s="85">
        <v>28</v>
      </c>
      <c r="L9092" s="78"/>
      <c r="M9092" s="78"/>
      <c r="N9092" s="78"/>
      <c r="P9092" s="85"/>
    </row>
    <row r="9093" spans="11:16">
      <c r="K9093" s="85">
        <v>30</v>
      </c>
      <c r="L9093" s="78"/>
      <c r="M9093" s="78"/>
      <c r="N9093" s="78"/>
      <c r="P9093" s="85"/>
    </row>
    <row r="9094" spans="11:16">
      <c r="K9094" s="85">
        <v>31</v>
      </c>
      <c r="L9094" s="78"/>
      <c r="M9094" s="78"/>
      <c r="N9094" s="78"/>
      <c r="P9094" s="85"/>
    </row>
    <row r="9095" spans="11:16">
      <c r="K9095" s="85">
        <v>32</v>
      </c>
      <c r="L9095" s="78"/>
      <c r="M9095" s="78"/>
      <c r="N9095" s="78"/>
      <c r="P9095" s="85"/>
    </row>
    <row r="9096" spans="11:16">
      <c r="K9096" s="85">
        <v>34</v>
      </c>
      <c r="L9096" s="78"/>
      <c r="M9096" s="78"/>
      <c r="N9096" s="78"/>
      <c r="P9096" s="85"/>
    </row>
    <row r="9097" spans="11:16">
      <c r="K9097" s="85">
        <v>35</v>
      </c>
      <c r="L9097" s="78"/>
      <c r="M9097" s="78"/>
      <c r="N9097" s="78"/>
      <c r="P9097" s="85"/>
    </row>
    <row r="9098" spans="11:16">
      <c r="K9098" s="85">
        <v>36</v>
      </c>
      <c r="L9098" s="78"/>
      <c r="M9098" s="78"/>
      <c r="N9098" s="78"/>
      <c r="P9098" s="85"/>
    </row>
    <row r="9099" spans="11:16">
      <c r="K9099" s="85">
        <v>25</v>
      </c>
      <c r="L9099" s="78"/>
      <c r="M9099" s="78"/>
      <c r="N9099" s="78"/>
      <c r="P9099" s="85"/>
    </row>
    <row r="9100" spans="11:16">
      <c r="K9100" s="85">
        <v>26</v>
      </c>
      <c r="L9100" s="78"/>
      <c r="M9100" s="78"/>
      <c r="N9100" s="78"/>
      <c r="P9100" s="85"/>
    </row>
    <row r="9101" spans="11:16">
      <c r="K9101" s="85">
        <v>27</v>
      </c>
      <c r="L9101" s="78"/>
      <c r="M9101" s="78"/>
      <c r="N9101" s="78"/>
      <c r="P9101" s="85"/>
    </row>
    <row r="9102" spans="11:16">
      <c r="K9102" s="85">
        <v>28</v>
      </c>
      <c r="L9102" s="78"/>
      <c r="M9102" s="78"/>
      <c r="N9102" s="78"/>
      <c r="P9102" s="85"/>
    </row>
    <row r="9103" spans="11:16">
      <c r="K9103" s="85">
        <v>29</v>
      </c>
      <c r="L9103" s="78"/>
      <c r="M9103" s="78"/>
      <c r="N9103" s="78"/>
      <c r="P9103" s="85"/>
    </row>
    <row r="9104" spans="11:16">
      <c r="K9104" s="85">
        <v>30</v>
      </c>
      <c r="L9104" s="78"/>
      <c r="M9104" s="78"/>
      <c r="N9104" s="78"/>
      <c r="P9104" s="85"/>
    </row>
    <row r="9105" spans="11:16">
      <c r="K9105" s="85">
        <v>31</v>
      </c>
      <c r="L9105" s="78"/>
      <c r="M9105" s="78"/>
      <c r="N9105" s="78"/>
      <c r="P9105" s="85"/>
    </row>
    <row r="9106" spans="11:16">
      <c r="K9106" s="85">
        <v>32</v>
      </c>
      <c r="L9106" s="78"/>
      <c r="M9106" s="78"/>
      <c r="N9106" s="78"/>
      <c r="P9106" s="85"/>
    </row>
    <row r="9107" spans="11:16">
      <c r="K9107" s="85">
        <v>34</v>
      </c>
      <c r="L9107" s="78"/>
      <c r="M9107" s="78"/>
      <c r="N9107" s="78"/>
      <c r="P9107" s="85"/>
    </row>
    <row r="9108" spans="11:16">
      <c r="K9108" s="85">
        <v>35</v>
      </c>
      <c r="L9108" s="78"/>
      <c r="M9108" s="78"/>
      <c r="N9108" s="78"/>
      <c r="P9108" s="85"/>
    </row>
    <row r="9109" spans="11:16">
      <c r="K9109" s="85">
        <v>25</v>
      </c>
      <c r="L9109" s="78"/>
      <c r="M9109" s="78"/>
      <c r="N9109" s="78"/>
      <c r="P9109" s="85"/>
    </row>
    <row r="9110" spans="11:16">
      <c r="K9110" s="85">
        <v>26</v>
      </c>
      <c r="L9110" s="78"/>
      <c r="M9110" s="78"/>
      <c r="N9110" s="78"/>
      <c r="P9110" s="85"/>
    </row>
    <row r="9111" spans="11:16">
      <c r="K9111" s="85">
        <v>27</v>
      </c>
      <c r="L9111" s="78"/>
      <c r="M9111" s="78"/>
      <c r="N9111" s="78"/>
      <c r="P9111" s="85"/>
    </row>
    <row r="9112" spans="11:16">
      <c r="K9112" s="85">
        <v>28</v>
      </c>
      <c r="L9112" s="78"/>
      <c r="M9112" s="78"/>
      <c r="N9112" s="78"/>
      <c r="P9112" s="85"/>
    </row>
    <row r="9113" spans="11:16">
      <c r="K9113" s="85">
        <v>29</v>
      </c>
      <c r="L9113" s="78"/>
      <c r="M9113" s="78"/>
      <c r="N9113" s="78"/>
      <c r="P9113" s="85"/>
    </row>
    <row r="9114" spans="11:16">
      <c r="K9114" s="85">
        <v>30</v>
      </c>
      <c r="L9114" s="78"/>
      <c r="M9114" s="78"/>
      <c r="N9114" s="78"/>
      <c r="P9114" s="85"/>
    </row>
    <row r="9115" spans="11:16">
      <c r="K9115" s="85">
        <v>31</v>
      </c>
      <c r="L9115" s="78"/>
      <c r="M9115" s="78"/>
      <c r="N9115" s="78"/>
      <c r="P9115" s="85"/>
    </row>
    <row r="9116" spans="11:16">
      <c r="K9116" s="85">
        <v>32</v>
      </c>
      <c r="L9116" s="78"/>
      <c r="M9116" s="78"/>
      <c r="N9116" s="78"/>
      <c r="P9116" s="85"/>
    </row>
    <row r="9117" spans="11:16">
      <c r="K9117" s="85">
        <v>33</v>
      </c>
      <c r="L9117" s="78"/>
      <c r="M9117" s="78"/>
      <c r="N9117" s="78"/>
      <c r="P9117" s="85"/>
    </row>
    <row r="9118" spans="11:16">
      <c r="K9118" s="85">
        <v>34</v>
      </c>
      <c r="L9118" s="78"/>
      <c r="M9118" s="78"/>
      <c r="N9118" s="78"/>
      <c r="P9118" s="85"/>
    </row>
    <row r="9119" spans="11:16">
      <c r="K9119" s="85">
        <v>35</v>
      </c>
      <c r="L9119" s="78"/>
      <c r="M9119" s="78"/>
      <c r="N9119" s="78"/>
      <c r="P9119" s="85"/>
    </row>
    <row r="9120" spans="11:16">
      <c r="K9120" s="85">
        <v>25</v>
      </c>
      <c r="L9120" s="78"/>
      <c r="M9120" s="78"/>
      <c r="N9120" s="78"/>
      <c r="P9120" s="85"/>
    </row>
    <row r="9121" spans="11:16">
      <c r="K9121" s="85">
        <v>26</v>
      </c>
      <c r="L9121" s="78"/>
      <c r="M9121" s="78"/>
      <c r="N9121" s="78"/>
      <c r="P9121" s="85"/>
    </row>
    <row r="9122" spans="11:16">
      <c r="K9122" s="85">
        <v>27</v>
      </c>
      <c r="L9122" s="78"/>
      <c r="M9122" s="78"/>
      <c r="N9122" s="78"/>
      <c r="P9122" s="85"/>
    </row>
    <row r="9123" spans="11:16">
      <c r="K9123" s="85">
        <v>28</v>
      </c>
      <c r="L9123" s="78"/>
      <c r="M9123" s="78"/>
      <c r="N9123" s="78"/>
      <c r="P9123" s="85"/>
    </row>
    <row r="9124" spans="11:16">
      <c r="K9124" s="85">
        <v>29</v>
      </c>
      <c r="L9124" s="78"/>
      <c r="M9124" s="78"/>
      <c r="N9124" s="78"/>
      <c r="P9124" s="85"/>
    </row>
    <row r="9125" spans="11:16">
      <c r="K9125" s="85">
        <v>30</v>
      </c>
      <c r="L9125" s="78"/>
      <c r="M9125" s="78"/>
      <c r="N9125" s="78"/>
      <c r="P9125" s="85"/>
    </row>
    <row r="9126" spans="11:16">
      <c r="K9126" s="85">
        <v>31</v>
      </c>
      <c r="L9126" s="78"/>
      <c r="M9126" s="78"/>
      <c r="N9126" s="78"/>
      <c r="P9126" s="85"/>
    </row>
    <row r="9127" spans="11:16">
      <c r="K9127" s="85">
        <v>32</v>
      </c>
      <c r="L9127" s="78"/>
      <c r="M9127" s="78"/>
      <c r="N9127" s="78"/>
      <c r="P9127" s="85"/>
    </row>
    <row r="9128" spans="11:16">
      <c r="K9128" s="85">
        <v>34</v>
      </c>
      <c r="L9128" s="78"/>
      <c r="M9128" s="78"/>
      <c r="N9128" s="78"/>
      <c r="P9128" s="85"/>
    </row>
    <row r="9129" spans="11:16">
      <c r="K9129" s="85">
        <v>35</v>
      </c>
      <c r="L9129" s="78"/>
      <c r="M9129" s="78"/>
      <c r="N9129" s="78"/>
      <c r="P9129" s="85"/>
    </row>
    <row r="9130" spans="11:16">
      <c r="K9130" s="85">
        <v>26</v>
      </c>
      <c r="L9130" s="78"/>
      <c r="M9130" s="78"/>
      <c r="N9130" s="78"/>
      <c r="P9130" s="85"/>
    </row>
    <row r="9131" spans="11:16">
      <c r="K9131" s="85">
        <v>27</v>
      </c>
      <c r="L9131" s="78"/>
      <c r="M9131" s="78"/>
      <c r="N9131" s="78"/>
      <c r="P9131" s="85"/>
    </row>
    <row r="9132" spans="11:16">
      <c r="K9132" s="85">
        <v>31</v>
      </c>
      <c r="L9132" s="78"/>
      <c r="M9132" s="78"/>
      <c r="N9132" s="78"/>
      <c r="P9132" s="85"/>
    </row>
    <row r="9133" spans="11:16">
      <c r="K9133" s="85">
        <v>32</v>
      </c>
      <c r="L9133" s="78"/>
      <c r="M9133" s="78"/>
      <c r="N9133" s="78"/>
      <c r="P9133" s="85"/>
    </row>
    <row r="9134" spans="11:16">
      <c r="K9134" s="85">
        <v>34</v>
      </c>
      <c r="L9134" s="78"/>
      <c r="M9134" s="78"/>
      <c r="N9134" s="78"/>
      <c r="P9134" s="85"/>
    </row>
    <row r="9135" spans="11:16">
      <c r="K9135" s="85">
        <v>35</v>
      </c>
      <c r="L9135" s="78"/>
      <c r="M9135" s="78"/>
      <c r="N9135" s="78"/>
      <c r="P9135" s="85"/>
    </row>
    <row r="9136" spans="11:16">
      <c r="K9136" s="85">
        <v>27</v>
      </c>
      <c r="L9136" s="78"/>
      <c r="M9136" s="78"/>
      <c r="N9136" s="78"/>
      <c r="P9136" s="85"/>
    </row>
    <row r="9137" spans="11:16">
      <c r="K9137" s="85">
        <v>30</v>
      </c>
      <c r="L9137" s="78"/>
      <c r="M9137" s="78"/>
      <c r="N9137" s="78"/>
      <c r="P9137" s="85"/>
    </row>
    <row r="9138" spans="11:16">
      <c r="K9138" s="85">
        <v>31</v>
      </c>
      <c r="L9138" s="78"/>
      <c r="M9138" s="78"/>
      <c r="N9138" s="78"/>
      <c r="P9138" s="85"/>
    </row>
    <row r="9139" spans="11:16">
      <c r="K9139" s="85">
        <v>32</v>
      </c>
      <c r="L9139" s="78"/>
      <c r="M9139" s="78"/>
      <c r="N9139" s="78"/>
      <c r="P9139" s="85"/>
    </row>
    <row r="9140" spans="11:16">
      <c r="K9140" s="85">
        <v>34</v>
      </c>
      <c r="L9140" s="78"/>
      <c r="M9140" s="78"/>
      <c r="N9140" s="78"/>
      <c r="P9140" s="85"/>
    </row>
    <row r="9141" spans="11:16">
      <c r="K9141" s="85">
        <v>35</v>
      </c>
      <c r="L9141" s="78"/>
      <c r="M9141" s="78"/>
      <c r="N9141" s="78"/>
      <c r="P9141" s="85"/>
    </row>
    <row r="9142" spans="11:16">
      <c r="K9142" s="85">
        <v>27</v>
      </c>
      <c r="L9142" s="78"/>
      <c r="M9142" s="78"/>
      <c r="N9142" s="78"/>
      <c r="P9142" s="85"/>
    </row>
    <row r="9143" spans="11:16">
      <c r="K9143" s="85">
        <v>35</v>
      </c>
      <c r="L9143" s="78"/>
      <c r="M9143" s="78"/>
      <c r="N9143" s="78"/>
      <c r="P9143" s="85"/>
    </row>
    <row r="9144" spans="11:16">
      <c r="K9144" s="85">
        <v>26</v>
      </c>
      <c r="L9144" s="78"/>
      <c r="M9144" s="78"/>
      <c r="N9144" s="78"/>
      <c r="P9144" s="85"/>
    </row>
    <row r="9145" spans="11:16">
      <c r="K9145" s="85">
        <v>27</v>
      </c>
      <c r="L9145" s="78"/>
      <c r="M9145" s="78"/>
      <c r="N9145" s="78"/>
      <c r="P9145" s="85"/>
    </row>
    <row r="9146" spans="11:16">
      <c r="K9146" s="85">
        <v>31</v>
      </c>
      <c r="L9146" s="78"/>
      <c r="M9146" s="78"/>
      <c r="N9146" s="78"/>
      <c r="P9146" s="85"/>
    </row>
    <row r="9147" spans="11:16">
      <c r="K9147" s="85">
        <v>35</v>
      </c>
      <c r="L9147" s="78"/>
      <c r="M9147" s="78"/>
      <c r="N9147" s="78"/>
      <c r="P9147" s="85"/>
    </row>
    <row r="9148" spans="11:16">
      <c r="K9148" s="85">
        <v>25</v>
      </c>
      <c r="L9148" s="78"/>
      <c r="M9148" s="78"/>
      <c r="N9148" s="78"/>
      <c r="P9148" s="85"/>
    </row>
    <row r="9149" spans="11:16">
      <c r="K9149" s="85">
        <v>26</v>
      </c>
      <c r="L9149" s="78"/>
      <c r="M9149" s="78"/>
      <c r="N9149" s="78"/>
      <c r="P9149" s="85"/>
    </row>
    <row r="9150" spans="11:16">
      <c r="K9150" s="85">
        <v>27</v>
      </c>
      <c r="L9150" s="78"/>
      <c r="M9150" s="78"/>
      <c r="N9150" s="78"/>
      <c r="P9150" s="85"/>
    </row>
    <row r="9151" spans="11:16">
      <c r="K9151" s="85">
        <v>28</v>
      </c>
      <c r="L9151" s="78"/>
      <c r="M9151" s="78"/>
      <c r="N9151" s="78"/>
      <c r="P9151" s="85"/>
    </row>
    <row r="9152" spans="11:16">
      <c r="K9152" s="85">
        <v>29</v>
      </c>
      <c r="L9152" s="78"/>
      <c r="M9152" s="78"/>
      <c r="N9152" s="78"/>
      <c r="P9152" s="85"/>
    </row>
    <row r="9153" spans="11:16">
      <c r="K9153" s="85">
        <v>30</v>
      </c>
      <c r="L9153" s="78"/>
      <c r="M9153" s="78"/>
      <c r="N9153" s="78"/>
      <c r="P9153" s="85"/>
    </row>
    <row r="9154" spans="11:16">
      <c r="K9154" s="85">
        <v>31</v>
      </c>
      <c r="L9154" s="78"/>
      <c r="M9154" s="78"/>
      <c r="N9154" s="78"/>
      <c r="P9154" s="85"/>
    </row>
    <row r="9155" spans="11:16">
      <c r="K9155" s="85">
        <v>32</v>
      </c>
      <c r="L9155" s="78"/>
      <c r="M9155" s="78"/>
      <c r="N9155" s="78"/>
      <c r="P9155" s="85"/>
    </row>
    <row r="9156" spans="11:16">
      <c r="K9156" s="85">
        <v>34</v>
      </c>
      <c r="L9156" s="78"/>
      <c r="M9156" s="78"/>
      <c r="N9156" s="78"/>
      <c r="P9156" s="85"/>
    </row>
    <row r="9157" spans="11:16">
      <c r="K9157" s="85">
        <v>35</v>
      </c>
      <c r="L9157" s="78"/>
      <c r="M9157" s="78"/>
      <c r="N9157" s="78"/>
      <c r="P9157" s="85"/>
    </row>
    <row r="9158" spans="11:16">
      <c r="K9158" s="85">
        <v>27</v>
      </c>
      <c r="L9158" s="78"/>
      <c r="M9158" s="78"/>
      <c r="N9158" s="78"/>
      <c r="P9158" s="85"/>
    </row>
    <row r="9159" spans="11:16">
      <c r="K9159" s="85">
        <v>34</v>
      </c>
      <c r="L9159" s="78"/>
      <c r="M9159" s="78"/>
      <c r="N9159" s="78"/>
      <c r="P9159" s="85"/>
    </row>
    <row r="9160" spans="11:16">
      <c r="K9160" s="85">
        <v>35</v>
      </c>
      <c r="L9160" s="78"/>
      <c r="M9160" s="78"/>
      <c r="N9160" s="78"/>
      <c r="P9160" s="85"/>
    </row>
    <row r="9161" spans="11:16">
      <c r="K9161" s="85">
        <v>36</v>
      </c>
      <c r="L9161" s="78"/>
      <c r="M9161" s="78"/>
      <c r="N9161" s="78"/>
      <c r="P9161" s="85"/>
    </row>
    <row r="9162" spans="11:16">
      <c r="K9162" s="85">
        <v>27</v>
      </c>
      <c r="L9162" s="78"/>
      <c r="M9162" s="78"/>
      <c r="N9162" s="78"/>
      <c r="P9162" s="85"/>
    </row>
    <row r="9163" spans="11:16">
      <c r="K9163" s="85">
        <v>29</v>
      </c>
      <c r="L9163" s="78"/>
      <c r="M9163" s="78"/>
      <c r="N9163" s="78"/>
      <c r="P9163" s="85"/>
    </row>
    <row r="9164" spans="11:16">
      <c r="K9164" s="85">
        <v>32</v>
      </c>
      <c r="L9164" s="78"/>
      <c r="M9164" s="78"/>
      <c r="N9164" s="78"/>
      <c r="P9164" s="85"/>
    </row>
    <row r="9165" spans="11:16">
      <c r="K9165" s="85">
        <v>33</v>
      </c>
      <c r="L9165" s="78"/>
      <c r="M9165" s="78"/>
      <c r="N9165" s="78"/>
      <c r="P9165" s="85"/>
    </row>
    <row r="9166" spans="11:16">
      <c r="K9166" s="85">
        <v>34</v>
      </c>
      <c r="L9166" s="78"/>
      <c r="M9166" s="78"/>
      <c r="N9166" s="78"/>
      <c r="P9166" s="85"/>
    </row>
    <row r="9167" spans="11:16">
      <c r="K9167" s="85">
        <v>35</v>
      </c>
      <c r="L9167" s="78"/>
      <c r="M9167" s="78"/>
      <c r="N9167" s="78"/>
      <c r="P9167" s="85"/>
    </row>
    <row r="9168" spans="11:16">
      <c r="K9168" s="85">
        <v>25</v>
      </c>
      <c r="L9168" s="78"/>
      <c r="M9168" s="78"/>
      <c r="N9168" s="78"/>
      <c r="P9168" s="85"/>
    </row>
    <row r="9169" spans="11:16">
      <c r="K9169" s="85">
        <v>26</v>
      </c>
      <c r="L9169" s="78"/>
      <c r="M9169" s="78"/>
      <c r="N9169" s="78"/>
      <c r="P9169" s="85"/>
    </row>
    <row r="9170" spans="11:16">
      <c r="K9170" s="85">
        <v>27</v>
      </c>
      <c r="L9170" s="78"/>
      <c r="M9170" s="78"/>
      <c r="N9170" s="78"/>
      <c r="P9170" s="85"/>
    </row>
    <row r="9171" spans="11:16">
      <c r="K9171" s="85">
        <v>29</v>
      </c>
      <c r="L9171" s="78"/>
      <c r="M9171" s="78"/>
      <c r="N9171" s="78"/>
      <c r="P9171" s="85"/>
    </row>
    <row r="9172" spans="11:16">
      <c r="K9172" s="85">
        <v>31</v>
      </c>
      <c r="L9172" s="78"/>
      <c r="M9172" s="78"/>
      <c r="N9172" s="78"/>
      <c r="P9172" s="85"/>
    </row>
    <row r="9173" spans="11:16">
      <c r="K9173" s="85">
        <v>32</v>
      </c>
      <c r="L9173" s="78"/>
      <c r="M9173" s="78"/>
      <c r="N9173" s="78"/>
      <c r="P9173" s="85"/>
    </row>
    <row r="9174" spans="11:16">
      <c r="K9174" s="85">
        <v>33</v>
      </c>
      <c r="L9174" s="78"/>
      <c r="M9174" s="78"/>
      <c r="N9174" s="78"/>
      <c r="P9174" s="85"/>
    </row>
    <row r="9175" spans="11:16">
      <c r="K9175" s="85">
        <v>34</v>
      </c>
      <c r="L9175" s="78"/>
      <c r="M9175" s="78"/>
      <c r="N9175" s="78"/>
      <c r="P9175" s="85"/>
    </row>
    <row r="9176" spans="11:16">
      <c r="K9176" s="85">
        <v>35</v>
      </c>
      <c r="L9176" s="78"/>
      <c r="M9176" s="78"/>
      <c r="N9176" s="78"/>
      <c r="P9176" s="85"/>
    </row>
    <row r="9177" spans="11:16">
      <c r="K9177" s="85">
        <v>25</v>
      </c>
      <c r="L9177" s="78"/>
      <c r="M9177" s="78"/>
      <c r="N9177" s="78"/>
      <c r="P9177" s="85"/>
    </row>
    <row r="9178" spans="11:16">
      <c r="K9178" s="85">
        <v>26</v>
      </c>
      <c r="L9178" s="78"/>
      <c r="M9178" s="78"/>
      <c r="N9178" s="78"/>
      <c r="P9178" s="85"/>
    </row>
    <row r="9179" spans="11:16">
      <c r="K9179" s="85">
        <v>27</v>
      </c>
      <c r="L9179" s="78"/>
      <c r="M9179" s="78"/>
      <c r="N9179" s="78"/>
      <c r="P9179" s="85"/>
    </row>
    <row r="9180" spans="11:16">
      <c r="K9180" s="85">
        <v>28</v>
      </c>
      <c r="L9180" s="78"/>
      <c r="M9180" s="78"/>
      <c r="N9180" s="78"/>
      <c r="P9180" s="85"/>
    </row>
    <row r="9181" spans="11:16">
      <c r="K9181" s="85">
        <v>30</v>
      </c>
      <c r="L9181" s="78"/>
      <c r="M9181" s="78"/>
      <c r="N9181" s="78"/>
      <c r="P9181" s="85"/>
    </row>
    <row r="9182" spans="11:16">
      <c r="K9182" s="85">
        <v>31</v>
      </c>
      <c r="L9182" s="78"/>
      <c r="M9182" s="78"/>
      <c r="N9182" s="78"/>
      <c r="P9182" s="85"/>
    </row>
    <row r="9183" spans="11:16">
      <c r="K9183" s="85">
        <v>32</v>
      </c>
      <c r="L9183" s="78"/>
      <c r="M9183" s="78"/>
      <c r="N9183" s="78"/>
      <c r="P9183" s="85"/>
    </row>
    <row r="9184" spans="11:16">
      <c r="K9184" s="85">
        <v>34</v>
      </c>
      <c r="L9184" s="78"/>
      <c r="M9184" s="78"/>
      <c r="N9184" s="78"/>
      <c r="P9184" s="85"/>
    </row>
    <row r="9185" spans="11:16">
      <c r="K9185" s="85">
        <v>35</v>
      </c>
      <c r="L9185" s="78"/>
      <c r="M9185" s="78"/>
      <c r="N9185" s="78"/>
      <c r="P9185" s="85"/>
    </row>
    <row r="9186" spans="11:16">
      <c r="K9186" s="85">
        <v>30</v>
      </c>
      <c r="L9186" s="78"/>
      <c r="M9186" s="78"/>
      <c r="N9186" s="78"/>
      <c r="P9186" s="85"/>
    </row>
    <row r="9187" spans="11:16">
      <c r="K9187" s="85">
        <v>31</v>
      </c>
      <c r="L9187" s="78"/>
      <c r="M9187" s="78"/>
      <c r="N9187" s="78"/>
      <c r="P9187" s="85"/>
    </row>
    <row r="9188" spans="11:16">
      <c r="K9188" s="85">
        <v>32</v>
      </c>
      <c r="L9188" s="78"/>
      <c r="M9188" s="78"/>
      <c r="N9188" s="78"/>
      <c r="P9188" s="85"/>
    </row>
    <row r="9189" spans="11:16">
      <c r="K9189" s="85">
        <v>34</v>
      </c>
      <c r="L9189" s="78"/>
      <c r="M9189" s="78"/>
      <c r="N9189" s="78"/>
      <c r="P9189" s="85"/>
    </row>
    <row r="9190" spans="11:16">
      <c r="K9190" s="85">
        <v>36</v>
      </c>
      <c r="L9190" s="78"/>
      <c r="M9190" s="78"/>
      <c r="N9190" s="78"/>
      <c r="P9190" s="85"/>
    </row>
    <row r="9191" spans="11:16">
      <c r="K9191" s="85">
        <v>25</v>
      </c>
      <c r="L9191" s="78"/>
      <c r="M9191" s="78"/>
      <c r="N9191" s="78"/>
      <c r="P9191" s="85"/>
    </row>
    <row r="9192" spans="11:16">
      <c r="K9192" s="85">
        <v>26</v>
      </c>
      <c r="L9192" s="78"/>
      <c r="M9192" s="78"/>
      <c r="N9192" s="78"/>
      <c r="P9192" s="85"/>
    </row>
    <row r="9193" spans="11:16">
      <c r="K9193" s="85">
        <v>27</v>
      </c>
      <c r="L9193" s="78"/>
      <c r="M9193" s="78"/>
      <c r="N9193" s="78"/>
      <c r="P9193" s="85"/>
    </row>
    <row r="9194" spans="11:16">
      <c r="K9194" s="85">
        <v>29</v>
      </c>
      <c r="L9194" s="78"/>
      <c r="M9194" s="78"/>
      <c r="N9194" s="78"/>
      <c r="P9194" s="85"/>
    </row>
    <row r="9195" spans="11:16">
      <c r="K9195" s="85">
        <v>31</v>
      </c>
      <c r="L9195" s="78"/>
      <c r="M9195" s="78"/>
      <c r="N9195" s="78"/>
      <c r="P9195" s="85"/>
    </row>
    <row r="9196" spans="11:16">
      <c r="K9196" s="85">
        <v>34</v>
      </c>
      <c r="L9196" s="78"/>
      <c r="M9196" s="78"/>
      <c r="N9196" s="78"/>
      <c r="P9196" s="85"/>
    </row>
    <row r="9197" spans="11:16">
      <c r="K9197" s="85">
        <v>35</v>
      </c>
      <c r="L9197" s="78"/>
      <c r="M9197" s="78"/>
      <c r="N9197" s="78"/>
      <c r="P9197" s="85"/>
    </row>
    <row r="9198" spans="11:16">
      <c r="K9198" s="85">
        <v>25</v>
      </c>
      <c r="L9198" s="78"/>
      <c r="M9198" s="78"/>
      <c r="N9198" s="78"/>
      <c r="P9198" s="85"/>
    </row>
    <row r="9199" spans="11:16">
      <c r="K9199" s="85">
        <v>27</v>
      </c>
      <c r="L9199" s="78"/>
      <c r="M9199" s="78"/>
      <c r="N9199" s="78"/>
      <c r="P9199" s="85"/>
    </row>
    <row r="9200" spans="11:16">
      <c r="K9200" s="85">
        <v>29</v>
      </c>
      <c r="L9200" s="78"/>
      <c r="M9200" s="78"/>
      <c r="N9200" s="78"/>
      <c r="P9200" s="85"/>
    </row>
    <row r="9201" spans="11:16">
      <c r="K9201" s="85">
        <v>31</v>
      </c>
      <c r="L9201" s="78"/>
      <c r="M9201" s="78"/>
      <c r="N9201" s="78"/>
      <c r="P9201" s="85"/>
    </row>
    <row r="9202" spans="11:16">
      <c r="K9202" s="85">
        <v>32</v>
      </c>
      <c r="L9202" s="78"/>
      <c r="M9202" s="78"/>
      <c r="N9202" s="78"/>
      <c r="P9202" s="85"/>
    </row>
    <row r="9203" spans="11:16">
      <c r="K9203" s="85">
        <v>33</v>
      </c>
      <c r="L9203" s="78"/>
      <c r="M9203" s="78"/>
      <c r="N9203" s="78"/>
      <c r="P9203" s="85"/>
    </row>
    <row r="9204" spans="11:16">
      <c r="K9204" s="85">
        <v>34</v>
      </c>
      <c r="L9204" s="78"/>
      <c r="M9204" s="78"/>
      <c r="N9204" s="78"/>
      <c r="P9204" s="85"/>
    </row>
    <row r="9205" spans="11:16">
      <c r="K9205" s="85">
        <v>35</v>
      </c>
      <c r="L9205" s="78"/>
      <c r="M9205" s="78"/>
      <c r="N9205" s="78"/>
      <c r="P9205" s="85"/>
    </row>
    <row r="9206" spans="11:16">
      <c r="K9206" s="85">
        <v>36</v>
      </c>
      <c r="L9206" s="78"/>
      <c r="M9206" s="78"/>
      <c r="N9206" s="78"/>
      <c r="P9206" s="85"/>
    </row>
    <row r="9207" spans="11:16">
      <c r="K9207" s="85">
        <v>25</v>
      </c>
      <c r="L9207" s="78"/>
      <c r="M9207" s="78"/>
      <c r="N9207" s="78"/>
      <c r="P9207" s="85"/>
    </row>
    <row r="9208" spans="11:16">
      <c r="K9208" s="85">
        <v>26</v>
      </c>
      <c r="L9208" s="78"/>
      <c r="M9208" s="78"/>
      <c r="N9208" s="78"/>
      <c r="P9208" s="85"/>
    </row>
    <row r="9209" spans="11:16">
      <c r="K9209" s="85">
        <v>27</v>
      </c>
      <c r="L9209" s="78"/>
      <c r="M9209" s="78"/>
      <c r="N9209" s="78"/>
      <c r="P9209" s="85"/>
    </row>
    <row r="9210" spans="11:16">
      <c r="K9210" s="85">
        <v>28</v>
      </c>
      <c r="L9210" s="78"/>
      <c r="M9210" s="78"/>
      <c r="N9210" s="78"/>
      <c r="P9210" s="85"/>
    </row>
    <row r="9211" spans="11:16">
      <c r="K9211" s="85">
        <v>29</v>
      </c>
      <c r="L9211" s="78"/>
      <c r="M9211" s="78"/>
      <c r="N9211" s="78"/>
      <c r="P9211" s="85"/>
    </row>
    <row r="9212" spans="11:16">
      <c r="K9212" s="85">
        <v>30</v>
      </c>
      <c r="L9212" s="78"/>
      <c r="M9212" s="78"/>
      <c r="N9212" s="78"/>
      <c r="P9212" s="85"/>
    </row>
    <row r="9213" spans="11:16">
      <c r="K9213" s="85">
        <v>31</v>
      </c>
      <c r="L9213" s="78"/>
      <c r="M9213" s="78"/>
      <c r="N9213" s="78"/>
      <c r="P9213" s="85"/>
    </row>
    <row r="9214" spans="11:16">
      <c r="K9214" s="85">
        <v>34</v>
      </c>
      <c r="L9214" s="78"/>
      <c r="M9214" s="78"/>
      <c r="N9214" s="78"/>
      <c r="P9214" s="85"/>
    </row>
    <row r="9215" spans="11:16">
      <c r="K9215" s="85">
        <v>35</v>
      </c>
      <c r="L9215" s="78"/>
      <c r="M9215" s="78"/>
      <c r="N9215" s="78"/>
      <c r="P9215" s="85"/>
    </row>
    <row r="9216" spans="11:16">
      <c r="K9216" s="85">
        <v>36</v>
      </c>
      <c r="L9216" s="78"/>
      <c r="M9216" s="78"/>
      <c r="N9216" s="78"/>
      <c r="P9216" s="85"/>
    </row>
    <row r="9217" spans="11:16">
      <c r="K9217" s="85">
        <v>25</v>
      </c>
      <c r="L9217" s="78"/>
      <c r="M9217" s="78"/>
      <c r="N9217" s="78"/>
      <c r="P9217" s="85"/>
    </row>
    <row r="9218" spans="11:16">
      <c r="K9218" s="85">
        <v>26</v>
      </c>
      <c r="L9218" s="78"/>
      <c r="M9218" s="78"/>
      <c r="N9218" s="78"/>
      <c r="P9218" s="85"/>
    </row>
    <row r="9219" spans="11:16">
      <c r="K9219" s="85">
        <v>27</v>
      </c>
      <c r="L9219" s="78"/>
      <c r="M9219" s="78"/>
      <c r="N9219" s="78"/>
      <c r="P9219" s="85"/>
    </row>
    <row r="9220" spans="11:16">
      <c r="K9220" s="85">
        <v>29</v>
      </c>
      <c r="L9220" s="78"/>
      <c r="M9220" s="78"/>
      <c r="N9220" s="78"/>
      <c r="P9220" s="85"/>
    </row>
    <row r="9221" spans="11:16">
      <c r="K9221" s="85">
        <v>30</v>
      </c>
      <c r="L9221" s="78"/>
      <c r="M9221" s="78"/>
      <c r="N9221" s="78"/>
      <c r="P9221" s="85"/>
    </row>
    <row r="9222" spans="11:16">
      <c r="K9222" s="85">
        <v>31</v>
      </c>
      <c r="L9222" s="78"/>
      <c r="M9222" s="78"/>
      <c r="N9222" s="78"/>
      <c r="P9222" s="85"/>
    </row>
    <row r="9223" spans="11:16">
      <c r="K9223" s="85">
        <v>32</v>
      </c>
      <c r="L9223" s="78"/>
      <c r="M9223" s="78"/>
      <c r="N9223" s="78"/>
      <c r="P9223" s="85"/>
    </row>
    <row r="9224" spans="11:16">
      <c r="K9224" s="85">
        <v>33</v>
      </c>
      <c r="L9224" s="78"/>
      <c r="M9224" s="78"/>
      <c r="N9224" s="78"/>
      <c r="P9224" s="85"/>
    </row>
    <row r="9225" spans="11:16">
      <c r="K9225" s="85">
        <v>34</v>
      </c>
      <c r="L9225" s="78"/>
      <c r="M9225" s="78"/>
      <c r="N9225" s="78"/>
      <c r="P9225" s="85"/>
    </row>
    <row r="9226" spans="11:16">
      <c r="K9226" s="85">
        <v>35</v>
      </c>
      <c r="L9226" s="78"/>
      <c r="M9226" s="78"/>
      <c r="N9226" s="78"/>
      <c r="P9226" s="85"/>
    </row>
    <row r="9227" spans="11:16">
      <c r="K9227" s="85">
        <v>25</v>
      </c>
      <c r="L9227" s="78"/>
      <c r="M9227" s="78"/>
      <c r="N9227" s="78"/>
      <c r="P9227" s="85"/>
    </row>
    <row r="9228" spans="11:16">
      <c r="K9228" s="85">
        <v>31</v>
      </c>
      <c r="L9228" s="78"/>
      <c r="M9228" s="78"/>
      <c r="N9228" s="78"/>
      <c r="P9228" s="85"/>
    </row>
    <row r="9229" spans="11:16">
      <c r="K9229" s="85">
        <v>35</v>
      </c>
      <c r="L9229" s="78"/>
      <c r="M9229" s="78"/>
      <c r="N9229" s="78"/>
      <c r="P9229" s="85"/>
    </row>
    <row r="9230" spans="11:16">
      <c r="K9230" s="85">
        <v>25</v>
      </c>
      <c r="L9230" s="78"/>
      <c r="M9230" s="78"/>
      <c r="N9230" s="78"/>
      <c r="P9230" s="85"/>
    </row>
    <row r="9231" spans="11:16">
      <c r="K9231" s="85">
        <v>26</v>
      </c>
      <c r="L9231" s="78"/>
      <c r="M9231" s="78"/>
      <c r="N9231" s="78"/>
      <c r="P9231" s="85"/>
    </row>
    <row r="9232" spans="11:16">
      <c r="K9232" s="85">
        <v>27</v>
      </c>
      <c r="L9232" s="78"/>
      <c r="M9232" s="78"/>
      <c r="N9232" s="78"/>
      <c r="P9232" s="85"/>
    </row>
    <row r="9233" spans="11:16">
      <c r="K9233" s="85">
        <v>32</v>
      </c>
      <c r="L9233" s="78"/>
      <c r="M9233" s="78"/>
      <c r="N9233" s="78"/>
      <c r="P9233" s="85"/>
    </row>
    <row r="9234" spans="11:16">
      <c r="K9234" s="85">
        <v>34</v>
      </c>
      <c r="L9234" s="78"/>
      <c r="M9234" s="78"/>
      <c r="N9234" s="78"/>
      <c r="P9234" s="85"/>
    </row>
    <row r="9235" spans="11:16">
      <c r="K9235" s="85">
        <v>35</v>
      </c>
      <c r="L9235" s="78"/>
      <c r="M9235" s="78"/>
      <c r="N9235" s="78"/>
      <c r="P9235" s="85"/>
    </row>
    <row r="9236" spans="11:16">
      <c r="K9236" s="85">
        <v>26</v>
      </c>
      <c r="L9236" s="78"/>
      <c r="M9236" s="78"/>
      <c r="N9236" s="78"/>
      <c r="P9236" s="85"/>
    </row>
    <row r="9237" spans="11:16">
      <c r="K9237" s="85">
        <v>27</v>
      </c>
      <c r="L9237" s="78"/>
      <c r="M9237" s="78"/>
      <c r="N9237" s="78"/>
      <c r="P9237" s="85"/>
    </row>
    <row r="9238" spans="11:16">
      <c r="K9238" s="85">
        <v>29</v>
      </c>
      <c r="L9238" s="78"/>
      <c r="M9238" s="78"/>
      <c r="N9238" s="78"/>
      <c r="P9238" s="85"/>
    </row>
    <row r="9239" spans="11:16">
      <c r="K9239" s="85">
        <v>31</v>
      </c>
      <c r="L9239" s="78"/>
      <c r="M9239" s="78"/>
      <c r="N9239" s="78"/>
      <c r="P9239" s="85"/>
    </row>
    <row r="9240" spans="11:16">
      <c r="K9240" s="85">
        <v>32</v>
      </c>
      <c r="L9240" s="78"/>
      <c r="M9240" s="78"/>
      <c r="N9240" s="78"/>
      <c r="P9240" s="85"/>
    </row>
    <row r="9241" spans="11:16">
      <c r="K9241" s="85">
        <v>34</v>
      </c>
      <c r="L9241" s="78"/>
      <c r="M9241" s="78"/>
      <c r="N9241" s="78"/>
      <c r="P9241" s="85"/>
    </row>
    <row r="9242" spans="11:16">
      <c r="K9242" s="85">
        <v>35</v>
      </c>
      <c r="L9242" s="78"/>
      <c r="M9242" s="78"/>
      <c r="N9242" s="78"/>
      <c r="P9242" s="85"/>
    </row>
    <row r="9243" spans="11:16">
      <c r="K9243" s="85">
        <v>25</v>
      </c>
      <c r="L9243" s="78"/>
      <c r="M9243" s="78"/>
      <c r="N9243" s="78"/>
      <c r="P9243" s="85"/>
    </row>
    <row r="9244" spans="11:16">
      <c r="K9244" s="85">
        <v>26</v>
      </c>
      <c r="L9244" s="78"/>
      <c r="M9244" s="78"/>
      <c r="N9244" s="78"/>
      <c r="P9244" s="85"/>
    </row>
    <row r="9245" spans="11:16">
      <c r="K9245" s="85">
        <v>27</v>
      </c>
      <c r="L9245" s="78"/>
      <c r="M9245" s="78"/>
      <c r="N9245" s="78"/>
      <c r="P9245" s="85"/>
    </row>
    <row r="9246" spans="11:16">
      <c r="K9246" s="85">
        <v>31</v>
      </c>
      <c r="L9246" s="78"/>
      <c r="M9246" s="78"/>
      <c r="N9246" s="78"/>
      <c r="P9246" s="85"/>
    </row>
    <row r="9247" spans="11:16">
      <c r="K9247" s="85">
        <v>32</v>
      </c>
      <c r="L9247" s="78"/>
      <c r="M9247" s="78"/>
      <c r="N9247" s="78"/>
      <c r="P9247" s="85"/>
    </row>
    <row r="9248" spans="11:16">
      <c r="K9248" s="85">
        <v>34</v>
      </c>
      <c r="L9248" s="78"/>
      <c r="M9248" s="78"/>
      <c r="N9248" s="78"/>
      <c r="P9248" s="85"/>
    </row>
    <row r="9249" spans="11:16">
      <c r="K9249" s="85">
        <v>25</v>
      </c>
      <c r="L9249" s="78"/>
      <c r="M9249" s="78"/>
      <c r="N9249" s="78"/>
      <c r="P9249" s="85"/>
    </row>
    <row r="9250" spans="11:16">
      <c r="K9250" s="85">
        <v>26</v>
      </c>
      <c r="L9250" s="78"/>
      <c r="M9250" s="78"/>
      <c r="N9250" s="78"/>
      <c r="P9250" s="85"/>
    </row>
    <row r="9251" spans="11:16">
      <c r="K9251" s="85">
        <v>27</v>
      </c>
      <c r="L9251" s="78"/>
      <c r="M9251" s="78"/>
      <c r="N9251" s="78"/>
      <c r="P9251" s="85"/>
    </row>
    <row r="9252" spans="11:16">
      <c r="K9252" s="85">
        <v>28</v>
      </c>
      <c r="L9252" s="78"/>
      <c r="M9252" s="78"/>
      <c r="N9252" s="78"/>
      <c r="P9252" s="85"/>
    </row>
    <row r="9253" spans="11:16">
      <c r="K9253" s="85">
        <v>29</v>
      </c>
      <c r="L9253" s="78"/>
      <c r="M9253" s="78"/>
      <c r="N9253" s="78"/>
      <c r="P9253" s="85"/>
    </row>
    <row r="9254" spans="11:16">
      <c r="K9254" s="85">
        <v>30</v>
      </c>
      <c r="L9254" s="78"/>
      <c r="M9254" s="78"/>
      <c r="N9254" s="78"/>
      <c r="P9254" s="85"/>
    </row>
    <row r="9255" spans="11:16">
      <c r="K9255" s="85">
        <v>31</v>
      </c>
      <c r="L9255" s="78"/>
      <c r="M9255" s="78"/>
      <c r="N9255" s="78"/>
      <c r="P9255" s="85"/>
    </row>
    <row r="9256" spans="11:16">
      <c r="K9256" s="85">
        <v>32</v>
      </c>
      <c r="L9256" s="78"/>
      <c r="M9256" s="78"/>
      <c r="N9256" s="78"/>
      <c r="P9256" s="85"/>
    </row>
    <row r="9257" spans="11:16">
      <c r="K9257" s="85">
        <v>34</v>
      </c>
      <c r="L9257" s="78"/>
      <c r="M9257" s="78"/>
      <c r="N9257" s="78"/>
      <c r="P9257" s="85"/>
    </row>
    <row r="9258" spans="11:16">
      <c r="K9258" s="85">
        <v>35</v>
      </c>
      <c r="L9258" s="78"/>
      <c r="M9258" s="78"/>
      <c r="N9258" s="78"/>
      <c r="P9258" s="85"/>
    </row>
    <row r="9259" spans="11:16">
      <c r="K9259" s="85">
        <v>25</v>
      </c>
      <c r="L9259" s="78"/>
      <c r="M9259" s="78"/>
      <c r="N9259" s="78"/>
      <c r="P9259" s="85"/>
    </row>
    <row r="9260" spans="11:16">
      <c r="K9260" s="85">
        <v>26</v>
      </c>
      <c r="L9260" s="78"/>
      <c r="M9260" s="78"/>
      <c r="N9260" s="78"/>
      <c r="P9260" s="85"/>
    </row>
    <row r="9261" spans="11:16">
      <c r="K9261" s="85">
        <v>27</v>
      </c>
      <c r="L9261" s="78"/>
      <c r="M9261" s="78"/>
      <c r="N9261" s="78"/>
      <c r="P9261" s="85"/>
    </row>
    <row r="9262" spans="11:16">
      <c r="K9262" s="85">
        <v>28</v>
      </c>
      <c r="L9262" s="78"/>
      <c r="M9262" s="78"/>
      <c r="N9262" s="78"/>
      <c r="P9262" s="85"/>
    </row>
    <row r="9263" spans="11:16">
      <c r="K9263" s="85">
        <v>30</v>
      </c>
      <c r="L9263" s="78"/>
      <c r="M9263" s="78"/>
      <c r="N9263" s="78"/>
      <c r="P9263" s="85"/>
    </row>
    <row r="9264" spans="11:16">
      <c r="K9264" s="85">
        <v>31</v>
      </c>
      <c r="L9264" s="78"/>
      <c r="M9264" s="78"/>
      <c r="N9264" s="78"/>
      <c r="P9264" s="85"/>
    </row>
    <row r="9265" spans="11:16">
      <c r="K9265" s="85">
        <v>32</v>
      </c>
      <c r="L9265" s="78"/>
      <c r="M9265" s="78"/>
      <c r="N9265" s="78"/>
      <c r="P9265" s="85"/>
    </row>
    <row r="9266" spans="11:16">
      <c r="K9266" s="85">
        <v>33</v>
      </c>
      <c r="L9266" s="78"/>
      <c r="M9266" s="78"/>
      <c r="N9266" s="78"/>
      <c r="P9266" s="85"/>
    </row>
    <row r="9267" spans="11:16">
      <c r="K9267" s="85">
        <v>34</v>
      </c>
      <c r="L9267" s="78"/>
      <c r="M9267" s="78"/>
      <c r="N9267" s="78"/>
      <c r="P9267" s="85"/>
    </row>
    <row r="9268" spans="11:16">
      <c r="K9268" s="85">
        <v>35</v>
      </c>
      <c r="L9268" s="78"/>
      <c r="M9268" s="78"/>
      <c r="N9268" s="78"/>
      <c r="P9268" s="85"/>
    </row>
    <row r="9269" spans="11:16">
      <c r="K9269" s="85">
        <v>26</v>
      </c>
      <c r="L9269" s="78"/>
      <c r="M9269" s="78"/>
      <c r="N9269" s="78"/>
      <c r="P9269" s="85"/>
    </row>
    <row r="9270" spans="11:16">
      <c r="K9270" s="85">
        <v>27</v>
      </c>
      <c r="L9270" s="78"/>
      <c r="M9270" s="78"/>
      <c r="N9270" s="78"/>
      <c r="P9270" s="85"/>
    </row>
    <row r="9271" spans="11:16">
      <c r="K9271" s="85">
        <v>30</v>
      </c>
      <c r="L9271" s="78"/>
      <c r="M9271" s="78"/>
      <c r="N9271" s="78"/>
      <c r="P9271" s="85"/>
    </row>
    <row r="9272" spans="11:16">
      <c r="K9272" s="85">
        <v>31</v>
      </c>
      <c r="L9272" s="78"/>
      <c r="M9272" s="78"/>
      <c r="N9272" s="78"/>
      <c r="P9272" s="85"/>
    </row>
    <row r="9273" spans="11:16">
      <c r="K9273" s="85">
        <v>34</v>
      </c>
      <c r="L9273" s="78"/>
      <c r="M9273" s="78"/>
      <c r="N9273" s="78"/>
      <c r="P9273" s="85"/>
    </row>
    <row r="9274" spans="11:16">
      <c r="K9274" s="85">
        <v>35</v>
      </c>
      <c r="L9274" s="78"/>
      <c r="M9274" s="78"/>
      <c r="N9274" s="78"/>
      <c r="P9274" s="85"/>
    </row>
    <row r="9275" spans="11:16">
      <c r="K9275" s="85">
        <v>36</v>
      </c>
      <c r="L9275" s="78"/>
      <c r="M9275" s="78"/>
      <c r="N9275" s="78"/>
      <c r="P9275" s="85"/>
    </row>
    <row r="9276" spans="11:16">
      <c r="K9276" s="85">
        <v>25</v>
      </c>
      <c r="L9276" s="78"/>
      <c r="M9276" s="78"/>
      <c r="N9276" s="78"/>
      <c r="P9276" s="85"/>
    </row>
    <row r="9277" spans="11:16">
      <c r="K9277" s="85">
        <v>26</v>
      </c>
      <c r="L9277" s="78"/>
      <c r="M9277" s="78"/>
      <c r="N9277" s="78"/>
      <c r="P9277" s="85"/>
    </row>
    <row r="9278" spans="11:16">
      <c r="K9278" s="85">
        <v>27</v>
      </c>
      <c r="L9278" s="78"/>
      <c r="M9278" s="78"/>
      <c r="N9278" s="78"/>
      <c r="P9278" s="85"/>
    </row>
    <row r="9279" spans="11:16">
      <c r="K9279" s="85">
        <v>28</v>
      </c>
      <c r="L9279" s="78"/>
      <c r="M9279" s="78"/>
      <c r="N9279" s="78"/>
      <c r="P9279" s="85"/>
    </row>
    <row r="9280" spans="11:16">
      <c r="K9280" s="85">
        <v>31</v>
      </c>
      <c r="L9280" s="78"/>
      <c r="M9280" s="78"/>
      <c r="N9280" s="78"/>
      <c r="P9280" s="85"/>
    </row>
    <row r="9281" spans="11:16">
      <c r="K9281" s="85">
        <v>32</v>
      </c>
      <c r="L9281" s="78"/>
      <c r="M9281" s="78"/>
      <c r="N9281" s="78"/>
      <c r="P9281" s="85"/>
    </row>
    <row r="9282" spans="11:16">
      <c r="K9282" s="85">
        <v>34</v>
      </c>
      <c r="L9282" s="78"/>
      <c r="M9282" s="78"/>
      <c r="N9282" s="78"/>
      <c r="P9282" s="85"/>
    </row>
    <row r="9283" spans="11:16">
      <c r="K9283" s="85">
        <v>35</v>
      </c>
      <c r="L9283" s="78"/>
      <c r="M9283" s="78"/>
      <c r="N9283" s="78"/>
      <c r="P9283" s="85"/>
    </row>
    <row r="9284" spans="11:16">
      <c r="K9284" s="85">
        <v>36</v>
      </c>
      <c r="L9284" s="78"/>
      <c r="M9284" s="78"/>
      <c r="N9284" s="78"/>
      <c r="P9284" s="85"/>
    </row>
    <row r="9285" spans="11:16">
      <c r="K9285" s="85">
        <v>27</v>
      </c>
      <c r="L9285" s="78"/>
      <c r="M9285" s="78"/>
      <c r="N9285" s="78"/>
      <c r="P9285" s="85"/>
    </row>
    <row r="9286" spans="11:16">
      <c r="K9286" s="85">
        <v>28</v>
      </c>
      <c r="L9286" s="78"/>
      <c r="M9286" s="78"/>
      <c r="N9286" s="78"/>
      <c r="P9286" s="85"/>
    </row>
    <row r="9287" spans="11:16">
      <c r="K9287" s="85">
        <v>29</v>
      </c>
      <c r="L9287" s="78"/>
      <c r="M9287" s="78"/>
      <c r="N9287" s="78"/>
      <c r="P9287" s="85"/>
    </row>
    <row r="9288" spans="11:16">
      <c r="K9288" s="85">
        <v>30</v>
      </c>
      <c r="L9288" s="78"/>
      <c r="M9288" s="78"/>
      <c r="N9288" s="78"/>
      <c r="P9288" s="85"/>
    </row>
    <row r="9289" spans="11:16">
      <c r="K9289" s="85">
        <v>31</v>
      </c>
      <c r="L9289" s="78"/>
      <c r="M9289" s="78"/>
      <c r="N9289" s="78"/>
      <c r="P9289" s="85"/>
    </row>
    <row r="9290" spans="11:16">
      <c r="K9290" s="85">
        <v>32</v>
      </c>
      <c r="L9290" s="78"/>
      <c r="M9290" s="78"/>
      <c r="N9290" s="78"/>
      <c r="P9290" s="85"/>
    </row>
    <row r="9291" spans="11:16">
      <c r="K9291" s="85">
        <v>33</v>
      </c>
      <c r="L9291" s="78"/>
      <c r="M9291" s="78"/>
      <c r="N9291" s="78"/>
      <c r="P9291" s="85"/>
    </row>
    <row r="9292" spans="11:16">
      <c r="K9292" s="85">
        <v>34</v>
      </c>
      <c r="L9292" s="78"/>
      <c r="M9292" s="78"/>
      <c r="N9292" s="78"/>
      <c r="P9292" s="85"/>
    </row>
    <row r="9293" spans="11:16">
      <c r="K9293" s="85">
        <v>35</v>
      </c>
      <c r="L9293" s="78"/>
      <c r="M9293" s="78"/>
      <c r="N9293" s="78"/>
      <c r="P9293" s="85"/>
    </row>
    <row r="9294" spans="11:16">
      <c r="K9294" s="85">
        <v>25</v>
      </c>
      <c r="L9294" s="78"/>
      <c r="M9294" s="78"/>
      <c r="N9294" s="78"/>
      <c r="P9294" s="85"/>
    </row>
    <row r="9295" spans="11:16">
      <c r="K9295" s="85">
        <v>26</v>
      </c>
      <c r="L9295" s="78"/>
      <c r="M9295" s="78"/>
      <c r="N9295" s="78"/>
      <c r="P9295" s="85"/>
    </row>
    <row r="9296" spans="11:16">
      <c r="K9296" s="85">
        <v>27</v>
      </c>
      <c r="L9296" s="78"/>
      <c r="M9296" s="78"/>
      <c r="N9296" s="78"/>
      <c r="P9296" s="85"/>
    </row>
    <row r="9297" spans="11:16">
      <c r="K9297" s="85">
        <v>29</v>
      </c>
      <c r="L9297" s="78"/>
      <c r="M9297" s="78"/>
      <c r="N9297" s="78"/>
      <c r="P9297" s="85"/>
    </row>
    <row r="9298" spans="11:16">
      <c r="K9298" s="85">
        <v>31</v>
      </c>
      <c r="L9298" s="78"/>
      <c r="M9298" s="78"/>
      <c r="N9298" s="78"/>
      <c r="P9298" s="85"/>
    </row>
    <row r="9299" spans="11:16">
      <c r="K9299" s="85">
        <v>32</v>
      </c>
      <c r="L9299" s="78"/>
      <c r="M9299" s="78"/>
      <c r="N9299" s="78"/>
      <c r="P9299" s="85"/>
    </row>
    <row r="9300" spans="11:16">
      <c r="K9300" s="85">
        <v>25</v>
      </c>
      <c r="L9300" s="78"/>
      <c r="M9300" s="78"/>
      <c r="N9300" s="78"/>
      <c r="P9300" s="85"/>
    </row>
    <row r="9301" spans="11:16">
      <c r="K9301" s="85">
        <v>27</v>
      </c>
      <c r="L9301" s="78"/>
      <c r="M9301" s="78"/>
      <c r="N9301" s="78"/>
      <c r="P9301" s="85"/>
    </row>
    <row r="9302" spans="11:16">
      <c r="K9302" s="85">
        <v>29</v>
      </c>
      <c r="L9302" s="78"/>
      <c r="M9302" s="78"/>
      <c r="N9302" s="78"/>
      <c r="P9302" s="85"/>
    </row>
    <row r="9303" spans="11:16">
      <c r="K9303" s="85">
        <v>30</v>
      </c>
      <c r="L9303" s="78"/>
      <c r="M9303" s="78"/>
      <c r="N9303" s="78"/>
      <c r="P9303" s="85"/>
    </row>
    <row r="9304" spans="11:16">
      <c r="K9304" s="85">
        <v>31</v>
      </c>
      <c r="L9304" s="78"/>
      <c r="M9304" s="78"/>
      <c r="N9304" s="78"/>
      <c r="P9304" s="85"/>
    </row>
    <row r="9305" spans="11:16">
      <c r="K9305" s="85">
        <v>32</v>
      </c>
      <c r="L9305" s="78"/>
      <c r="M9305" s="78"/>
      <c r="N9305" s="78"/>
      <c r="P9305" s="85"/>
    </row>
    <row r="9306" spans="11:16">
      <c r="K9306" s="85">
        <v>34</v>
      </c>
      <c r="L9306" s="78"/>
      <c r="M9306" s="78"/>
      <c r="N9306" s="78"/>
      <c r="P9306" s="85"/>
    </row>
    <row r="9307" spans="11:16">
      <c r="K9307" s="85">
        <v>35</v>
      </c>
      <c r="L9307" s="78"/>
      <c r="M9307" s="78"/>
      <c r="N9307" s="78"/>
      <c r="P9307" s="85"/>
    </row>
    <row r="9308" spans="11:16">
      <c r="K9308" s="85">
        <v>36</v>
      </c>
      <c r="L9308" s="78"/>
      <c r="M9308" s="78"/>
      <c r="N9308" s="78"/>
      <c r="P9308" s="85"/>
    </row>
    <row r="9309" spans="11:16">
      <c r="K9309" s="85">
        <v>27</v>
      </c>
      <c r="L9309" s="78"/>
      <c r="M9309" s="78"/>
      <c r="N9309" s="78"/>
      <c r="P9309" s="85"/>
    </row>
    <row r="9310" spans="11:16">
      <c r="K9310" s="85">
        <v>31</v>
      </c>
      <c r="L9310" s="78"/>
      <c r="M9310" s="78"/>
      <c r="N9310" s="78"/>
      <c r="P9310" s="85"/>
    </row>
    <row r="9311" spans="11:16">
      <c r="K9311" s="85">
        <v>32</v>
      </c>
      <c r="L9311" s="78"/>
      <c r="M9311" s="78"/>
      <c r="N9311" s="78"/>
      <c r="P9311" s="85"/>
    </row>
    <row r="9312" spans="11:16">
      <c r="K9312" s="85">
        <v>34</v>
      </c>
      <c r="L9312" s="78"/>
      <c r="M9312" s="78"/>
      <c r="N9312" s="78"/>
      <c r="P9312" s="85"/>
    </row>
    <row r="9313" spans="11:16">
      <c r="K9313" s="85">
        <v>35</v>
      </c>
      <c r="L9313" s="78"/>
      <c r="M9313" s="78"/>
      <c r="N9313" s="78"/>
      <c r="P9313" s="85"/>
    </row>
    <row r="9314" spans="11:16">
      <c r="K9314" s="85">
        <v>25</v>
      </c>
      <c r="L9314" s="78"/>
      <c r="M9314" s="78"/>
      <c r="N9314" s="78"/>
      <c r="P9314" s="85"/>
    </row>
    <row r="9315" spans="11:16">
      <c r="K9315" s="85">
        <v>26</v>
      </c>
      <c r="L9315" s="78"/>
      <c r="M9315" s="78"/>
      <c r="N9315" s="78"/>
      <c r="P9315" s="85"/>
    </row>
    <row r="9316" spans="11:16">
      <c r="K9316" s="85">
        <v>27</v>
      </c>
      <c r="L9316" s="78"/>
      <c r="M9316" s="78"/>
      <c r="N9316" s="78"/>
      <c r="P9316" s="85"/>
    </row>
    <row r="9317" spans="11:16">
      <c r="K9317" s="85">
        <v>28</v>
      </c>
      <c r="L9317" s="78"/>
      <c r="M9317" s="78"/>
      <c r="N9317" s="78"/>
      <c r="P9317" s="85"/>
    </row>
    <row r="9318" spans="11:16">
      <c r="K9318" s="85">
        <v>29</v>
      </c>
      <c r="L9318" s="78"/>
      <c r="M9318" s="78"/>
      <c r="N9318" s="78"/>
      <c r="P9318" s="85"/>
    </row>
    <row r="9319" spans="11:16">
      <c r="K9319" s="85">
        <v>30</v>
      </c>
      <c r="L9319" s="78"/>
      <c r="M9319" s="78"/>
      <c r="N9319" s="78"/>
      <c r="P9319" s="85"/>
    </row>
    <row r="9320" spans="11:16">
      <c r="K9320" s="85">
        <v>31</v>
      </c>
      <c r="L9320" s="78"/>
      <c r="M9320" s="78"/>
      <c r="N9320" s="78"/>
      <c r="P9320" s="85"/>
    </row>
    <row r="9321" spans="11:16">
      <c r="K9321" s="85">
        <v>32</v>
      </c>
      <c r="L9321" s="78"/>
      <c r="M9321" s="78"/>
      <c r="N9321" s="78"/>
      <c r="P9321" s="85"/>
    </row>
    <row r="9322" spans="11:16">
      <c r="K9322" s="85">
        <v>34</v>
      </c>
      <c r="L9322" s="78"/>
      <c r="M9322" s="78"/>
      <c r="N9322" s="78"/>
      <c r="P9322" s="85"/>
    </row>
    <row r="9323" spans="11:16">
      <c r="K9323" s="85">
        <v>35</v>
      </c>
      <c r="L9323" s="78"/>
      <c r="M9323" s="78"/>
      <c r="N9323" s="78"/>
      <c r="P9323" s="85"/>
    </row>
    <row r="9324" spans="11:16">
      <c r="K9324" s="85">
        <v>36</v>
      </c>
      <c r="L9324" s="78"/>
      <c r="M9324" s="78"/>
      <c r="N9324" s="78"/>
      <c r="P9324" s="85"/>
    </row>
    <row r="9325" spans="11:16">
      <c r="K9325" s="85">
        <v>25</v>
      </c>
      <c r="L9325" s="78"/>
      <c r="M9325" s="78"/>
      <c r="N9325" s="78"/>
      <c r="P9325" s="85"/>
    </row>
    <row r="9326" spans="11:16">
      <c r="K9326" s="85">
        <v>27</v>
      </c>
      <c r="L9326" s="78"/>
      <c r="M9326" s="78"/>
      <c r="N9326" s="78"/>
      <c r="P9326" s="85"/>
    </row>
    <row r="9327" spans="11:16">
      <c r="K9327" s="85">
        <v>28</v>
      </c>
      <c r="L9327" s="78"/>
      <c r="M9327" s="78"/>
      <c r="N9327" s="78"/>
      <c r="P9327" s="85"/>
    </row>
    <row r="9328" spans="11:16">
      <c r="K9328" s="85">
        <v>30</v>
      </c>
      <c r="L9328" s="78"/>
      <c r="M9328" s="78"/>
      <c r="N9328" s="78"/>
      <c r="P9328" s="85"/>
    </row>
    <row r="9329" spans="11:16">
      <c r="K9329" s="85">
        <v>31</v>
      </c>
      <c r="L9329" s="78"/>
      <c r="M9329" s="78"/>
      <c r="N9329" s="78"/>
      <c r="P9329" s="85"/>
    </row>
    <row r="9330" spans="11:16">
      <c r="K9330" s="85">
        <v>32</v>
      </c>
      <c r="L9330" s="78"/>
      <c r="M9330" s="78"/>
      <c r="N9330" s="78"/>
      <c r="P9330" s="85"/>
    </row>
    <row r="9331" spans="11:16">
      <c r="K9331" s="85">
        <v>34</v>
      </c>
      <c r="L9331" s="78"/>
      <c r="M9331" s="78"/>
      <c r="N9331" s="78"/>
      <c r="P9331" s="85"/>
    </row>
    <row r="9332" spans="11:16">
      <c r="K9332" s="85">
        <v>35</v>
      </c>
      <c r="L9332" s="78"/>
      <c r="M9332" s="78"/>
      <c r="N9332" s="78"/>
      <c r="P9332" s="85"/>
    </row>
    <row r="9333" spans="11:16">
      <c r="K9333" s="85">
        <v>36</v>
      </c>
      <c r="L9333" s="78"/>
      <c r="M9333" s="78"/>
      <c r="N9333" s="78"/>
      <c r="P9333" s="85"/>
    </row>
    <row r="9334" spans="11:16">
      <c r="K9334" s="85">
        <v>25</v>
      </c>
      <c r="L9334" s="78"/>
      <c r="M9334" s="78"/>
      <c r="N9334" s="78"/>
      <c r="P9334" s="85"/>
    </row>
    <row r="9335" spans="11:16">
      <c r="K9335" s="85">
        <v>26</v>
      </c>
      <c r="L9335" s="78"/>
      <c r="M9335" s="78"/>
      <c r="N9335" s="78"/>
      <c r="P9335" s="85"/>
    </row>
    <row r="9336" spans="11:16">
      <c r="K9336" s="85">
        <v>27</v>
      </c>
      <c r="L9336" s="78"/>
      <c r="M9336" s="78"/>
      <c r="N9336" s="78"/>
      <c r="P9336" s="85"/>
    </row>
    <row r="9337" spans="11:16">
      <c r="K9337" s="85">
        <v>28</v>
      </c>
      <c r="L9337" s="78"/>
      <c r="M9337" s="78"/>
      <c r="N9337" s="78"/>
      <c r="P9337" s="85"/>
    </row>
    <row r="9338" spans="11:16">
      <c r="K9338" s="85">
        <v>29</v>
      </c>
      <c r="L9338" s="78"/>
      <c r="M9338" s="78"/>
      <c r="N9338" s="78"/>
      <c r="P9338" s="85"/>
    </row>
    <row r="9339" spans="11:16">
      <c r="K9339" s="85">
        <v>30</v>
      </c>
      <c r="L9339" s="78"/>
      <c r="M9339" s="78"/>
      <c r="N9339" s="78"/>
      <c r="P9339" s="85"/>
    </row>
    <row r="9340" spans="11:16">
      <c r="K9340" s="85">
        <v>31</v>
      </c>
      <c r="L9340" s="78"/>
      <c r="M9340" s="78"/>
      <c r="N9340" s="78"/>
      <c r="P9340" s="85"/>
    </row>
    <row r="9341" spans="11:16">
      <c r="K9341" s="85">
        <v>32</v>
      </c>
      <c r="L9341" s="78"/>
      <c r="M9341" s="78"/>
      <c r="N9341" s="78"/>
      <c r="P9341" s="85"/>
    </row>
    <row r="9342" spans="11:16">
      <c r="K9342" s="85">
        <v>33</v>
      </c>
      <c r="L9342" s="78"/>
      <c r="M9342" s="78"/>
      <c r="N9342" s="78"/>
      <c r="P9342" s="85"/>
    </row>
    <row r="9343" spans="11:16">
      <c r="K9343" s="85">
        <v>34</v>
      </c>
      <c r="L9343" s="78"/>
      <c r="M9343" s="78"/>
      <c r="N9343" s="78"/>
      <c r="P9343" s="85"/>
    </row>
    <row r="9344" spans="11:16">
      <c r="K9344" s="85">
        <v>35</v>
      </c>
      <c r="L9344" s="78"/>
      <c r="M9344" s="78"/>
      <c r="N9344" s="78"/>
      <c r="P9344" s="85"/>
    </row>
    <row r="9345" spans="11:16">
      <c r="K9345" s="85">
        <v>25</v>
      </c>
      <c r="L9345" s="78"/>
      <c r="M9345" s="78"/>
      <c r="N9345" s="78"/>
      <c r="P9345" s="85"/>
    </row>
    <row r="9346" spans="11:16">
      <c r="K9346" s="85">
        <v>26</v>
      </c>
      <c r="L9346" s="78"/>
      <c r="M9346" s="78"/>
      <c r="N9346" s="78"/>
      <c r="P9346" s="85"/>
    </row>
    <row r="9347" spans="11:16">
      <c r="K9347" s="85">
        <v>27</v>
      </c>
      <c r="L9347" s="78"/>
      <c r="M9347" s="78"/>
      <c r="N9347" s="78"/>
      <c r="P9347" s="85"/>
    </row>
    <row r="9348" spans="11:16">
      <c r="K9348" s="85">
        <v>35</v>
      </c>
      <c r="L9348" s="78"/>
      <c r="M9348" s="78"/>
      <c r="N9348" s="78"/>
      <c r="P9348" s="85"/>
    </row>
    <row r="9349" spans="11:16">
      <c r="K9349" s="85">
        <v>36</v>
      </c>
      <c r="L9349" s="78"/>
      <c r="M9349" s="78"/>
      <c r="N9349" s="78"/>
      <c r="P9349" s="85"/>
    </row>
    <row r="9350" spans="11:16">
      <c r="K9350" s="85">
        <v>26</v>
      </c>
      <c r="L9350" s="78"/>
      <c r="M9350" s="78"/>
      <c r="N9350" s="78"/>
      <c r="P9350" s="85"/>
    </row>
    <row r="9351" spans="11:16">
      <c r="K9351" s="85">
        <v>27</v>
      </c>
      <c r="L9351" s="78"/>
      <c r="M9351" s="78"/>
      <c r="N9351" s="78"/>
      <c r="P9351" s="85"/>
    </row>
    <row r="9352" spans="11:16">
      <c r="K9352" s="85">
        <v>28</v>
      </c>
      <c r="L9352" s="78"/>
      <c r="M9352" s="78"/>
      <c r="N9352" s="78"/>
      <c r="P9352" s="85"/>
    </row>
    <row r="9353" spans="11:16">
      <c r="K9353" s="85">
        <v>29</v>
      </c>
      <c r="L9353" s="78"/>
      <c r="M9353" s="78"/>
      <c r="N9353" s="78"/>
      <c r="P9353" s="85"/>
    </row>
    <row r="9354" spans="11:16">
      <c r="K9354" s="85">
        <v>30</v>
      </c>
      <c r="L9354" s="78"/>
      <c r="M9354" s="78"/>
      <c r="N9354" s="78"/>
      <c r="P9354" s="85"/>
    </row>
    <row r="9355" spans="11:16">
      <c r="K9355" s="85">
        <v>31</v>
      </c>
      <c r="L9355" s="78"/>
      <c r="M9355" s="78"/>
      <c r="N9355" s="78"/>
      <c r="P9355" s="85"/>
    </row>
    <row r="9356" spans="11:16">
      <c r="K9356" s="85">
        <v>32</v>
      </c>
      <c r="L9356" s="78"/>
      <c r="M9356" s="78"/>
      <c r="N9356" s="78"/>
      <c r="P9356" s="85"/>
    </row>
    <row r="9357" spans="11:16">
      <c r="K9357" s="85">
        <v>33</v>
      </c>
      <c r="L9357" s="78"/>
      <c r="M9357" s="78"/>
      <c r="N9357" s="78"/>
      <c r="P9357" s="85"/>
    </row>
    <row r="9358" spans="11:16">
      <c r="K9358" s="85">
        <v>34</v>
      </c>
      <c r="L9358" s="78"/>
      <c r="M9358" s="78"/>
      <c r="N9358" s="78"/>
      <c r="P9358" s="85"/>
    </row>
    <row r="9359" spans="11:16">
      <c r="K9359" s="85">
        <v>35</v>
      </c>
      <c r="L9359" s="78"/>
      <c r="M9359" s="78"/>
      <c r="N9359" s="78"/>
      <c r="P9359" s="85"/>
    </row>
    <row r="9360" spans="11:16">
      <c r="K9360" s="85">
        <v>25</v>
      </c>
      <c r="L9360" s="78"/>
      <c r="M9360" s="78"/>
      <c r="N9360" s="78"/>
      <c r="P9360" s="85"/>
    </row>
    <row r="9361" spans="11:16">
      <c r="K9361" s="85">
        <v>27</v>
      </c>
      <c r="L9361" s="78"/>
      <c r="M9361" s="78"/>
      <c r="N9361" s="78"/>
      <c r="P9361" s="85"/>
    </row>
    <row r="9362" spans="11:16">
      <c r="K9362" s="85">
        <v>29</v>
      </c>
      <c r="L9362" s="78"/>
      <c r="M9362" s="78"/>
      <c r="N9362" s="78"/>
      <c r="P9362" s="85"/>
    </row>
    <row r="9363" spans="11:16">
      <c r="K9363" s="85">
        <v>30</v>
      </c>
      <c r="L9363" s="78"/>
      <c r="M9363" s="78"/>
      <c r="N9363" s="78"/>
      <c r="P9363" s="85"/>
    </row>
    <row r="9364" spans="11:16">
      <c r="K9364" s="85">
        <v>31</v>
      </c>
      <c r="L9364" s="78"/>
      <c r="M9364" s="78"/>
      <c r="N9364" s="78"/>
      <c r="P9364" s="85"/>
    </row>
    <row r="9365" spans="11:16">
      <c r="K9365" s="85">
        <v>32</v>
      </c>
      <c r="L9365" s="78"/>
      <c r="M9365" s="78"/>
      <c r="N9365" s="78"/>
      <c r="P9365" s="85"/>
    </row>
    <row r="9366" spans="11:16">
      <c r="K9366" s="85">
        <v>34</v>
      </c>
      <c r="L9366" s="78"/>
      <c r="M9366" s="78"/>
      <c r="N9366" s="78"/>
      <c r="P9366" s="85"/>
    </row>
    <row r="9367" spans="11:16">
      <c r="K9367" s="85">
        <v>35</v>
      </c>
      <c r="L9367" s="78"/>
      <c r="M9367" s="78"/>
      <c r="N9367" s="78"/>
      <c r="P9367" s="85"/>
    </row>
    <row r="9368" spans="11:16">
      <c r="K9368" s="85">
        <v>36</v>
      </c>
      <c r="L9368" s="78"/>
      <c r="M9368" s="78"/>
      <c r="N9368" s="78"/>
      <c r="P9368" s="85"/>
    </row>
    <row r="9369" spans="11:16">
      <c r="K9369" s="85">
        <v>25</v>
      </c>
      <c r="L9369" s="78"/>
      <c r="M9369" s="78"/>
      <c r="N9369" s="78"/>
      <c r="P9369" s="85"/>
    </row>
    <row r="9370" spans="11:16">
      <c r="K9370" s="85">
        <v>26</v>
      </c>
      <c r="L9370" s="78"/>
      <c r="M9370" s="78"/>
      <c r="N9370" s="78"/>
      <c r="P9370" s="85"/>
    </row>
    <row r="9371" spans="11:16">
      <c r="K9371" s="85">
        <v>27</v>
      </c>
      <c r="L9371" s="78"/>
      <c r="M9371" s="78"/>
      <c r="N9371" s="78"/>
      <c r="P9371" s="85"/>
    </row>
    <row r="9372" spans="11:16">
      <c r="K9372" s="85">
        <v>28</v>
      </c>
      <c r="L9372" s="78"/>
      <c r="M9372" s="78"/>
      <c r="N9372" s="78"/>
      <c r="P9372" s="85"/>
    </row>
    <row r="9373" spans="11:16">
      <c r="K9373" s="85">
        <v>29</v>
      </c>
      <c r="L9373" s="78"/>
      <c r="M9373" s="78"/>
      <c r="N9373" s="78"/>
      <c r="P9373" s="85"/>
    </row>
    <row r="9374" spans="11:16">
      <c r="K9374" s="85">
        <v>30</v>
      </c>
      <c r="L9374" s="78"/>
      <c r="M9374" s="78"/>
      <c r="N9374" s="78"/>
      <c r="P9374" s="85"/>
    </row>
    <row r="9375" spans="11:16">
      <c r="K9375" s="85">
        <v>31</v>
      </c>
      <c r="L9375" s="78"/>
      <c r="M9375" s="78"/>
      <c r="N9375" s="78"/>
      <c r="P9375" s="85"/>
    </row>
    <row r="9376" spans="11:16">
      <c r="K9376" s="85">
        <v>32</v>
      </c>
      <c r="L9376" s="78"/>
      <c r="M9376" s="78"/>
      <c r="N9376" s="78"/>
      <c r="P9376" s="85"/>
    </row>
    <row r="9377" spans="11:16">
      <c r="K9377" s="85">
        <v>34</v>
      </c>
      <c r="L9377" s="78"/>
      <c r="M9377" s="78"/>
      <c r="N9377" s="78"/>
      <c r="P9377" s="85"/>
    </row>
    <row r="9378" spans="11:16">
      <c r="K9378" s="85">
        <v>35</v>
      </c>
      <c r="L9378" s="78"/>
      <c r="M9378" s="78"/>
      <c r="N9378" s="78"/>
      <c r="P9378" s="85"/>
    </row>
    <row r="9379" spans="11:16">
      <c r="K9379" s="85">
        <v>27</v>
      </c>
      <c r="L9379" s="78"/>
      <c r="M9379" s="78"/>
      <c r="N9379" s="78"/>
      <c r="P9379" s="85"/>
    </row>
    <row r="9380" spans="11:16">
      <c r="K9380" s="85">
        <v>31</v>
      </c>
      <c r="L9380" s="78"/>
      <c r="M9380" s="78"/>
      <c r="N9380" s="78"/>
      <c r="P9380" s="85"/>
    </row>
    <row r="9381" spans="11:16">
      <c r="K9381" s="85">
        <v>32</v>
      </c>
      <c r="L9381" s="78"/>
      <c r="M9381" s="78"/>
      <c r="N9381" s="78"/>
      <c r="P9381" s="85"/>
    </row>
    <row r="9382" spans="11:16">
      <c r="K9382" s="85">
        <v>31</v>
      </c>
      <c r="L9382" s="78"/>
      <c r="M9382" s="78"/>
      <c r="N9382" s="78"/>
      <c r="P9382" s="85"/>
    </row>
    <row r="9383" spans="11:16">
      <c r="K9383" s="85">
        <v>34</v>
      </c>
      <c r="L9383" s="78"/>
      <c r="M9383" s="78"/>
      <c r="N9383" s="78"/>
      <c r="P9383" s="85"/>
    </row>
    <row r="9384" spans="11:16">
      <c r="K9384" s="85">
        <v>35</v>
      </c>
      <c r="L9384" s="78"/>
      <c r="M9384" s="78"/>
      <c r="N9384" s="78"/>
      <c r="P9384" s="85"/>
    </row>
    <row r="9385" spans="11:16">
      <c r="K9385" s="85">
        <v>25</v>
      </c>
      <c r="L9385" s="78"/>
      <c r="M9385" s="78"/>
      <c r="N9385" s="78"/>
      <c r="P9385" s="85"/>
    </row>
    <row r="9386" spans="11:16">
      <c r="K9386" s="85">
        <v>26</v>
      </c>
      <c r="L9386" s="78"/>
      <c r="M9386" s="78"/>
      <c r="N9386" s="78"/>
      <c r="P9386" s="85"/>
    </row>
    <row r="9387" spans="11:16">
      <c r="K9387" s="85">
        <v>27</v>
      </c>
      <c r="L9387" s="78"/>
      <c r="M9387" s="78"/>
      <c r="N9387" s="78"/>
      <c r="P9387" s="85"/>
    </row>
    <row r="9388" spans="11:16">
      <c r="K9388" s="85">
        <v>29</v>
      </c>
      <c r="L9388" s="78"/>
      <c r="M9388" s="78"/>
      <c r="N9388" s="78"/>
      <c r="P9388" s="85"/>
    </row>
    <row r="9389" spans="11:16">
      <c r="K9389" s="85">
        <v>31</v>
      </c>
      <c r="L9389" s="78"/>
      <c r="M9389" s="78"/>
      <c r="N9389" s="78"/>
      <c r="P9389" s="85"/>
    </row>
    <row r="9390" spans="11:16">
      <c r="K9390" s="85">
        <v>32</v>
      </c>
      <c r="L9390" s="78"/>
      <c r="M9390" s="78"/>
      <c r="N9390" s="78"/>
      <c r="P9390" s="85"/>
    </row>
    <row r="9391" spans="11:16">
      <c r="K9391" s="85">
        <v>33</v>
      </c>
      <c r="L9391" s="78"/>
      <c r="M9391" s="78"/>
      <c r="N9391" s="78"/>
      <c r="P9391" s="85"/>
    </row>
    <row r="9392" spans="11:16">
      <c r="K9392" s="85">
        <v>34</v>
      </c>
      <c r="L9392" s="78"/>
      <c r="M9392" s="78"/>
      <c r="N9392" s="78"/>
      <c r="P9392" s="85"/>
    </row>
    <row r="9393" spans="11:16">
      <c r="K9393" s="85">
        <v>35</v>
      </c>
      <c r="L9393" s="78"/>
      <c r="M9393" s="78"/>
      <c r="N9393" s="78"/>
      <c r="P9393" s="85"/>
    </row>
    <row r="9394" spans="11:16">
      <c r="K9394" s="85">
        <v>36</v>
      </c>
      <c r="L9394" s="78"/>
      <c r="M9394" s="78"/>
      <c r="N9394" s="78"/>
      <c r="P9394" s="85"/>
    </row>
    <row r="9395" spans="11:16">
      <c r="K9395" s="85">
        <v>27</v>
      </c>
      <c r="L9395" s="78"/>
      <c r="M9395" s="78"/>
      <c r="N9395" s="78"/>
      <c r="P9395" s="85"/>
    </row>
    <row r="9396" spans="11:16">
      <c r="K9396" s="85">
        <v>28</v>
      </c>
      <c r="L9396" s="78"/>
      <c r="M9396" s="78"/>
      <c r="N9396" s="78"/>
      <c r="P9396" s="85"/>
    </row>
    <row r="9397" spans="11:16">
      <c r="K9397" s="85">
        <v>29</v>
      </c>
      <c r="L9397" s="78"/>
      <c r="M9397" s="78"/>
      <c r="N9397" s="78"/>
      <c r="P9397" s="85"/>
    </row>
    <row r="9398" spans="11:16">
      <c r="K9398" s="85">
        <v>30</v>
      </c>
      <c r="L9398" s="78"/>
      <c r="M9398" s="78"/>
      <c r="N9398" s="78"/>
      <c r="P9398" s="85"/>
    </row>
    <row r="9399" spans="11:16">
      <c r="K9399" s="85">
        <v>31</v>
      </c>
      <c r="L9399" s="78"/>
      <c r="M9399" s="78"/>
      <c r="N9399" s="78"/>
      <c r="P9399" s="85"/>
    </row>
    <row r="9400" spans="11:16">
      <c r="K9400" s="85">
        <v>32</v>
      </c>
      <c r="L9400" s="78"/>
      <c r="M9400" s="78"/>
      <c r="N9400" s="78"/>
      <c r="P9400" s="85"/>
    </row>
    <row r="9401" spans="11:16">
      <c r="K9401" s="85">
        <v>33</v>
      </c>
      <c r="L9401" s="78"/>
      <c r="M9401" s="78"/>
      <c r="N9401" s="78"/>
      <c r="P9401" s="85"/>
    </row>
    <row r="9402" spans="11:16">
      <c r="K9402" s="85">
        <v>35</v>
      </c>
      <c r="L9402" s="78"/>
      <c r="M9402" s="78"/>
      <c r="N9402" s="78"/>
      <c r="P9402" s="85"/>
    </row>
    <row r="9403" spans="11:16">
      <c r="K9403" s="85">
        <v>36</v>
      </c>
      <c r="L9403" s="78"/>
      <c r="M9403" s="78"/>
      <c r="N9403" s="78"/>
      <c r="P9403" s="85"/>
    </row>
    <row r="9404" spans="11:16">
      <c r="K9404" s="85">
        <v>25</v>
      </c>
      <c r="L9404" s="78"/>
      <c r="M9404" s="78"/>
      <c r="N9404" s="78"/>
      <c r="P9404" s="85"/>
    </row>
    <row r="9405" spans="11:16">
      <c r="K9405" s="85">
        <v>26</v>
      </c>
      <c r="L9405" s="78"/>
      <c r="M9405" s="78"/>
      <c r="N9405" s="78"/>
      <c r="P9405" s="85"/>
    </row>
    <row r="9406" spans="11:16">
      <c r="K9406" s="85">
        <v>27</v>
      </c>
      <c r="L9406" s="78"/>
      <c r="M9406" s="78"/>
      <c r="N9406" s="78"/>
      <c r="P9406" s="85"/>
    </row>
    <row r="9407" spans="11:16">
      <c r="K9407" s="85">
        <v>28</v>
      </c>
      <c r="L9407" s="78"/>
      <c r="M9407" s="78"/>
      <c r="N9407" s="78"/>
      <c r="P9407" s="85"/>
    </row>
    <row r="9408" spans="11:16">
      <c r="K9408" s="85">
        <v>29</v>
      </c>
      <c r="L9408" s="78"/>
      <c r="M9408" s="78"/>
      <c r="N9408" s="78"/>
      <c r="P9408" s="85"/>
    </row>
    <row r="9409" spans="11:16">
      <c r="K9409" s="85">
        <v>30</v>
      </c>
      <c r="L9409" s="78"/>
      <c r="M9409" s="78"/>
      <c r="N9409" s="78"/>
      <c r="P9409" s="85"/>
    </row>
    <row r="9410" spans="11:16">
      <c r="K9410" s="85">
        <v>31</v>
      </c>
      <c r="L9410" s="78"/>
      <c r="M9410" s="78"/>
      <c r="N9410" s="78"/>
      <c r="P9410" s="85"/>
    </row>
    <row r="9411" spans="11:16">
      <c r="K9411" s="85">
        <v>32</v>
      </c>
      <c r="L9411" s="78"/>
      <c r="M9411" s="78"/>
      <c r="N9411" s="78"/>
      <c r="P9411" s="85"/>
    </row>
    <row r="9412" spans="11:16">
      <c r="K9412" s="85">
        <v>33</v>
      </c>
      <c r="L9412" s="78"/>
      <c r="M9412" s="78"/>
      <c r="N9412" s="78"/>
      <c r="P9412" s="85"/>
    </row>
    <row r="9413" spans="11:16">
      <c r="K9413" s="85">
        <v>34</v>
      </c>
      <c r="L9413" s="78"/>
      <c r="M9413" s="78"/>
      <c r="N9413" s="78"/>
      <c r="P9413" s="85"/>
    </row>
    <row r="9414" spans="11:16">
      <c r="K9414" s="85">
        <v>35</v>
      </c>
      <c r="L9414" s="78"/>
      <c r="M9414" s="78"/>
      <c r="N9414" s="78"/>
      <c r="P9414" s="85"/>
    </row>
    <row r="9415" spans="11:16">
      <c r="K9415" s="85">
        <v>36</v>
      </c>
      <c r="L9415" s="78"/>
      <c r="M9415" s="78"/>
      <c r="N9415" s="78"/>
      <c r="P9415" s="85"/>
    </row>
    <row r="9416" spans="11:16">
      <c r="K9416" s="85">
        <v>25</v>
      </c>
      <c r="L9416" s="78"/>
      <c r="M9416" s="78"/>
      <c r="N9416" s="78"/>
      <c r="P9416" s="85"/>
    </row>
    <row r="9417" spans="11:16">
      <c r="K9417" s="85">
        <v>26</v>
      </c>
      <c r="L9417" s="78"/>
      <c r="M9417" s="78"/>
      <c r="N9417" s="78"/>
      <c r="P9417" s="85"/>
    </row>
    <row r="9418" spans="11:16">
      <c r="K9418" s="85">
        <v>27</v>
      </c>
      <c r="L9418" s="78"/>
      <c r="M9418" s="78"/>
      <c r="N9418" s="78"/>
      <c r="P9418" s="85"/>
    </row>
    <row r="9419" spans="11:16">
      <c r="K9419" s="85">
        <v>28</v>
      </c>
      <c r="L9419" s="78"/>
      <c r="M9419" s="78"/>
      <c r="N9419" s="78"/>
      <c r="P9419" s="85"/>
    </row>
    <row r="9420" spans="11:16">
      <c r="K9420" s="85">
        <v>29</v>
      </c>
      <c r="L9420" s="78"/>
      <c r="M9420" s="78"/>
      <c r="N9420" s="78"/>
      <c r="P9420" s="85"/>
    </row>
    <row r="9421" spans="11:16">
      <c r="K9421" s="85">
        <v>30</v>
      </c>
      <c r="L9421" s="78"/>
      <c r="M9421" s="78"/>
      <c r="N9421" s="78"/>
      <c r="P9421" s="85"/>
    </row>
    <row r="9422" spans="11:16">
      <c r="K9422" s="85">
        <v>31</v>
      </c>
      <c r="L9422" s="78"/>
      <c r="M9422" s="78"/>
      <c r="N9422" s="78"/>
      <c r="P9422" s="85"/>
    </row>
    <row r="9423" spans="11:16">
      <c r="K9423" s="85">
        <v>32</v>
      </c>
      <c r="L9423" s="78"/>
      <c r="M9423" s="78"/>
      <c r="N9423" s="78"/>
      <c r="P9423" s="85"/>
    </row>
    <row r="9424" spans="11:16">
      <c r="K9424" s="85">
        <v>34</v>
      </c>
      <c r="L9424" s="78"/>
      <c r="M9424" s="78"/>
      <c r="N9424" s="78"/>
      <c r="P9424" s="85"/>
    </row>
    <row r="9425" spans="11:16">
      <c r="K9425" s="85">
        <v>35</v>
      </c>
      <c r="L9425" s="78"/>
      <c r="M9425" s="78"/>
      <c r="N9425" s="78"/>
      <c r="P9425" s="85"/>
    </row>
    <row r="9426" spans="11:16">
      <c r="K9426" s="85">
        <v>36</v>
      </c>
      <c r="L9426" s="78"/>
      <c r="M9426" s="78"/>
      <c r="N9426" s="78"/>
      <c r="P9426" s="85"/>
    </row>
  </sheetData>
  <phoneticPr fontId="5" type="noConversion"/>
  <conditionalFormatting sqref="H4:H103">
    <cfRule type="dataBar" priority="1">
      <dataBar>
        <cfvo type="min"/>
        <cfvo type="max"/>
        <color rgb="FF638EC6"/>
      </dataBar>
      <extLst>
        <ext xmlns:x14="http://schemas.microsoft.com/office/spreadsheetml/2009/9/main" uri="{B025F937-C7B1-47D3-B67F-A62EFF666E3E}">
          <x14:id>{CDD1E7BF-CD3A-40C5-942E-230B906DCC20}</x14:id>
        </ext>
      </extLst>
    </cfRule>
  </conditionalFormatting>
  <pageMargins left="0.78740157499999996" right="0.78740157499999996" top="0.984251969" bottom="0.984251969" header="0.4921259845" footer="0.4921259845"/>
  <pageSetup paperSize="9" orientation="portrait" r:id="rId1"/>
  <headerFooter alignWithMargins="0"/>
  <legacyDrawing r:id="rId2"/>
  <extLst>
    <ext xmlns:x14="http://schemas.microsoft.com/office/spreadsheetml/2009/9/main" uri="{78C0D931-6437-407d-A8EE-F0AAD7539E65}">
      <x14:conditionalFormattings>
        <x14:conditionalFormatting xmlns:xm="http://schemas.microsoft.com/office/excel/2006/main">
          <x14:cfRule type="dataBar" id="{CDD1E7BF-CD3A-40C5-942E-230B906DCC20}">
            <x14:dataBar minLength="0" maxLength="100" gradient="0">
              <x14:cfvo type="autoMin"/>
              <x14:cfvo type="autoMax"/>
              <x14:negativeFillColor rgb="FFFF0000"/>
              <x14:axisColor rgb="FF000000"/>
            </x14:dataBar>
          </x14:cfRule>
          <xm:sqref>H4:H103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25"/>
  <sheetViews>
    <sheetView tabSelected="1" workbookViewId="0">
      <pane ySplit="2" topLeftCell="A3" activePane="bottomLeft" state="frozen"/>
      <selection pane="bottomLeft" activeCell="T11" sqref="T11"/>
    </sheetView>
  </sheetViews>
  <sheetFormatPr defaultColWidth="7.7109375" defaultRowHeight="13.15"/>
  <cols>
    <col min="1" max="1" width="26.7109375" style="85" customWidth="1"/>
    <col min="2" max="2" width="8" style="85" bestFit="1" customWidth="1"/>
    <col min="3" max="3" width="7.7109375" style="85"/>
    <col min="4" max="4" width="9.42578125" style="85" bestFit="1" customWidth="1"/>
    <col min="5" max="8" width="9.42578125" style="86" bestFit="1" customWidth="1"/>
    <col min="9" max="12" width="9" style="86" bestFit="1" customWidth="1"/>
    <col min="13" max="13" width="8.140625" style="133" bestFit="1" customWidth="1"/>
    <col min="14" max="19" width="7.7109375" style="133"/>
    <col min="20" max="16384" width="7.7109375" style="85"/>
  </cols>
  <sheetData>
    <row r="1" spans="1:19" s="84" customFormat="1">
      <c r="A1" s="84">
        <v>1</v>
      </c>
      <c r="B1" s="84">
        <v>2</v>
      </c>
      <c r="C1" s="84">
        <v>3</v>
      </c>
      <c r="D1" s="84">
        <v>4</v>
      </c>
      <c r="E1" s="84">
        <v>5</v>
      </c>
      <c r="F1" s="84">
        <v>6</v>
      </c>
      <c r="G1" s="84">
        <v>7</v>
      </c>
      <c r="H1" s="84">
        <v>8</v>
      </c>
      <c r="I1" s="84">
        <v>9</v>
      </c>
      <c r="J1" s="84">
        <v>10</v>
      </c>
      <c r="K1" s="84">
        <v>11</v>
      </c>
      <c r="L1" s="84">
        <v>12</v>
      </c>
      <c r="M1" s="131">
        <v>13</v>
      </c>
      <c r="N1" s="131">
        <v>14</v>
      </c>
      <c r="O1" s="131">
        <v>15</v>
      </c>
      <c r="P1" s="131">
        <v>16</v>
      </c>
      <c r="Q1" s="131">
        <v>17</v>
      </c>
      <c r="R1" s="131">
        <v>18</v>
      </c>
      <c r="S1" s="131">
        <v>19</v>
      </c>
    </row>
    <row r="2" spans="1:19" s="83" customFormat="1" ht="61.15" customHeight="1">
      <c r="A2" s="87" t="s">
        <v>4</v>
      </c>
      <c r="B2" s="87" t="s">
        <v>5</v>
      </c>
      <c r="C2" s="87" t="s">
        <v>6</v>
      </c>
      <c r="D2" s="87" t="s">
        <v>7</v>
      </c>
      <c r="E2" s="87" t="s">
        <v>8</v>
      </c>
      <c r="F2" s="87" t="s">
        <v>9</v>
      </c>
      <c r="G2" s="87" t="s">
        <v>10</v>
      </c>
      <c r="H2" s="87" t="s">
        <v>11</v>
      </c>
      <c r="I2" s="87" t="s">
        <v>12</v>
      </c>
      <c r="J2" s="87" t="s">
        <v>13</v>
      </c>
      <c r="K2" s="87" t="s">
        <v>14</v>
      </c>
      <c r="L2" s="87" t="s">
        <v>15</v>
      </c>
      <c r="M2" s="132" t="s">
        <v>16</v>
      </c>
      <c r="N2" s="132" t="s">
        <v>17</v>
      </c>
      <c r="O2" s="132" t="s">
        <v>18</v>
      </c>
      <c r="P2" s="132" t="s">
        <v>19</v>
      </c>
      <c r="Q2" s="132" t="s">
        <v>20</v>
      </c>
      <c r="R2" s="132" t="s">
        <v>21</v>
      </c>
      <c r="S2" s="132" t="s">
        <v>22</v>
      </c>
    </row>
    <row r="3" spans="1:19">
      <c r="A3" s="88" t="s">
        <v>91</v>
      </c>
      <c r="B3" s="108">
        <v>1</v>
      </c>
      <c r="C3" s="108">
        <v>1</v>
      </c>
      <c r="D3" s="108">
        <v>2.9212792127921272</v>
      </c>
      <c r="E3" s="108">
        <v>92.035670356703577</v>
      </c>
      <c r="F3" s="108">
        <v>99.200492004920051</v>
      </c>
      <c r="G3" s="108">
        <v>6.9726322263222613</v>
      </c>
      <c r="H3" s="108">
        <v>9.3788437884378855</v>
      </c>
      <c r="I3" s="108">
        <v>1</v>
      </c>
      <c r="J3" s="108">
        <v>0</v>
      </c>
      <c r="K3" s="108">
        <v>0</v>
      </c>
      <c r="L3" s="108">
        <v>1</v>
      </c>
      <c r="M3" s="133">
        <v>1</v>
      </c>
      <c r="N3" s="133">
        <v>56</v>
      </c>
      <c r="O3" s="133">
        <v>35000</v>
      </c>
      <c r="P3" s="133">
        <v>0</v>
      </c>
      <c r="Q3" s="133">
        <v>0</v>
      </c>
      <c r="R3" s="133">
        <v>0</v>
      </c>
      <c r="S3" s="133">
        <v>0</v>
      </c>
    </row>
    <row r="4" spans="1:19">
      <c r="A4" s="88" t="s">
        <v>91</v>
      </c>
      <c r="B4" s="108">
        <v>2</v>
      </c>
      <c r="C4" s="108">
        <v>1</v>
      </c>
      <c r="D4" s="108">
        <v>1.3991389913899139</v>
      </c>
      <c r="E4" s="108">
        <v>92.29704797047971</v>
      </c>
      <c r="F4" s="108">
        <v>76.114698646986469</v>
      </c>
      <c r="G4" s="108">
        <v>9.0559655596555988</v>
      </c>
      <c r="H4" s="108">
        <v>2.3831488314883131</v>
      </c>
      <c r="I4" s="108">
        <v>0</v>
      </c>
      <c r="J4" s="108">
        <v>0</v>
      </c>
      <c r="K4" s="108">
        <v>0</v>
      </c>
      <c r="L4" s="108">
        <v>1</v>
      </c>
      <c r="M4" s="133">
        <v>1</v>
      </c>
      <c r="N4" s="133">
        <v>56</v>
      </c>
      <c r="O4" s="133">
        <v>35000</v>
      </c>
      <c r="P4" s="133">
        <v>0</v>
      </c>
      <c r="Q4" s="133">
        <v>0</v>
      </c>
      <c r="R4" s="133">
        <v>0</v>
      </c>
      <c r="S4" s="133">
        <v>0</v>
      </c>
    </row>
    <row r="5" spans="1:19">
      <c r="A5" s="88" t="s">
        <v>91</v>
      </c>
      <c r="B5" s="108">
        <v>3</v>
      </c>
      <c r="C5" s="108">
        <v>1</v>
      </c>
      <c r="D5" s="108">
        <v>2.3831488314883131</v>
      </c>
      <c r="E5" s="108">
        <v>95.817958179581794</v>
      </c>
      <c r="F5" s="108">
        <v>0</v>
      </c>
      <c r="G5" s="108">
        <v>6.0808733087330866</v>
      </c>
      <c r="H5" s="108">
        <v>82.034132841328415</v>
      </c>
      <c r="I5" s="108">
        <v>0</v>
      </c>
      <c r="J5" s="108">
        <v>0</v>
      </c>
      <c r="K5" s="108">
        <v>0</v>
      </c>
      <c r="L5" s="108">
        <v>1</v>
      </c>
      <c r="M5" s="133">
        <v>1</v>
      </c>
      <c r="N5" s="133">
        <v>56</v>
      </c>
      <c r="O5" s="133">
        <v>35000</v>
      </c>
      <c r="P5" s="133">
        <v>0</v>
      </c>
      <c r="Q5" s="133">
        <v>0</v>
      </c>
      <c r="R5" s="133">
        <v>0</v>
      </c>
      <c r="S5" s="133">
        <v>0</v>
      </c>
    </row>
    <row r="6" spans="1:19">
      <c r="A6" s="88" t="s">
        <v>91</v>
      </c>
      <c r="B6" s="108">
        <v>4</v>
      </c>
      <c r="C6" s="108">
        <v>1</v>
      </c>
      <c r="D6" s="108">
        <v>2.6445264452644501</v>
      </c>
      <c r="E6" s="108">
        <v>6.6651291512915156</v>
      </c>
      <c r="F6" s="108">
        <v>13.053505535055351</v>
      </c>
      <c r="G6" s="108">
        <v>94.526445264452647</v>
      </c>
      <c r="H6" s="108">
        <v>95.787207872078724</v>
      </c>
      <c r="I6" s="108">
        <v>0</v>
      </c>
      <c r="J6" s="108">
        <v>0</v>
      </c>
      <c r="K6" s="108">
        <v>0</v>
      </c>
      <c r="L6" s="108">
        <v>1</v>
      </c>
      <c r="M6" s="133">
        <v>1</v>
      </c>
      <c r="N6" s="133">
        <v>56</v>
      </c>
      <c r="O6" s="133">
        <v>35000</v>
      </c>
      <c r="P6" s="133">
        <v>0</v>
      </c>
      <c r="Q6" s="133">
        <v>0</v>
      </c>
      <c r="R6" s="133">
        <v>0</v>
      </c>
      <c r="S6" s="133">
        <v>0</v>
      </c>
    </row>
    <row r="7" spans="1:19">
      <c r="A7" s="88" t="s">
        <v>91</v>
      </c>
      <c r="B7" s="108">
        <v>5</v>
      </c>
      <c r="C7" s="108">
        <v>1</v>
      </c>
      <c r="D7" s="108">
        <v>6.2627032520325194</v>
      </c>
      <c r="E7" s="108">
        <v>50</v>
      </c>
      <c r="F7" s="108">
        <v>6.2245934959349603</v>
      </c>
      <c r="G7" s="108">
        <v>83.689024390243901</v>
      </c>
      <c r="H7" s="108">
        <v>86.369410569105696</v>
      </c>
      <c r="I7" s="108">
        <v>0</v>
      </c>
      <c r="J7" s="108">
        <v>0</v>
      </c>
      <c r="K7" s="108">
        <v>0</v>
      </c>
      <c r="L7" s="108">
        <v>1</v>
      </c>
      <c r="M7" s="133">
        <v>1</v>
      </c>
      <c r="N7" s="133">
        <v>56</v>
      </c>
      <c r="O7" s="133">
        <v>35000</v>
      </c>
      <c r="P7" s="133">
        <v>0</v>
      </c>
      <c r="Q7" s="133">
        <v>0</v>
      </c>
      <c r="R7" s="133">
        <v>0</v>
      </c>
      <c r="S7" s="133">
        <v>0</v>
      </c>
    </row>
    <row r="8" spans="1:19">
      <c r="A8" s="88" t="s">
        <v>91</v>
      </c>
      <c r="B8" s="108">
        <v>6</v>
      </c>
      <c r="C8" s="108">
        <v>1</v>
      </c>
      <c r="D8" s="108">
        <v>9.0828252032520318</v>
      </c>
      <c r="E8" s="108">
        <v>5.2718495934959364</v>
      </c>
      <c r="F8" s="108">
        <v>30.221036585365852</v>
      </c>
      <c r="G8" s="108">
        <v>4.4969512195121961</v>
      </c>
      <c r="H8" s="108">
        <v>75.978150406504056</v>
      </c>
      <c r="I8" s="108">
        <v>0</v>
      </c>
      <c r="J8" s="108">
        <v>0</v>
      </c>
      <c r="K8" s="108">
        <v>0</v>
      </c>
      <c r="L8" s="108">
        <v>1</v>
      </c>
      <c r="M8" s="133">
        <v>1</v>
      </c>
      <c r="N8" s="133">
        <v>56</v>
      </c>
      <c r="O8" s="133">
        <v>35000</v>
      </c>
      <c r="P8" s="133">
        <v>0</v>
      </c>
      <c r="Q8" s="133">
        <v>0</v>
      </c>
      <c r="R8" s="133">
        <v>0</v>
      </c>
      <c r="S8" s="133">
        <v>0</v>
      </c>
    </row>
    <row r="9" spans="1:19">
      <c r="A9" s="88" t="s">
        <v>91</v>
      </c>
      <c r="B9" s="108">
        <v>7</v>
      </c>
      <c r="C9" s="108">
        <v>1</v>
      </c>
      <c r="D9" s="108">
        <v>25.368394308943088</v>
      </c>
      <c r="E9" s="108">
        <v>6.0848577235772359</v>
      </c>
      <c r="F9" s="108">
        <v>25.368394308943088</v>
      </c>
      <c r="G9" s="108">
        <v>38.960873983739837</v>
      </c>
      <c r="H9" s="108">
        <v>93.025914634146332</v>
      </c>
      <c r="I9" s="108">
        <v>0</v>
      </c>
      <c r="J9" s="108">
        <v>1</v>
      </c>
      <c r="K9" s="108">
        <v>0</v>
      </c>
      <c r="L9" s="108">
        <v>1</v>
      </c>
      <c r="M9" s="133">
        <v>1</v>
      </c>
      <c r="N9" s="133">
        <v>56</v>
      </c>
      <c r="O9" s="133">
        <v>35000</v>
      </c>
      <c r="P9" s="133">
        <v>0</v>
      </c>
      <c r="Q9" s="133">
        <v>0</v>
      </c>
      <c r="R9" s="133">
        <v>0</v>
      </c>
      <c r="S9" s="133">
        <v>0</v>
      </c>
    </row>
    <row r="10" spans="1:19">
      <c r="A10" s="88" t="s">
        <v>92</v>
      </c>
      <c r="B10" s="108">
        <v>1</v>
      </c>
      <c r="C10" s="108">
        <v>1</v>
      </c>
      <c r="D10" s="108">
        <v>94.961400606561895</v>
      </c>
      <c r="E10" s="108">
        <v>99.317617866004966</v>
      </c>
      <c r="F10" s="108">
        <v>98.159636062861864</v>
      </c>
      <c r="G10" s="108">
        <v>2.240143369175629</v>
      </c>
      <c r="H10" s="108">
        <v>5.6934105321202084</v>
      </c>
      <c r="I10" s="108">
        <v>1</v>
      </c>
      <c r="J10" s="108">
        <v>0</v>
      </c>
      <c r="K10" s="108">
        <v>1</v>
      </c>
      <c r="L10" s="108">
        <v>1</v>
      </c>
      <c r="M10" s="133">
        <v>1</v>
      </c>
      <c r="N10" s="133">
        <v>43</v>
      </c>
      <c r="O10" s="133">
        <v>37000</v>
      </c>
      <c r="P10" s="133">
        <v>1</v>
      </c>
      <c r="Q10" s="133">
        <v>0</v>
      </c>
      <c r="R10" s="133">
        <v>1</v>
      </c>
      <c r="S10" s="133">
        <v>0</v>
      </c>
    </row>
    <row r="11" spans="1:19">
      <c r="A11" s="88" t="s">
        <v>92</v>
      </c>
      <c r="B11" s="108">
        <v>2</v>
      </c>
      <c r="C11" s="108">
        <v>1</v>
      </c>
      <c r="D11" s="108">
        <v>95.733388475323949</v>
      </c>
      <c r="E11" s="108">
        <v>95.80231596360629</v>
      </c>
      <c r="F11" s="108">
        <v>94.127377998345736</v>
      </c>
      <c r="G11" s="108">
        <v>2.0747173972980431</v>
      </c>
      <c r="H11" s="108">
        <v>91.659773917838436</v>
      </c>
      <c r="I11" s="108">
        <v>0</v>
      </c>
      <c r="J11" s="108">
        <v>0</v>
      </c>
      <c r="K11" s="108">
        <v>1</v>
      </c>
      <c r="L11" s="108">
        <v>1</v>
      </c>
      <c r="M11" s="133">
        <v>1</v>
      </c>
      <c r="N11" s="133">
        <v>43</v>
      </c>
      <c r="O11" s="133">
        <v>37000</v>
      </c>
      <c r="P11" s="133">
        <v>1</v>
      </c>
      <c r="Q11" s="133">
        <v>0</v>
      </c>
      <c r="R11" s="133">
        <v>1</v>
      </c>
      <c r="S11" s="133">
        <v>0</v>
      </c>
    </row>
    <row r="12" spans="1:19">
      <c r="A12" s="88" t="s">
        <v>92</v>
      </c>
      <c r="B12" s="108">
        <v>3</v>
      </c>
      <c r="C12" s="108">
        <v>1</v>
      </c>
      <c r="D12" s="108">
        <v>9.4844223876481948</v>
      </c>
      <c r="E12" s="108">
        <v>100</v>
      </c>
      <c r="F12" s="108">
        <v>9.4844223876481948</v>
      </c>
      <c r="G12" s="108">
        <v>7.595809208712434</v>
      </c>
      <c r="H12" s="108">
        <v>4.7353184449958619</v>
      </c>
      <c r="I12" s="108">
        <v>0</v>
      </c>
      <c r="J12" s="108">
        <v>0</v>
      </c>
      <c r="K12" s="108">
        <v>0</v>
      </c>
      <c r="L12" s="108">
        <v>1</v>
      </c>
      <c r="M12" s="133">
        <v>1</v>
      </c>
      <c r="N12" s="133">
        <v>43</v>
      </c>
      <c r="O12" s="133">
        <v>37000</v>
      </c>
      <c r="P12" s="133">
        <v>1</v>
      </c>
      <c r="Q12" s="133">
        <v>0</v>
      </c>
      <c r="R12" s="133">
        <v>1</v>
      </c>
      <c r="S12" s="133">
        <v>0</v>
      </c>
    </row>
    <row r="13" spans="1:19">
      <c r="A13" s="88" t="s">
        <v>92</v>
      </c>
      <c r="B13" s="108">
        <v>4</v>
      </c>
      <c r="C13" s="108">
        <v>1</v>
      </c>
      <c r="D13" s="108">
        <v>86.80727874276262</v>
      </c>
      <c r="E13" s="108">
        <v>95.140612076095948</v>
      </c>
      <c r="F13" s="108">
        <v>97.642679900744426</v>
      </c>
      <c r="G13" s="108">
        <v>4.3906810035842287</v>
      </c>
      <c r="H13" s="108">
        <v>4.8800661703887531</v>
      </c>
      <c r="I13" s="108">
        <v>0</v>
      </c>
      <c r="J13" s="108">
        <v>0</v>
      </c>
      <c r="K13" s="108">
        <v>1</v>
      </c>
      <c r="L13" s="108">
        <v>1</v>
      </c>
      <c r="M13" s="133">
        <v>1</v>
      </c>
      <c r="N13" s="133">
        <v>43</v>
      </c>
      <c r="O13" s="133">
        <v>37000</v>
      </c>
      <c r="P13" s="133">
        <v>1</v>
      </c>
      <c r="Q13" s="133">
        <v>0</v>
      </c>
      <c r="R13" s="133">
        <v>1</v>
      </c>
      <c r="S13" s="133">
        <v>0</v>
      </c>
    </row>
    <row r="14" spans="1:19">
      <c r="A14" s="88" t="s">
        <v>92</v>
      </c>
      <c r="B14" s="108">
        <v>5</v>
      </c>
      <c r="C14" s="108">
        <v>1</v>
      </c>
      <c r="D14" s="108">
        <v>3.804797353184453</v>
      </c>
      <c r="E14" s="108">
        <v>6.968569065343261</v>
      </c>
      <c r="F14" s="108">
        <v>7.6027019575406696</v>
      </c>
      <c r="G14" s="108">
        <v>92.052660601047691</v>
      </c>
      <c r="H14" s="108">
        <v>81.410256410256409</v>
      </c>
      <c r="I14" s="108">
        <v>0</v>
      </c>
      <c r="J14" s="108">
        <v>0</v>
      </c>
      <c r="K14" s="108">
        <v>0</v>
      </c>
      <c r="L14" s="108">
        <v>1</v>
      </c>
      <c r="M14" s="133">
        <v>1</v>
      </c>
      <c r="N14" s="133">
        <v>43</v>
      </c>
      <c r="O14" s="133">
        <v>37000</v>
      </c>
      <c r="P14" s="133">
        <v>1</v>
      </c>
      <c r="Q14" s="133">
        <v>0</v>
      </c>
      <c r="R14" s="133">
        <v>1</v>
      </c>
      <c r="S14" s="133">
        <v>0</v>
      </c>
    </row>
    <row r="15" spans="1:19">
      <c r="A15" s="88" t="s">
        <v>92</v>
      </c>
      <c r="B15" s="108">
        <v>6</v>
      </c>
      <c r="C15" s="108">
        <v>1</v>
      </c>
      <c r="D15" s="108">
        <v>2.3642128480838132</v>
      </c>
      <c r="E15" s="108">
        <v>99.172870140612062</v>
      </c>
      <c r="F15" s="108">
        <v>9.1053212020953964</v>
      </c>
      <c r="G15" s="108">
        <v>15.08133443617314</v>
      </c>
      <c r="H15" s="108">
        <v>0.7995588640749951</v>
      </c>
      <c r="I15" s="108">
        <v>0</v>
      </c>
      <c r="J15" s="108">
        <v>0</v>
      </c>
      <c r="K15" s="108">
        <v>0</v>
      </c>
      <c r="L15" s="108">
        <v>1</v>
      </c>
      <c r="M15" s="133">
        <v>1</v>
      </c>
      <c r="N15" s="133">
        <v>43</v>
      </c>
      <c r="O15" s="133">
        <v>37000</v>
      </c>
      <c r="P15" s="133">
        <v>1</v>
      </c>
      <c r="Q15" s="133">
        <v>0</v>
      </c>
      <c r="R15" s="133">
        <v>1</v>
      </c>
      <c r="S15" s="133">
        <v>0</v>
      </c>
    </row>
    <row r="16" spans="1:19">
      <c r="A16" s="88" t="s">
        <v>92</v>
      </c>
      <c r="B16" s="108">
        <v>7</v>
      </c>
      <c r="C16" s="108">
        <v>1</v>
      </c>
      <c r="D16" s="108">
        <v>99.798981506298574</v>
      </c>
      <c r="E16" s="108">
        <v>94.384883409273641</v>
      </c>
      <c r="F16" s="108">
        <v>89.9624765478424</v>
      </c>
      <c r="G16" s="108">
        <v>50</v>
      </c>
      <c r="H16" s="108">
        <v>4.1543822031626929</v>
      </c>
      <c r="I16" s="108">
        <v>0</v>
      </c>
      <c r="J16" s="108">
        <v>1</v>
      </c>
      <c r="K16" s="108">
        <v>1</v>
      </c>
      <c r="L16" s="108">
        <v>1</v>
      </c>
      <c r="M16" s="133">
        <v>1</v>
      </c>
      <c r="N16" s="133">
        <v>43</v>
      </c>
      <c r="O16" s="133">
        <v>37000</v>
      </c>
      <c r="P16" s="133">
        <v>1</v>
      </c>
      <c r="Q16" s="133">
        <v>0</v>
      </c>
      <c r="R16" s="133">
        <v>1</v>
      </c>
      <c r="S16" s="133">
        <v>0</v>
      </c>
    </row>
    <row r="17" spans="1:19">
      <c r="A17" s="88" t="s">
        <v>93</v>
      </c>
      <c r="B17" s="108">
        <v>1</v>
      </c>
      <c r="C17" s="108">
        <v>1</v>
      </c>
      <c r="D17" s="108">
        <v>9.3441150044923642</v>
      </c>
      <c r="E17" s="108">
        <v>83.161126085654388</v>
      </c>
      <c r="F17" s="108">
        <v>14.53279424977538</v>
      </c>
      <c r="G17" s="108">
        <v>78.908355795148239</v>
      </c>
      <c r="H17" s="108">
        <v>91.412099430967359</v>
      </c>
      <c r="I17" s="108">
        <v>1</v>
      </c>
      <c r="J17" s="108">
        <v>0</v>
      </c>
      <c r="K17" s="108">
        <v>0</v>
      </c>
      <c r="L17" s="108">
        <v>1</v>
      </c>
      <c r="M17" s="133">
        <v>1</v>
      </c>
      <c r="N17" s="133">
        <v>64</v>
      </c>
      <c r="O17" s="133">
        <v>-99</v>
      </c>
      <c r="P17" s="133">
        <v>0</v>
      </c>
      <c r="Q17" s="133">
        <v>0</v>
      </c>
      <c r="R17" s="133">
        <v>0</v>
      </c>
      <c r="S17" s="133">
        <v>0</v>
      </c>
    </row>
    <row r="18" spans="1:19">
      <c r="A18" s="88" t="s">
        <v>93</v>
      </c>
      <c r="B18" s="108">
        <v>2</v>
      </c>
      <c r="C18" s="108">
        <v>1</v>
      </c>
      <c r="D18" s="108">
        <v>6.0871518418688204</v>
      </c>
      <c r="E18" s="108">
        <v>91.037735849056617</v>
      </c>
      <c r="F18" s="108">
        <v>90.229110512129381</v>
      </c>
      <c r="G18" s="108">
        <v>71.78796046720575</v>
      </c>
      <c r="H18" s="108">
        <v>10.302485774183889</v>
      </c>
      <c r="I18" s="108">
        <v>0</v>
      </c>
      <c r="J18" s="108">
        <v>0</v>
      </c>
      <c r="K18" s="108">
        <v>0</v>
      </c>
      <c r="L18" s="108">
        <v>1</v>
      </c>
      <c r="M18" s="133">
        <v>1</v>
      </c>
      <c r="N18" s="133">
        <v>64</v>
      </c>
      <c r="O18" s="133">
        <v>-99</v>
      </c>
      <c r="P18" s="133">
        <v>0</v>
      </c>
      <c r="Q18" s="133">
        <v>0</v>
      </c>
      <c r="R18" s="133">
        <v>0</v>
      </c>
      <c r="S18" s="133">
        <v>0</v>
      </c>
    </row>
    <row r="19" spans="1:19">
      <c r="A19" s="88" t="s">
        <v>93</v>
      </c>
      <c r="B19" s="108">
        <v>4</v>
      </c>
      <c r="C19" s="108">
        <v>1</v>
      </c>
      <c r="D19" s="108">
        <v>10.76669661575322</v>
      </c>
      <c r="E19" s="108">
        <v>92.220724767894581</v>
      </c>
      <c r="F19" s="108">
        <v>11.837376460017969</v>
      </c>
      <c r="G19" s="108">
        <v>90.80563042827194</v>
      </c>
      <c r="H19" s="108">
        <v>7.7792752321054204</v>
      </c>
      <c r="I19" s="108">
        <v>0</v>
      </c>
      <c r="J19" s="108">
        <v>0</v>
      </c>
      <c r="K19" s="108">
        <v>0</v>
      </c>
      <c r="L19" s="108">
        <v>1</v>
      </c>
      <c r="M19" s="133">
        <v>1</v>
      </c>
      <c r="N19" s="133">
        <v>64</v>
      </c>
      <c r="O19" s="133">
        <v>-99</v>
      </c>
      <c r="P19" s="133">
        <v>0</v>
      </c>
      <c r="Q19" s="133">
        <v>0</v>
      </c>
      <c r="R19" s="133">
        <v>0</v>
      </c>
      <c r="S19" s="133">
        <v>0</v>
      </c>
    </row>
    <row r="20" spans="1:19">
      <c r="A20" s="88" t="s">
        <v>93</v>
      </c>
      <c r="B20" s="108">
        <v>5</v>
      </c>
      <c r="C20" s="108">
        <v>1</v>
      </c>
      <c r="D20" s="108">
        <v>11.56783468104223</v>
      </c>
      <c r="E20" s="108">
        <v>16.85384845762205</v>
      </c>
      <c r="F20" s="108">
        <v>11.103623839472901</v>
      </c>
      <c r="G20" s="108">
        <v>84.284216831386644</v>
      </c>
      <c r="H20" s="108">
        <v>12.496256364180891</v>
      </c>
      <c r="I20" s="108">
        <v>0</v>
      </c>
      <c r="J20" s="108">
        <v>0</v>
      </c>
      <c r="K20" s="108">
        <v>0</v>
      </c>
      <c r="L20" s="108">
        <v>1</v>
      </c>
      <c r="M20" s="133">
        <v>1</v>
      </c>
      <c r="N20" s="133">
        <v>64</v>
      </c>
      <c r="O20" s="133">
        <v>-99</v>
      </c>
      <c r="P20" s="133">
        <v>0</v>
      </c>
      <c r="Q20" s="133">
        <v>0</v>
      </c>
      <c r="R20" s="133">
        <v>0</v>
      </c>
      <c r="S20" s="133">
        <v>0</v>
      </c>
    </row>
    <row r="21" spans="1:19">
      <c r="A21" s="88" t="s">
        <v>93</v>
      </c>
      <c r="B21" s="108">
        <v>7</v>
      </c>
      <c r="C21" s="108">
        <v>1</v>
      </c>
      <c r="D21" s="108">
        <v>0</v>
      </c>
      <c r="E21" s="108">
        <v>8.0638297872340452</v>
      </c>
      <c r="F21" s="108">
        <v>82.797872340425528</v>
      </c>
      <c r="G21" s="108">
        <v>18.511450381679388</v>
      </c>
      <c r="H21" s="108">
        <v>45.377438507209497</v>
      </c>
      <c r="I21" s="108">
        <v>0</v>
      </c>
      <c r="J21" s="108">
        <v>1</v>
      </c>
      <c r="K21" s="108">
        <v>0</v>
      </c>
      <c r="L21" s="108">
        <v>1</v>
      </c>
      <c r="M21" s="133">
        <v>1</v>
      </c>
      <c r="N21" s="133">
        <v>64</v>
      </c>
      <c r="O21" s="133">
        <v>-99</v>
      </c>
      <c r="P21" s="133">
        <v>0</v>
      </c>
      <c r="Q21" s="133">
        <v>0</v>
      </c>
      <c r="R21" s="133">
        <v>0</v>
      </c>
      <c r="S21" s="133">
        <v>0</v>
      </c>
    </row>
    <row r="22" spans="1:19">
      <c r="A22" s="88" t="s">
        <v>94</v>
      </c>
      <c r="B22" s="108">
        <v>2</v>
      </c>
      <c r="C22" s="108">
        <v>1</v>
      </c>
      <c r="D22" s="108">
        <v>100</v>
      </c>
      <c r="E22" s="108">
        <v>99.846806504831491</v>
      </c>
      <c r="F22" s="108">
        <v>95.038887579542774</v>
      </c>
      <c r="G22" s="108">
        <v>3.1227904784350669</v>
      </c>
      <c r="H22" s="108">
        <v>3.0520857883572949</v>
      </c>
      <c r="I22" s="108">
        <v>0</v>
      </c>
      <c r="J22" s="108">
        <v>0</v>
      </c>
      <c r="K22" s="108">
        <v>1</v>
      </c>
      <c r="L22" s="108">
        <v>1</v>
      </c>
      <c r="M22" s="133">
        <v>0</v>
      </c>
      <c r="N22" s="133">
        <v>27</v>
      </c>
      <c r="O22" s="133">
        <v>80000</v>
      </c>
      <c r="P22" s="133">
        <v>1</v>
      </c>
      <c r="Q22" s="133">
        <v>0</v>
      </c>
      <c r="R22" s="133">
        <v>1</v>
      </c>
      <c r="S22" s="133">
        <v>1</v>
      </c>
    </row>
    <row r="23" spans="1:19">
      <c r="A23" s="88" t="s">
        <v>94</v>
      </c>
      <c r="B23" s="108">
        <v>3</v>
      </c>
      <c r="C23" s="108">
        <v>1</v>
      </c>
      <c r="D23" s="108">
        <v>95.368842799905735</v>
      </c>
      <c r="E23" s="108">
        <v>95.922696205514967</v>
      </c>
      <c r="F23" s="108">
        <v>97.230732971953799</v>
      </c>
      <c r="G23" s="108">
        <v>5.7506481263257134</v>
      </c>
      <c r="H23" s="108">
        <v>13.53994814989394</v>
      </c>
      <c r="I23" s="108">
        <v>0</v>
      </c>
      <c r="J23" s="108">
        <v>0</v>
      </c>
      <c r="K23" s="108">
        <v>1</v>
      </c>
      <c r="L23" s="108">
        <v>1</v>
      </c>
      <c r="M23" s="133">
        <v>0</v>
      </c>
      <c r="N23" s="133">
        <v>27</v>
      </c>
      <c r="O23" s="133">
        <v>80000</v>
      </c>
      <c r="P23" s="133">
        <v>1</v>
      </c>
      <c r="Q23" s="133">
        <v>0</v>
      </c>
      <c r="R23" s="133">
        <v>1</v>
      </c>
      <c r="S23" s="133">
        <v>1</v>
      </c>
    </row>
    <row r="24" spans="1:19">
      <c r="A24" s="88" t="s">
        <v>94</v>
      </c>
      <c r="B24" s="108">
        <v>4</v>
      </c>
      <c r="C24" s="108">
        <v>1</v>
      </c>
      <c r="D24" s="108">
        <v>98.750883808625971</v>
      </c>
      <c r="E24" s="108">
        <v>97.690313457459339</v>
      </c>
      <c r="F24" s="108">
        <v>90.065991044072589</v>
      </c>
      <c r="G24" s="108">
        <v>3.9358944143294829</v>
      </c>
      <c r="H24" s="108">
        <v>5.6328069761960862</v>
      </c>
      <c r="I24" s="108">
        <v>0</v>
      </c>
      <c r="J24" s="108">
        <v>0</v>
      </c>
      <c r="K24" s="108">
        <v>1</v>
      </c>
      <c r="L24" s="108">
        <v>1</v>
      </c>
      <c r="M24" s="133">
        <v>0</v>
      </c>
      <c r="N24" s="133">
        <v>27</v>
      </c>
      <c r="O24" s="133">
        <v>80000</v>
      </c>
      <c r="P24" s="133">
        <v>1</v>
      </c>
      <c r="Q24" s="133">
        <v>0</v>
      </c>
      <c r="R24" s="133">
        <v>1</v>
      </c>
      <c r="S24" s="133">
        <v>1</v>
      </c>
    </row>
    <row r="25" spans="1:19">
      <c r="A25" s="88" t="s">
        <v>94</v>
      </c>
      <c r="B25" s="108">
        <v>5</v>
      </c>
      <c r="C25" s="108">
        <v>1</v>
      </c>
      <c r="D25" s="108">
        <v>96.158378505774223</v>
      </c>
      <c r="E25" s="108">
        <v>97.160028281876038</v>
      </c>
      <c r="F25" s="108">
        <v>88.911147772802266</v>
      </c>
      <c r="G25" s="108">
        <v>20.527928352580719</v>
      </c>
      <c r="H25" s="108">
        <v>50</v>
      </c>
      <c r="I25" s="108">
        <v>0</v>
      </c>
      <c r="J25" s="108">
        <v>0</v>
      </c>
      <c r="K25" s="108">
        <v>1</v>
      </c>
      <c r="L25" s="108">
        <v>1</v>
      </c>
      <c r="M25" s="133">
        <v>0</v>
      </c>
      <c r="N25" s="133">
        <v>27</v>
      </c>
      <c r="O25" s="133">
        <v>80000</v>
      </c>
      <c r="P25" s="133">
        <v>1</v>
      </c>
      <c r="Q25" s="133">
        <v>0</v>
      </c>
      <c r="R25" s="133">
        <v>1</v>
      </c>
      <c r="S25" s="133">
        <v>1</v>
      </c>
    </row>
    <row r="26" spans="1:19">
      <c r="A26" s="88" t="s">
        <v>94</v>
      </c>
      <c r="B26" s="108">
        <v>6</v>
      </c>
      <c r="C26" s="108">
        <v>1</v>
      </c>
      <c r="D26" s="108">
        <v>96.80650483148716</v>
      </c>
      <c r="E26" s="108">
        <v>94.720716474192784</v>
      </c>
      <c r="F26" s="108">
        <v>94.720716474192784</v>
      </c>
      <c r="G26" s="108">
        <v>5.3146358708461019</v>
      </c>
      <c r="H26" s="108">
        <v>32.87768088616545</v>
      </c>
      <c r="I26" s="108">
        <v>0</v>
      </c>
      <c r="J26" s="108">
        <v>0</v>
      </c>
      <c r="K26" s="108">
        <v>1</v>
      </c>
      <c r="L26" s="108">
        <v>1</v>
      </c>
      <c r="M26" s="133">
        <v>0</v>
      </c>
      <c r="N26" s="133">
        <v>27</v>
      </c>
      <c r="O26" s="133">
        <v>80000</v>
      </c>
      <c r="P26" s="133">
        <v>1</v>
      </c>
      <c r="Q26" s="133">
        <v>0</v>
      </c>
      <c r="R26" s="133">
        <v>1</v>
      </c>
      <c r="S26" s="133">
        <v>1</v>
      </c>
    </row>
    <row r="27" spans="1:19">
      <c r="A27" s="88" t="s">
        <v>94</v>
      </c>
      <c r="B27" s="108">
        <v>7</v>
      </c>
      <c r="C27" s="108">
        <v>1</v>
      </c>
      <c r="D27" s="108">
        <v>93.565873202922461</v>
      </c>
      <c r="E27" s="108">
        <v>96.464765496111255</v>
      </c>
      <c r="F27" s="108">
        <v>95.557388640113132</v>
      </c>
      <c r="G27" s="108">
        <v>6.2573650718831031</v>
      </c>
      <c r="H27" s="108">
        <v>6.9290596276219638</v>
      </c>
      <c r="I27" s="108">
        <v>0</v>
      </c>
      <c r="J27" s="108">
        <v>1</v>
      </c>
      <c r="K27" s="108">
        <v>1</v>
      </c>
      <c r="L27" s="108">
        <v>1</v>
      </c>
      <c r="M27" s="133">
        <v>0</v>
      </c>
      <c r="N27" s="133">
        <v>27</v>
      </c>
      <c r="O27" s="133">
        <v>80000</v>
      </c>
      <c r="P27" s="133">
        <v>1</v>
      </c>
      <c r="Q27" s="133">
        <v>0</v>
      </c>
      <c r="R27" s="133">
        <v>1</v>
      </c>
      <c r="S27" s="133">
        <v>1</v>
      </c>
    </row>
    <row r="28" spans="1:19">
      <c r="A28" s="88" t="s">
        <v>95</v>
      </c>
      <c r="B28" s="108">
        <v>1</v>
      </c>
      <c r="C28" s="108">
        <v>1</v>
      </c>
      <c r="D28" s="108">
        <v>97.132819582955577</v>
      </c>
      <c r="E28" s="108">
        <v>90.605167724388039</v>
      </c>
      <c r="F28" s="108">
        <v>4.9977334542157754</v>
      </c>
      <c r="G28" s="108">
        <v>0</v>
      </c>
      <c r="H28" s="108">
        <v>92.520398912058027</v>
      </c>
      <c r="I28" s="108">
        <v>1</v>
      </c>
      <c r="J28" s="108">
        <v>0</v>
      </c>
      <c r="K28" s="108">
        <v>1</v>
      </c>
      <c r="L28" s="108">
        <v>1</v>
      </c>
      <c r="M28" s="133">
        <v>1</v>
      </c>
      <c r="N28" s="133">
        <v>27</v>
      </c>
      <c r="O28" s="133">
        <v>100000</v>
      </c>
      <c r="P28" s="133">
        <v>1</v>
      </c>
      <c r="Q28" s="133">
        <v>1</v>
      </c>
      <c r="R28" s="133">
        <v>0</v>
      </c>
      <c r="S28" s="133">
        <v>1</v>
      </c>
    </row>
    <row r="29" spans="1:19">
      <c r="A29" s="88" t="s">
        <v>95</v>
      </c>
      <c r="B29" s="108">
        <v>2</v>
      </c>
      <c r="C29" s="108">
        <v>1</v>
      </c>
      <c r="D29" s="108">
        <v>92.917044424297373</v>
      </c>
      <c r="E29" s="108">
        <v>99.478694469628294</v>
      </c>
      <c r="F29" s="108">
        <v>97.132819582955577</v>
      </c>
      <c r="G29" s="108">
        <v>2.345874886672711</v>
      </c>
      <c r="H29" s="108">
        <v>4.1251133272892098</v>
      </c>
      <c r="I29" s="108">
        <v>0</v>
      </c>
      <c r="J29" s="108">
        <v>0</v>
      </c>
      <c r="K29" s="108">
        <v>1</v>
      </c>
      <c r="L29" s="108">
        <v>1</v>
      </c>
      <c r="M29" s="133">
        <v>1</v>
      </c>
      <c r="N29" s="133">
        <v>27</v>
      </c>
      <c r="O29" s="133">
        <v>100000</v>
      </c>
      <c r="P29" s="133">
        <v>1</v>
      </c>
      <c r="Q29" s="133">
        <v>1</v>
      </c>
      <c r="R29" s="133">
        <v>0</v>
      </c>
      <c r="S29" s="133">
        <v>1</v>
      </c>
    </row>
    <row r="30" spans="1:19">
      <c r="A30" s="88" t="s">
        <v>95</v>
      </c>
      <c r="B30" s="108">
        <v>3</v>
      </c>
      <c r="C30" s="108">
        <v>1</v>
      </c>
      <c r="D30" s="108">
        <v>0.90661831368993862</v>
      </c>
      <c r="E30" s="108">
        <v>3.932456935630102</v>
      </c>
      <c r="F30" s="108">
        <v>1.5639165911151389</v>
      </c>
      <c r="G30" s="108">
        <v>84.85947416137806</v>
      </c>
      <c r="H30" s="108">
        <v>0.90661831368993862</v>
      </c>
      <c r="I30" s="108">
        <v>0</v>
      </c>
      <c r="J30" s="108">
        <v>0</v>
      </c>
      <c r="K30" s="108">
        <v>0</v>
      </c>
      <c r="L30" s="108">
        <v>1</v>
      </c>
      <c r="M30" s="133">
        <v>1</v>
      </c>
      <c r="N30" s="133">
        <v>27</v>
      </c>
      <c r="O30" s="133">
        <v>100000</v>
      </c>
      <c r="P30" s="133">
        <v>1</v>
      </c>
      <c r="Q30" s="133">
        <v>1</v>
      </c>
      <c r="R30" s="133">
        <v>0</v>
      </c>
      <c r="S30" s="133">
        <v>1</v>
      </c>
    </row>
    <row r="31" spans="1:19">
      <c r="A31" s="88" t="s">
        <v>95</v>
      </c>
      <c r="B31" s="108">
        <v>5</v>
      </c>
      <c r="C31" s="108">
        <v>1</v>
      </c>
      <c r="D31" s="108">
        <v>5.1337262012692673</v>
      </c>
      <c r="E31" s="108">
        <v>2.3232094288304639</v>
      </c>
      <c r="F31" s="108">
        <v>2.5385312783318241</v>
      </c>
      <c r="G31" s="108">
        <v>91.092475067996375</v>
      </c>
      <c r="H31" s="108">
        <v>7.0602901178603794</v>
      </c>
      <c r="I31" s="108">
        <v>0</v>
      </c>
      <c r="J31" s="108">
        <v>0</v>
      </c>
      <c r="K31" s="108">
        <v>0</v>
      </c>
      <c r="L31" s="108">
        <v>1</v>
      </c>
      <c r="M31" s="133">
        <v>1</v>
      </c>
      <c r="N31" s="133">
        <v>27</v>
      </c>
      <c r="O31" s="133">
        <v>100000</v>
      </c>
      <c r="P31" s="133">
        <v>1</v>
      </c>
      <c r="Q31" s="133">
        <v>1</v>
      </c>
      <c r="R31" s="133">
        <v>0</v>
      </c>
      <c r="S31" s="133">
        <v>1</v>
      </c>
    </row>
    <row r="32" spans="1:19">
      <c r="A32" s="88" t="s">
        <v>95</v>
      </c>
      <c r="B32" s="108">
        <v>6</v>
      </c>
      <c r="C32" s="108">
        <v>1</v>
      </c>
      <c r="D32" s="108">
        <v>7.0376246600181327</v>
      </c>
      <c r="E32" s="108">
        <v>99.036718041704447</v>
      </c>
      <c r="F32" s="108">
        <v>5.6663644605620123E-2</v>
      </c>
      <c r="G32" s="108">
        <v>75.804623753399824</v>
      </c>
      <c r="H32" s="108">
        <v>1.767905711695378</v>
      </c>
      <c r="I32" s="108">
        <v>0</v>
      </c>
      <c r="J32" s="108">
        <v>0</v>
      </c>
      <c r="K32" s="108">
        <v>0</v>
      </c>
      <c r="L32" s="108">
        <v>1</v>
      </c>
      <c r="M32" s="133">
        <v>1</v>
      </c>
      <c r="N32" s="133">
        <v>27</v>
      </c>
      <c r="O32" s="133">
        <v>100000</v>
      </c>
      <c r="P32" s="133">
        <v>1</v>
      </c>
      <c r="Q32" s="133">
        <v>1</v>
      </c>
      <c r="R32" s="133">
        <v>0</v>
      </c>
      <c r="S32" s="133">
        <v>1</v>
      </c>
    </row>
    <row r="33" spans="1:19">
      <c r="A33" s="88" t="s">
        <v>95</v>
      </c>
      <c r="B33" s="108">
        <v>7</v>
      </c>
      <c r="C33" s="108">
        <v>1</v>
      </c>
      <c r="D33" s="108">
        <v>17.71240234375</v>
      </c>
      <c r="E33" s="108">
        <v>3.38134765625</v>
      </c>
      <c r="F33" s="108">
        <v>5.11474609375</v>
      </c>
      <c r="G33" s="108">
        <v>50</v>
      </c>
      <c r="H33" s="108">
        <v>94.7998046875</v>
      </c>
      <c r="I33" s="108">
        <v>0</v>
      </c>
      <c r="J33" s="108">
        <v>1</v>
      </c>
      <c r="K33" s="108">
        <v>0</v>
      </c>
      <c r="L33" s="108">
        <v>1</v>
      </c>
      <c r="M33" s="133">
        <v>1</v>
      </c>
      <c r="N33" s="133">
        <v>27</v>
      </c>
      <c r="O33" s="133">
        <v>100000</v>
      </c>
      <c r="P33" s="133">
        <v>1</v>
      </c>
      <c r="Q33" s="133">
        <v>1</v>
      </c>
      <c r="R33" s="133">
        <v>0</v>
      </c>
      <c r="S33" s="133">
        <v>1</v>
      </c>
    </row>
    <row r="34" spans="1:19">
      <c r="A34" s="88" t="s">
        <v>96</v>
      </c>
      <c r="B34" s="108">
        <v>1</v>
      </c>
      <c r="C34" s="108">
        <v>1</v>
      </c>
      <c r="D34" s="108">
        <v>91.026161022105057</v>
      </c>
      <c r="E34" s="108">
        <v>97.637396065706767</v>
      </c>
      <c r="F34" s="108">
        <v>97.789495031433788</v>
      </c>
      <c r="G34" s="108">
        <v>14.92597850334618</v>
      </c>
      <c r="H34" s="108">
        <v>96.613263029811392</v>
      </c>
      <c r="I34" s="108">
        <v>1</v>
      </c>
      <c r="J34" s="108">
        <v>0</v>
      </c>
      <c r="K34" s="108">
        <v>1</v>
      </c>
      <c r="L34" s="108">
        <v>1</v>
      </c>
      <c r="M34" s="133">
        <v>1</v>
      </c>
      <c r="N34" s="133">
        <v>25</v>
      </c>
      <c r="O34" s="133">
        <v>190000</v>
      </c>
      <c r="P34" s="133">
        <v>0</v>
      </c>
      <c r="Q34" s="133">
        <v>0</v>
      </c>
      <c r="R34" s="133">
        <v>0</v>
      </c>
      <c r="S34" s="133">
        <v>1</v>
      </c>
    </row>
    <row r="35" spans="1:19">
      <c r="A35" s="88" t="s">
        <v>96</v>
      </c>
      <c r="B35" s="108">
        <v>2</v>
      </c>
      <c r="C35" s="108">
        <v>1</v>
      </c>
      <c r="D35" s="108">
        <v>98.337051308051102</v>
      </c>
      <c r="E35" s="108">
        <v>95.102413303589529</v>
      </c>
      <c r="F35" s="108">
        <v>89.140133847089842</v>
      </c>
      <c r="G35" s="108">
        <v>4.8975866964104666</v>
      </c>
      <c r="H35" s="108">
        <v>19.671466234029609</v>
      </c>
      <c r="I35" s="108">
        <v>0</v>
      </c>
      <c r="J35" s="108">
        <v>0</v>
      </c>
      <c r="K35" s="108">
        <v>1</v>
      </c>
      <c r="L35" s="108">
        <v>1</v>
      </c>
      <c r="M35" s="133">
        <v>1</v>
      </c>
      <c r="N35" s="133">
        <v>25</v>
      </c>
      <c r="O35" s="133">
        <v>190000</v>
      </c>
      <c r="P35" s="133">
        <v>0</v>
      </c>
      <c r="Q35" s="133">
        <v>0</v>
      </c>
      <c r="R35" s="133">
        <v>0</v>
      </c>
      <c r="S35" s="133">
        <v>1</v>
      </c>
    </row>
    <row r="36" spans="1:19">
      <c r="A36" s="88" t="s">
        <v>96</v>
      </c>
      <c r="B36" s="108">
        <v>4</v>
      </c>
      <c r="C36" s="108">
        <v>1</v>
      </c>
      <c r="D36" s="108">
        <v>5.789900628675726</v>
      </c>
      <c r="E36" s="108">
        <v>4.8975866964104666</v>
      </c>
      <c r="F36" s="108">
        <v>5.6175218008517547</v>
      </c>
      <c r="G36" s="108">
        <v>93.084567024944235</v>
      </c>
      <c r="H36" s="108">
        <v>93.409044818495232</v>
      </c>
      <c r="I36" s="108">
        <v>0</v>
      </c>
      <c r="J36" s="108">
        <v>0</v>
      </c>
      <c r="K36" s="108">
        <v>0</v>
      </c>
      <c r="L36" s="108">
        <v>1</v>
      </c>
      <c r="M36" s="133">
        <v>1</v>
      </c>
      <c r="N36" s="133">
        <v>25</v>
      </c>
      <c r="O36" s="133">
        <v>190000</v>
      </c>
      <c r="P36" s="133">
        <v>0</v>
      </c>
      <c r="Q36" s="133">
        <v>0</v>
      </c>
      <c r="R36" s="133">
        <v>0</v>
      </c>
      <c r="S36" s="133">
        <v>1</v>
      </c>
    </row>
    <row r="37" spans="1:19">
      <c r="A37" s="88" t="s">
        <v>96</v>
      </c>
      <c r="B37" s="108">
        <v>5</v>
      </c>
      <c r="C37" s="108">
        <v>1</v>
      </c>
      <c r="D37" s="108">
        <v>2.9203001419590371</v>
      </c>
      <c r="E37" s="108">
        <v>4.0762522814844884</v>
      </c>
      <c r="F37" s="108">
        <v>3.9038734536605171</v>
      </c>
      <c r="G37" s="108">
        <v>92.242952747921308</v>
      </c>
      <c r="H37" s="108">
        <v>97.46501723788279</v>
      </c>
      <c r="I37" s="108">
        <v>0</v>
      </c>
      <c r="J37" s="108">
        <v>0</v>
      </c>
      <c r="K37" s="108">
        <v>0</v>
      </c>
      <c r="L37" s="108">
        <v>1</v>
      </c>
      <c r="M37" s="133">
        <v>1</v>
      </c>
      <c r="N37" s="133">
        <v>25</v>
      </c>
      <c r="O37" s="133">
        <v>190000</v>
      </c>
      <c r="P37" s="133">
        <v>0</v>
      </c>
      <c r="Q37" s="133">
        <v>0</v>
      </c>
      <c r="R37" s="133">
        <v>0</v>
      </c>
      <c r="S37" s="133">
        <v>1</v>
      </c>
    </row>
    <row r="38" spans="1:19">
      <c r="A38" s="88" t="s">
        <v>96</v>
      </c>
      <c r="B38" s="108">
        <v>6</v>
      </c>
      <c r="C38" s="108">
        <v>1</v>
      </c>
      <c r="D38" s="108">
        <v>50</v>
      </c>
      <c r="E38" s="108">
        <v>30.228610230873699</v>
      </c>
      <c r="F38" s="108">
        <v>8.8841104572204621</v>
      </c>
      <c r="G38" s="108">
        <v>85.434585785423266</v>
      </c>
      <c r="H38" s="108">
        <v>90.629244001810775</v>
      </c>
      <c r="I38" s="108">
        <v>0</v>
      </c>
      <c r="J38" s="108">
        <v>0</v>
      </c>
      <c r="K38" s="108">
        <v>0</v>
      </c>
      <c r="L38" s="108">
        <v>1</v>
      </c>
      <c r="M38" s="133">
        <v>1</v>
      </c>
      <c r="N38" s="133">
        <v>25</v>
      </c>
      <c r="O38" s="133">
        <v>190000</v>
      </c>
      <c r="P38" s="133">
        <v>0</v>
      </c>
      <c r="Q38" s="133">
        <v>0</v>
      </c>
      <c r="R38" s="133">
        <v>0</v>
      </c>
      <c r="S38" s="133">
        <v>1</v>
      </c>
    </row>
    <row r="39" spans="1:19">
      <c r="A39" s="88" t="s">
        <v>97</v>
      </c>
      <c r="B39" s="108">
        <v>1</v>
      </c>
      <c r="C39" s="108">
        <v>1</v>
      </c>
      <c r="D39" s="108">
        <v>85.61729947196379</v>
      </c>
      <c r="E39" s="108">
        <v>93.462408850892629</v>
      </c>
      <c r="F39" s="108">
        <v>100</v>
      </c>
      <c r="G39" s="108">
        <v>5.0666331405582081</v>
      </c>
      <c r="H39" s="108">
        <v>5.87125974352527</v>
      </c>
      <c r="I39" s="108">
        <v>1</v>
      </c>
      <c r="J39" s="108">
        <v>0</v>
      </c>
      <c r="K39" s="108">
        <v>1</v>
      </c>
      <c r="L39" s="108">
        <v>1</v>
      </c>
      <c r="M39" s="133">
        <v>0</v>
      </c>
      <c r="N39" s="133">
        <v>37</v>
      </c>
      <c r="O39" s="133">
        <v>120000</v>
      </c>
      <c r="P39" s="133">
        <v>0</v>
      </c>
      <c r="Q39" s="133">
        <v>1</v>
      </c>
      <c r="R39" s="133">
        <v>1</v>
      </c>
      <c r="S39" s="133">
        <v>1</v>
      </c>
    </row>
    <row r="40" spans="1:19">
      <c r="A40" s="88" t="s">
        <v>97</v>
      </c>
      <c r="B40" s="108">
        <v>2</v>
      </c>
      <c r="C40" s="108">
        <v>1</v>
      </c>
      <c r="D40" s="108">
        <v>93.575559466934877</v>
      </c>
      <c r="E40" s="108">
        <v>96.5426200653759</v>
      </c>
      <c r="F40" s="108">
        <v>83.90746794065879</v>
      </c>
      <c r="G40" s="108">
        <v>6.5250188584360043</v>
      </c>
      <c r="H40" s="108">
        <v>50</v>
      </c>
      <c r="I40" s="108">
        <v>0</v>
      </c>
      <c r="J40" s="108">
        <v>0</v>
      </c>
      <c r="K40" s="108">
        <v>1</v>
      </c>
      <c r="L40" s="108">
        <v>1</v>
      </c>
      <c r="M40" s="133">
        <v>0</v>
      </c>
      <c r="N40" s="133">
        <v>37</v>
      </c>
      <c r="O40" s="133">
        <v>120000</v>
      </c>
      <c r="P40" s="133">
        <v>0</v>
      </c>
      <c r="Q40" s="133">
        <v>1</v>
      </c>
      <c r="R40" s="133">
        <v>1</v>
      </c>
      <c r="S40" s="133">
        <v>1</v>
      </c>
    </row>
    <row r="41" spans="1:19">
      <c r="A41" s="88" t="s">
        <v>97</v>
      </c>
      <c r="B41" s="108">
        <v>3</v>
      </c>
      <c r="C41" s="108">
        <v>1</v>
      </c>
      <c r="D41" s="108">
        <v>16.26854412874026</v>
      </c>
      <c r="E41" s="108">
        <v>2.6778979129997489</v>
      </c>
      <c r="F41" s="108">
        <v>2.187578576816696</v>
      </c>
      <c r="G41" s="108">
        <v>91.149107367362333</v>
      </c>
      <c r="H41" s="108">
        <v>91.149107367362333</v>
      </c>
      <c r="I41" s="108">
        <v>0</v>
      </c>
      <c r="J41" s="108">
        <v>0</v>
      </c>
      <c r="K41" s="108">
        <v>0</v>
      </c>
      <c r="L41" s="108">
        <v>1</v>
      </c>
      <c r="M41" s="133">
        <v>0</v>
      </c>
      <c r="N41" s="133">
        <v>37</v>
      </c>
      <c r="O41" s="133">
        <v>120000</v>
      </c>
      <c r="P41" s="133">
        <v>0</v>
      </c>
      <c r="Q41" s="133">
        <v>1</v>
      </c>
      <c r="R41" s="133">
        <v>1</v>
      </c>
      <c r="S41" s="133">
        <v>1</v>
      </c>
    </row>
    <row r="42" spans="1:19">
      <c r="A42" s="88" t="s">
        <v>97</v>
      </c>
      <c r="B42" s="108">
        <v>4</v>
      </c>
      <c r="C42" s="108">
        <v>1</v>
      </c>
      <c r="D42" s="108">
        <v>6.8267538345486543</v>
      </c>
      <c r="E42" s="108">
        <v>4.2368619562484273</v>
      </c>
      <c r="F42" s="108">
        <v>2.7659039476992722</v>
      </c>
      <c r="G42" s="108">
        <v>93.324113653507666</v>
      </c>
      <c r="H42" s="108">
        <v>95.021372894141322</v>
      </c>
      <c r="I42" s="108">
        <v>0</v>
      </c>
      <c r="J42" s="108">
        <v>0</v>
      </c>
      <c r="K42" s="108">
        <v>0</v>
      </c>
      <c r="L42" s="108">
        <v>1</v>
      </c>
      <c r="M42" s="133">
        <v>0</v>
      </c>
      <c r="N42" s="133">
        <v>37</v>
      </c>
      <c r="O42" s="133">
        <v>120000</v>
      </c>
      <c r="P42" s="133">
        <v>0</v>
      </c>
      <c r="Q42" s="133">
        <v>1</v>
      </c>
      <c r="R42" s="133">
        <v>1</v>
      </c>
      <c r="S42" s="133">
        <v>1</v>
      </c>
    </row>
    <row r="43" spans="1:19">
      <c r="A43" s="88" t="s">
        <v>97</v>
      </c>
      <c r="B43" s="108">
        <v>5</v>
      </c>
      <c r="C43" s="108">
        <v>1</v>
      </c>
      <c r="D43" s="108">
        <v>11.2144832788534</v>
      </c>
      <c r="E43" s="108">
        <v>3.683681166708574</v>
      </c>
      <c r="F43" s="108">
        <v>5.2300729192858944</v>
      </c>
      <c r="G43" s="108">
        <v>92.054312295700271</v>
      </c>
      <c r="H43" s="108">
        <v>96.706059844103592</v>
      </c>
      <c r="I43" s="108">
        <v>0</v>
      </c>
      <c r="J43" s="108">
        <v>0</v>
      </c>
      <c r="K43" s="108">
        <v>0</v>
      </c>
      <c r="L43" s="108">
        <v>1</v>
      </c>
      <c r="M43" s="133">
        <v>0</v>
      </c>
      <c r="N43" s="133">
        <v>37</v>
      </c>
      <c r="O43" s="133">
        <v>120000</v>
      </c>
      <c r="P43" s="133">
        <v>0</v>
      </c>
      <c r="Q43" s="133">
        <v>1</v>
      </c>
      <c r="R43" s="133">
        <v>1</v>
      </c>
      <c r="S43" s="133">
        <v>1</v>
      </c>
    </row>
    <row r="44" spans="1:19">
      <c r="A44" s="88" t="s">
        <v>97</v>
      </c>
      <c r="B44" s="108">
        <v>6</v>
      </c>
      <c r="C44" s="108">
        <v>1</v>
      </c>
      <c r="D44" s="108">
        <v>2.4138798089011808</v>
      </c>
      <c r="E44" s="108">
        <v>0.82977118430977992</v>
      </c>
      <c r="F44" s="108">
        <v>6.663314055820968</v>
      </c>
      <c r="G44" s="108">
        <v>94.644204174000507</v>
      </c>
      <c r="H44" s="108">
        <v>99.18280110636158</v>
      </c>
      <c r="I44" s="108">
        <v>0</v>
      </c>
      <c r="J44" s="108">
        <v>0</v>
      </c>
      <c r="K44" s="108">
        <v>0</v>
      </c>
      <c r="L44" s="108">
        <v>1</v>
      </c>
      <c r="M44" s="133">
        <v>0</v>
      </c>
      <c r="N44" s="133">
        <v>37</v>
      </c>
      <c r="O44" s="133">
        <v>120000</v>
      </c>
      <c r="P44" s="133">
        <v>0</v>
      </c>
      <c r="Q44" s="133">
        <v>1</v>
      </c>
      <c r="R44" s="133">
        <v>1</v>
      </c>
      <c r="S44" s="133">
        <v>1</v>
      </c>
    </row>
    <row r="45" spans="1:19">
      <c r="A45" s="88" t="s">
        <v>97</v>
      </c>
      <c r="B45" s="108">
        <v>7</v>
      </c>
      <c r="C45" s="108">
        <v>1</v>
      </c>
      <c r="D45" s="108">
        <v>8.1216997736987651</v>
      </c>
      <c r="E45" s="108">
        <v>2.237867739502136</v>
      </c>
      <c r="F45" s="108">
        <v>10.611013326628109</v>
      </c>
      <c r="G45" s="108">
        <v>95.461403067638926</v>
      </c>
      <c r="H45" s="108">
        <v>98.818204676892123</v>
      </c>
      <c r="I45" s="108">
        <v>0</v>
      </c>
      <c r="J45" s="108">
        <v>1</v>
      </c>
      <c r="K45" s="108">
        <v>0</v>
      </c>
      <c r="L45" s="108">
        <v>1</v>
      </c>
      <c r="M45" s="133">
        <v>0</v>
      </c>
      <c r="N45" s="133">
        <v>37</v>
      </c>
      <c r="O45" s="133">
        <v>120000</v>
      </c>
      <c r="P45" s="133">
        <v>0</v>
      </c>
      <c r="Q45" s="133">
        <v>1</v>
      </c>
      <c r="R45" s="133">
        <v>1</v>
      </c>
      <c r="S45" s="133">
        <v>1</v>
      </c>
    </row>
    <row r="46" spans="1:19">
      <c r="A46" s="88" t="s">
        <v>98</v>
      </c>
      <c r="B46" s="108">
        <v>1</v>
      </c>
      <c r="C46" s="108">
        <v>1</v>
      </c>
      <c r="D46" s="108">
        <v>98.739990579368822</v>
      </c>
      <c r="E46" s="108">
        <v>79.992934526613283</v>
      </c>
      <c r="F46" s="108">
        <v>93.452661328308992</v>
      </c>
      <c r="G46" s="108">
        <v>6.7710786622703694</v>
      </c>
      <c r="H46" s="108">
        <v>1.7663683466792259</v>
      </c>
      <c r="I46" s="108">
        <v>1</v>
      </c>
      <c r="J46" s="108">
        <v>0</v>
      </c>
      <c r="K46" s="108">
        <v>1</v>
      </c>
      <c r="L46" s="108">
        <v>1</v>
      </c>
      <c r="M46" s="133">
        <v>1</v>
      </c>
      <c r="N46" s="133">
        <v>24</v>
      </c>
      <c r="O46" s="133">
        <v>-99</v>
      </c>
      <c r="P46" s="133">
        <v>1</v>
      </c>
      <c r="Q46" s="133">
        <v>1</v>
      </c>
      <c r="R46" s="133">
        <v>1</v>
      </c>
      <c r="S46" s="133">
        <v>1</v>
      </c>
    </row>
    <row r="47" spans="1:19">
      <c r="A47" s="88" t="s">
        <v>98</v>
      </c>
      <c r="B47" s="108">
        <v>3</v>
      </c>
      <c r="C47" s="108">
        <v>1</v>
      </c>
      <c r="D47" s="108">
        <v>1.099706744868034</v>
      </c>
      <c r="E47" s="108">
        <v>9.5796676441837754</v>
      </c>
      <c r="F47" s="108">
        <v>1.7473118279569879</v>
      </c>
      <c r="G47" s="108">
        <v>96.199902248289334</v>
      </c>
      <c r="H47" s="108">
        <v>50</v>
      </c>
      <c r="I47" s="108">
        <v>0</v>
      </c>
      <c r="J47" s="108">
        <v>0</v>
      </c>
      <c r="K47" s="108">
        <v>0</v>
      </c>
      <c r="L47" s="108">
        <v>1</v>
      </c>
      <c r="M47" s="133">
        <v>1</v>
      </c>
      <c r="N47" s="133">
        <v>24</v>
      </c>
      <c r="O47" s="133">
        <v>-99</v>
      </c>
      <c r="P47" s="133">
        <v>1</v>
      </c>
      <c r="Q47" s="133">
        <v>1</v>
      </c>
      <c r="R47" s="133">
        <v>1</v>
      </c>
      <c r="S47" s="133">
        <v>1</v>
      </c>
    </row>
    <row r="48" spans="1:19">
      <c r="A48" s="88" t="s">
        <v>98</v>
      </c>
      <c r="B48" s="108">
        <v>5</v>
      </c>
      <c r="C48" s="108">
        <v>1</v>
      </c>
      <c r="D48" s="108">
        <v>13.84408602150538</v>
      </c>
      <c r="E48" s="108">
        <v>6.5004887585532742</v>
      </c>
      <c r="F48" s="108">
        <v>2.5293255131964791</v>
      </c>
      <c r="G48" s="108">
        <v>67.778592375366571</v>
      </c>
      <c r="H48" s="108">
        <v>80.669599217986303</v>
      </c>
      <c r="I48" s="108">
        <v>0</v>
      </c>
      <c r="J48" s="108">
        <v>0</v>
      </c>
      <c r="K48" s="108">
        <v>0</v>
      </c>
      <c r="L48" s="108">
        <v>1</v>
      </c>
      <c r="M48" s="133">
        <v>1</v>
      </c>
      <c r="N48" s="133">
        <v>24</v>
      </c>
      <c r="O48" s="133">
        <v>-99</v>
      </c>
      <c r="P48" s="133">
        <v>1</v>
      </c>
      <c r="Q48" s="133">
        <v>1</v>
      </c>
      <c r="R48" s="133">
        <v>1</v>
      </c>
      <c r="S48" s="133">
        <v>1</v>
      </c>
    </row>
    <row r="49" spans="1:19">
      <c r="A49" s="88" t="s">
        <v>98</v>
      </c>
      <c r="B49" s="108">
        <v>6</v>
      </c>
      <c r="C49" s="108">
        <v>1</v>
      </c>
      <c r="D49" s="108">
        <v>2.761485826001953</v>
      </c>
      <c r="E49" s="108">
        <v>10.21505376344086</v>
      </c>
      <c r="F49" s="108">
        <v>5.9872922776148583</v>
      </c>
      <c r="G49" s="108">
        <v>80.694037145650043</v>
      </c>
      <c r="H49" s="108">
        <v>3.0669599217986292</v>
      </c>
      <c r="I49" s="108">
        <v>0</v>
      </c>
      <c r="J49" s="108">
        <v>0</v>
      </c>
      <c r="K49" s="108">
        <v>0</v>
      </c>
      <c r="L49" s="108">
        <v>1</v>
      </c>
      <c r="M49" s="133">
        <v>1</v>
      </c>
      <c r="N49" s="133">
        <v>24</v>
      </c>
      <c r="O49" s="133">
        <v>-99</v>
      </c>
      <c r="P49" s="133">
        <v>1</v>
      </c>
      <c r="Q49" s="133">
        <v>1</v>
      </c>
      <c r="R49" s="133">
        <v>1</v>
      </c>
      <c r="S49" s="133">
        <v>1</v>
      </c>
    </row>
    <row r="50" spans="1:19">
      <c r="A50" s="88" t="s">
        <v>99</v>
      </c>
      <c r="B50" s="108">
        <v>1</v>
      </c>
      <c r="C50" s="108">
        <v>1</v>
      </c>
      <c r="D50" s="108">
        <v>95.463917525773184</v>
      </c>
      <c r="E50" s="108">
        <v>99.394329896907223</v>
      </c>
      <c r="F50" s="108">
        <v>96.80412371134021</v>
      </c>
      <c r="G50" s="108">
        <v>50</v>
      </c>
      <c r="H50" s="108">
        <v>32.590206185567013</v>
      </c>
      <c r="I50" s="108">
        <v>1</v>
      </c>
      <c r="J50" s="108">
        <v>0</v>
      </c>
      <c r="K50" s="108">
        <v>1</v>
      </c>
      <c r="L50" s="108">
        <v>1</v>
      </c>
      <c r="M50" s="133">
        <v>0</v>
      </c>
      <c r="N50" s="133">
        <v>63</v>
      </c>
      <c r="O50" s="133">
        <v>73000</v>
      </c>
      <c r="P50" s="133">
        <v>1</v>
      </c>
      <c r="Q50" s="133">
        <v>0</v>
      </c>
      <c r="R50" s="133">
        <v>1</v>
      </c>
      <c r="S50" s="133">
        <v>1</v>
      </c>
    </row>
    <row r="51" spans="1:19">
      <c r="A51" s="88" t="s">
        <v>99</v>
      </c>
      <c r="B51" s="108">
        <v>2</v>
      </c>
      <c r="C51" s="108">
        <v>1</v>
      </c>
      <c r="D51" s="108">
        <v>97.010309278350519</v>
      </c>
      <c r="E51" s="108">
        <v>97.30670103092784</v>
      </c>
      <c r="F51" s="108">
        <v>94.652061855670098</v>
      </c>
      <c r="G51" s="108">
        <v>4.6391752577319592</v>
      </c>
      <c r="H51" s="108">
        <v>16.92010309278351</v>
      </c>
      <c r="I51" s="108">
        <v>0</v>
      </c>
      <c r="J51" s="108">
        <v>0</v>
      </c>
      <c r="K51" s="108">
        <v>1</v>
      </c>
      <c r="L51" s="108">
        <v>1</v>
      </c>
      <c r="M51" s="133">
        <v>0</v>
      </c>
      <c r="N51" s="133">
        <v>63</v>
      </c>
      <c r="O51" s="133">
        <v>73000</v>
      </c>
      <c r="P51" s="133">
        <v>1</v>
      </c>
      <c r="Q51" s="133">
        <v>0</v>
      </c>
      <c r="R51" s="133">
        <v>1</v>
      </c>
      <c r="S51" s="133">
        <v>1</v>
      </c>
    </row>
    <row r="52" spans="1:19">
      <c r="A52" s="88" t="s">
        <v>99</v>
      </c>
      <c r="B52" s="108">
        <v>3</v>
      </c>
      <c r="C52" s="108">
        <v>1</v>
      </c>
      <c r="D52" s="108">
        <v>95.979381443298962</v>
      </c>
      <c r="E52" s="108">
        <v>50</v>
      </c>
      <c r="F52" s="108">
        <v>87.628865979381445</v>
      </c>
      <c r="G52" s="108">
        <v>4.4329896907216506</v>
      </c>
      <c r="H52" s="108">
        <v>14.007731958762889</v>
      </c>
      <c r="I52" s="108">
        <v>0</v>
      </c>
      <c r="J52" s="108">
        <v>0</v>
      </c>
      <c r="K52" s="108">
        <v>1</v>
      </c>
      <c r="L52" s="108">
        <v>1</v>
      </c>
      <c r="M52" s="133">
        <v>0</v>
      </c>
      <c r="N52" s="133">
        <v>63</v>
      </c>
      <c r="O52" s="133">
        <v>73000</v>
      </c>
      <c r="P52" s="133">
        <v>1</v>
      </c>
      <c r="Q52" s="133">
        <v>0</v>
      </c>
      <c r="R52" s="133">
        <v>1</v>
      </c>
      <c r="S52" s="133">
        <v>1</v>
      </c>
    </row>
    <row r="53" spans="1:19">
      <c r="A53" s="88" t="s">
        <v>99</v>
      </c>
      <c r="B53" s="108">
        <v>4</v>
      </c>
      <c r="C53" s="108">
        <v>1</v>
      </c>
      <c r="D53" s="108">
        <v>67.11340206185568</v>
      </c>
      <c r="E53" s="108">
        <v>97.525773195876283</v>
      </c>
      <c r="F53" s="108">
        <v>89.072164948453604</v>
      </c>
      <c r="G53" s="108">
        <v>11.868556701030929</v>
      </c>
      <c r="H53" s="108">
        <v>11.868556701030929</v>
      </c>
      <c r="I53" s="108">
        <v>0</v>
      </c>
      <c r="J53" s="108">
        <v>0</v>
      </c>
      <c r="K53" s="108">
        <v>1</v>
      </c>
      <c r="L53" s="108">
        <v>1</v>
      </c>
      <c r="M53" s="133">
        <v>0</v>
      </c>
      <c r="N53" s="133">
        <v>63</v>
      </c>
      <c r="O53" s="133">
        <v>73000</v>
      </c>
      <c r="P53" s="133">
        <v>1</v>
      </c>
      <c r="Q53" s="133">
        <v>0</v>
      </c>
      <c r="R53" s="133">
        <v>1</v>
      </c>
      <c r="S53" s="133">
        <v>1</v>
      </c>
    </row>
    <row r="54" spans="1:19">
      <c r="A54" s="88" t="s">
        <v>99</v>
      </c>
      <c r="B54" s="108">
        <v>5</v>
      </c>
      <c r="C54" s="108">
        <v>1</v>
      </c>
      <c r="D54" s="108">
        <v>67.925257731958766</v>
      </c>
      <c r="E54" s="108">
        <v>100</v>
      </c>
      <c r="F54" s="108">
        <v>95.992268041237111</v>
      </c>
      <c r="G54" s="108">
        <v>14.858247422680421</v>
      </c>
      <c r="H54" s="108">
        <v>20.19329896907217</v>
      </c>
      <c r="I54" s="108">
        <v>0</v>
      </c>
      <c r="J54" s="108">
        <v>0</v>
      </c>
      <c r="K54" s="108">
        <v>1</v>
      </c>
      <c r="L54" s="108">
        <v>1</v>
      </c>
      <c r="M54" s="133">
        <v>0</v>
      </c>
      <c r="N54" s="133">
        <v>63</v>
      </c>
      <c r="O54" s="133">
        <v>73000</v>
      </c>
      <c r="P54" s="133">
        <v>1</v>
      </c>
      <c r="Q54" s="133">
        <v>0</v>
      </c>
      <c r="R54" s="133">
        <v>1</v>
      </c>
      <c r="S54" s="133">
        <v>1</v>
      </c>
    </row>
    <row r="55" spans="1:19">
      <c r="A55" s="88" t="s">
        <v>99</v>
      </c>
      <c r="B55" s="108">
        <v>6</v>
      </c>
      <c r="C55" s="108">
        <v>1</v>
      </c>
      <c r="D55" s="108">
        <v>68.05412371134021</v>
      </c>
      <c r="E55" s="108">
        <v>90.50257731958763</v>
      </c>
      <c r="F55" s="108">
        <v>76.597938144329888</v>
      </c>
      <c r="G55" s="108">
        <v>20.115979381443299</v>
      </c>
      <c r="H55" s="108">
        <v>23.711340206185561</v>
      </c>
      <c r="I55" s="108">
        <v>0</v>
      </c>
      <c r="J55" s="108">
        <v>0</v>
      </c>
      <c r="K55" s="108">
        <v>1</v>
      </c>
      <c r="L55" s="108">
        <v>1</v>
      </c>
      <c r="M55" s="133">
        <v>0</v>
      </c>
      <c r="N55" s="133">
        <v>63</v>
      </c>
      <c r="O55" s="133">
        <v>73000</v>
      </c>
      <c r="P55" s="133">
        <v>1</v>
      </c>
      <c r="Q55" s="133">
        <v>0</v>
      </c>
      <c r="R55" s="133">
        <v>1</v>
      </c>
      <c r="S55" s="133">
        <v>1</v>
      </c>
    </row>
    <row r="56" spans="1:19">
      <c r="A56" s="88" t="s">
        <v>99</v>
      </c>
      <c r="B56" s="108">
        <v>7</v>
      </c>
      <c r="C56" s="108">
        <v>1</v>
      </c>
      <c r="D56" s="108">
        <v>39.484536082474229</v>
      </c>
      <c r="E56" s="108">
        <v>5.7603092783505172</v>
      </c>
      <c r="F56" s="108">
        <v>6.4948453608247414</v>
      </c>
      <c r="G56" s="108">
        <v>92.989690721649481</v>
      </c>
      <c r="H56" s="108">
        <v>91.855670103092791</v>
      </c>
      <c r="I56" s="108">
        <v>0</v>
      </c>
      <c r="J56" s="108">
        <v>1</v>
      </c>
      <c r="K56" s="108">
        <v>0</v>
      </c>
      <c r="L56" s="108">
        <v>1</v>
      </c>
      <c r="M56" s="133">
        <v>0</v>
      </c>
      <c r="N56" s="133">
        <v>63</v>
      </c>
      <c r="O56" s="133">
        <v>73000</v>
      </c>
      <c r="P56" s="133">
        <v>1</v>
      </c>
      <c r="Q56" s="133">
        <v>0</v>
      </c>
      <c r="R56" s="133">
        <v>1</v>
      </c>
      <c r="S56" s="133">
        <v>1</v>
      </c>
    </row>
    <row r="57" spans="1:19">
      <c r="A57" s="88" t="s">
        <v>100</v>
      </c>
      <c r="B57" s="108">
        <v>5</v>
      </c>
      <c r="C57" s="108">
        <v>1</v>
      </c>
      <c r="D57" s="108">
        <v>50</v>
      </c>
      <c r="E57" s="108">
        <v>80.724732591137311</v>
      </c>
      <c r="F57" s="108">
        <v>16.000873171796549</v>
      </c>
      <c r="G57" s="108">
        <v>15.45514079895219</v>
      </c>
      <c r="H57" s="108">
        <v>18.32569308011351</v>
      </c>
      <c r="I57" s="108">
        <v>0</v>
      </c>
      <c r="J57" s="108">
        <v>0</v>
      </c>
      <c r="K57" s="108">
        <v>0</v>
      </c>
      <c r="L57" s="108">
        <v>1</v>
      </c>
      <c r="M57" s="133">
        <v>1</v>
      </c>
      <c r="N57" s="133">
        <v>21</v>
      </c>
      <c r="O57" s="133">
        <v>80000</v>
      </c>
      <c r="P57" s="133">
        <v>0</v>
      </c>
      <c r="Q57" s="133">
        <v>0</v>
      </c>
      <c r="R57" s="133">
        <v>1</v>
      </c>
      <c r="S57" s="133">
        <v>0</v>
      </c>
    </row>
    <row r="58" spans="1:19">
      <c r="A58" s="88" t="s">
        <v>101</v>
      </c>
      <c r="B58" s="108">
        <v>7</v>
      </c>
      <c r="C58" s="108">
        <v>1</v>
      </c>
      <c r="D58" s="108">
        <v>7.2826086956521703</v>
      </c>
      <c r="E58" s="108">
        <v>30.09782608695652</v>
      </c>
      <c r="F58" s="108">
        <v>12.163043478260869</v>
      </c>
      <c r="G58" s="108">
        <v>50</v>
      </c>
      <c r="H58" s="108">
        <v>86.923913043478265</v>
      </c>
      <c r="I58" s="108">
        <v>0</v>
      </c>
      <c r="J58" s="108">
        <v>1</v>
      </c>
      <c r="K58" s="108">
        <v>0</v>
      </c>
      <c r="L58" s="108">
        <v>1</v>
      </c>
      <c r="M58" s="133">
        <v>0</v>
      </c>
      <c r="N58" s="133">
        <v>31</v>
      </c>
      <c r="O58" s="133">
        <v>-99</v>
      </c>
      <c r="P58" s="133">
        <v>0</v>
      </c>
      <c r="Q58" s="133">
        <v>0</v>
      </c>
      <c r="R58" s="133">
        <v>0</v>
      </c>
      <c r="S58" s="133">
        <v>1</v>
      </c>
    </row>
    <row r="59" spans="1:19">
      <c r="A59" s="88" t="s">
        <v>102</v>
      </c>
      <c r="B59" s="108">
        <v>1</v>
      </c>
      <c r="C59" s="108">
        <v>1</v>
      </c>
      <c r="D59" s="108">
        <v>94.475787494123182</v>
      </c>
      <c r="E59" s="108">
        <v>50</v>
      </c>
      <c r="F59" s="108">
        <v>95.086976962858486</v>
      </c>
      <c r="G59" s="108">
        <v>6.5115185707569356</v>
      </c>
      <c r="H59" s="108">
        <v>18.312176774800189</v>
      </c>
      <c r="I59" s="108">
        <v>1</v>
      </c>
      <c r="J59" s="108">
        <v>0</v>
      </c>
      <c r="K59" s="108">
        <v>1</v>
      </c>
      <c r="L59" s="108">
        <v>1</v>
      </c>
      <c r="M59" s="133">
        <v>0</v>
      </c>
      <c r="N59" s="133">
        <v>33</v>
      </c>
      <c r="O59" s="133">
        <v>35000</v>
      </c>
      <c r="P59" s="133">
        <v>1</v>
      </c>
      <c r="Q59" s="133">
        <v>1</v>
      </c>
      <c r="R59" s="133">
        <v>1</v>
      </c>
      <c r="S59" s="133">
        <v>1</v>
      </c>
    </row>
    <row r="60" spans="1:19">
      <c r="A60" s="88" t="s">
        <v>102</v>
      </c>
      <c r="B60" s="108">
        <v>2</v>
      </c>
      <c r="C60" s="108">
        <v>1</v>
      </c>
      <c r="D60" s="108">
        <v>94.07616361071932</v>
      </c>
      <c r="E60" s="108">
        <v>85.084626234132571</v>
      </c>
      <c r="F60" s="108">
        <v>94.934179595674664</v>
      </c>
      <c r="G60" s="108">
        <v>28.608368594264221</v>
      </c>
      <c r="H60" s="108">
        <v>6.2999529854254828</v>
      </c>
      <c r="I60" s="108">
        <v>0</v>
      </c>
      <c r="J60" s="108">
        <v>0</v>
      </c>
      <c r="K60" s="108">
        <v>1</v>
      </c>
      <c r="L60" s="108">
        <v>1</v>
      </c>
      <c r="M60" s="133">
        <v>0</v>
      </c>
      <c r="N60" s="133">
        <v>33</v>
      </c>
      <c r="O60" s="133">
        <v>35000</v>
      </c>
      <c r="P60" s="133">
        <v>1</v>
      </c>
      <c r="Q60" s="133">
        <v>1</v>
      </c>
      <c r="R60" s="133">
        <v>1</v>
      </c>
      <c r="S60" s="133">
        <v>1</v>
      </c>
    </row>
    <row r="61" spans="1:19">
      <c r="A61" s="88" t="s">
        <v>102</v>
      </c>
      <c r="B61" s="108">
        <v>3</v>
      </c>
      <c r="C61" s="108">
        <v>1</v>
      </c>
      <c r="D61" s="108">
        <v>0</v>
      </c>
      <c r="E61" s="108">
        <v>84.708509637987774</v>
      </c>
      <c r="F61" s="108">
        <v>0.6464503996238824</v>
      </c>
      <c r="G61" s="108">
        <v>97.943112364833098</v>
      </c>
      <c r="H61" s="108">
        <v>99.788434414668544</v>
      </c>
      <c r="I61" s="108">
        <v>0</v>
      </c>
      <c r="J61" s="108">
        <v>0</v>
      </c>
      <c r="K61" s="108">
        <v>0</v>
      </c>
      <c r="L61" s="108">
        <v>1</v>
      </c>
      <c r="M61" s="133">
        <v>0</v>
      </c>
      <c r="N61" s="133">
        <v>33</v>
      </c>
      <c r="O61" s="133">
        <v>35000</v>
      </c>
      <c r="P61" s="133">
        <v>1</v>
      </c>
      <c r="Q61" s="133">
        <v>1</v>
      </c>
      <c r="R61" s="133">
        <v>1</v>
      </c>
      <c r="S61" s="133">
        <v>1</v>
      </c>
    </row>
    <row r="62" spans="1:19">
      <c r="A62" s="88" t="s">
        <v>102</v>
      </c>
      <c r="B62" s="108">
        <v>4</v>
      </c>
      <c r="C62" s="108">
        <v>1</v>
      </c>
      <c r="D62" s="108">
        <v>89.198401504466389</v>
      </c>
      <c r="E62" s="108">
        <v>87.364833098260462</v>
      </c>
      <c r="F62" s="108">
        <v>92.266102491772443</v>
      </c>
      <c r="G62" s="108">
        <v>10.801598495533611</v>
      </c>
      <c r="H62" s="108">
        <v>2.0921485660554802</v>
      </c>
      <c r="I62" s="108">
        <v>0</v>
      </c>
      <c r="J62" s="108">
        <v>0</v>
      </c>
      <c r="K62" s="108">
        <v>1</v>
      </c>
      <c r="L62" s="108">
        <v>1</v>
      </c>
      <c r="M62" s="133">
        <v>0</v>
      </c>
      <c r="N62" s="133">
        <v>33</v>
      </c>
      <c r="O62" s="133">
        <v>35000</v>
      </c>
      <c r="P62" s="133">
        <v>1</v>
      </c>
      <c r="Q62" s="133">
        <v>1</v>
      </c>
      <c r="R62" s="133">
        <v>1</v>
      </c>
      <c r="S62" s="133">
        <v>1</v>
      </c>
    </row>
    <row r="63" spans="1:19">
      <c r="A63" s="88" t="s">
        <v>102</v>
      </c>
      <c r="B63" s="108">
        <v>5</v>
      </c>
      <c r="C63" s="108">
        <v>1</v>
      </c>
      <c r="D63" s="108">
        <v>95.698166431593791</v>
      </c>
      <c r="E63" s="108">
        <v>9.814292430653504</v>
      </c>
      <c r="F63" s="108">
        <v>97.731546779501642</v>
      </c>
      <c r="G63" s="108">
        <v>11.013164080865071</v>
      </c>
      <c r="H63" s="108">
        <v>81.864127879642695</v>
      </c>
      <c r="I63" s="108">
        <v>0</v>
      </c>
      <c r="J63" s="108">
        <v>0</v>
      </c>
      <c r="K63" s="108">
        <v>1</v>
      </c>
      <c r="L63" s="108">
        <v>1</v>
      </c>
      <c r="M63" s="133">
        <v>0</v>
      </c>
      <c r="N63" s="133">
        <v>33</v>
      </c>
      <c r="O63" s="133">
        <v>35000</v>
      </c>
      <c r="P63" s="133">
        <v>1</v>
      </c>
      <c r="Q63" s="133">
        <v>1</v>
      </c>
      <c r="R63" s="133">
        <v>1</v>
      </c>
      <c r="S63" s="133">
        <v>1</v>
      </c>
    </row>
    <row r="64" spans="1:19">
      <c r="A64" s="88" t="s">
        <v>102</v>
      </c>
      <c r="B64" s="108">
        <v>6</v>
      </c>
      <c r="C64" s="108">
        <v>1</v>
      </c>
      <c r="D64" s="108">
        <v>80.253878702397742</v>
      </c>
      <c r="E64" s="108">
        <v>16.137752703338041</v>
      </c>
      <c r="F64" s="108">
        <v>98.519040902679833</v>
      </c>
      <c r="G64" s="108">
        <v>5.7122708039492256</v>
      </c>
      <c r="H64" s="108">
        <v>5.9238363892806776</v>
      </c>
      <c r="I64" s="108">
        <v>0</v>
      </c>
      <c r="J64" s="108">
        <v>0</v>
      </c>
      <c r="K64" s="108">
        <v>1</v>
      </c>
      <c r="L64" s="108">
        <v>1</v>
      </c>
      <c r="M64" s="133">
        <v>0</v>
      </c>
      <c r="N64" s="133">
        <v>33</v>
      </c>
      <c r="O64" s="133">
        <v>35000</v>
      </c>
      <c r="P64" s="133">
        <v>1</v>
      </c>
      <c r="Q64" s="133">
        <v>1</v>
      </c>
      <c r="R64" s="133">
        <v>1</v>
      </c>
      <c r="S64" s="133">
        <v>1</v>
      </c>
    </row>
    <row r="65" spans="1:19">
      <c r="A65" s="88" t="s">
        <v>102</v>
      </c>
      <c r="B65" s="108">
        <v>7</v>
      </c>
      <c r="C65" s="108">
        <v>1</v>
      </c>
      <c r="D65" s="108">
        <v>93.288669487541128</v>
      </c>
      <c r="E65" s="108">
        <v>93.088857545839204</v>
      </c>
      <c r="F65" s="108">
        <v>97.143864598025388</v>
      </c>
      <c r="G65" s="108">
        <v>3.5143394452280212</v>
      </c>
      <c r="H65" s="108">
        <v>2.9031499764927138</v>
      </c>
      <c r="I65" s="108">
        <v>0</v>
      </c>
      <c r="J65" s="108">
        <v>1</v>
      </c>
      <c r="K65" s="108">
        <v>1</v>
      </c>
      <c r="L65" s="108">
        <v>1</v>
      </c>
      <c r="M65" s="133">
        <v>0</v>
      </c>
      <c r="N65" s="133">
        <v>33</v>
      </c>
      <c r="O65" s="133">
        <v>35000</v>
      </c>
      <c r="P65" s="133">
        <v>1</v>
      </c>
      <c r="Q65" s="133">
        <v>1</v>
      </c>
      <c r="R65" s="133">
        <v>1</v>
      </c>
      <c r="S65" s="133">
        <v>1</v>
      </c>
    </row>
    <row r="66" spans="1:19">
      <c r="A66" s="88" t="s">
        <v>103</v>
      </c>
      <c r="B66" s="108">
        <v>1</v>
      </c>
      <c r="C66" s="108">
        <v>1</v>
      </c>
      <c r="D66" s="108">
        <v>95.520785396533213</v>
      </c>
      <c r="E66" s="108">
        <v>93.319527534897986</v>
      </c>
      <c r="F66" s="108">
        <v>94.830495474766082</v>
      </c>
      <c r="G66" s="108">
        <v>5.4072710538426163</v>
      </c>
      <c r="H66" s="108">
        <v>4.3795060592115354</v>
      </c>
      <c r="I66" s="108">
        <v>1</v>
      </c>
      <c r="J66" s="108">
        <v>0</v>
      </c>
      <c r="K66" s="108">
        <v>1</v>
      </c>
      <c r="L66" s="108">
        <v>1</v>
      </c>
      <c r="M66" s="133">
        <v>1</v>
      </c>
      <c r="N66" s="133">
        <v>28</v>
      </c>
      <c r="O66" s="133">
        <v>27000</v>
      </c>
      <c r="P66" s="133">
        <v>1</v>
      </c>
      <c r="Q66" s="133">
        <v>1</v>
      </c>
      <c r="R66" s="133">
        <v>1</v>
      </c>
      <c r="S66" s="133">
        <v>1</v>
      </c>
    </row>
    <row r="67" spans="1:19">
      <c r="A67" s="88" t="s">
        <v>103</v>
      </c>
      <c r="B67" s="108">
        <v>2</v>
      </c>
      <c r="C67" s="108">
        <v>1</v>
      </c>
      <c r="D67" s="108">
        <v>95.229329651787083</v>
      </c>
      <c r="E67" s="108">
        <v>94.224574321214916</v>
      </c>
      <c r="F67" s="108">
        <v>89.875747814081919</v>
      </c>
      <c r="G67" s="108">
        <v>6.9412486577695942</v>
      </c>
      <c r="H67" s="108">
        <v>7.1790151863782796</v>
      </c>
      <c r="I67" s="108">
        <v>0</v>
      </c>
      <c r="J67" s="108">
        <v>0</v>
      </c>
      <c r="K67" s="108">
        <v>1</v>
      </c>
      <c r="L67" s="108">
        <v>1</v>
      </c>
      <c r="M67" s="133">
        <v>1</v>
      </c>
      <c r="N67" s="133">
        <v>28</v>
      </c>
      <c r="O67" s="133">
        <v>27000</v>
      </c>
      <c r="P67" s="133">
        <v>1</v>
      </c>
      <c r="Q67" s="133">
        <v>1</v>
      </c>
      <c r="R67" s="133">
        <v>1</v>
      </c>
      <c r="S67" s="133">
        <v>1</v>
      </c>
    </row>
    <row r="68" spans="1:19">
      <c r="A68" s="88" t="s">
        <v>103</v>
      </c>
      <c r="B68" s="108">
        <v>3</v>
      </c>
      <c r="C68" s="108">
        <v>1</v>
      </c>
      <c r="D68" s="108">
        <v>8.0763920846755646</v>
      </c>
      <c r="E68" s="108">
        <v>94.615738610216297</v>
      </c>
      <c r="F68" s="108">
        <v>88.203712225801496</v>
      </c>
      <c r="G68" s="108">
        <v>5.2845528455284558</v>
      </c>
      <c r="H68" s="108">
        <v>95.858260469397152</v>
      </c>
      <c r="I68" s="108">
        <v>0</v>
      </c>
      <c r="J68" s="108">
        <v>0</v>
      </c>
      <c r="K68" s="108">
        <v>0</v>
      </c>
      <c r="L68" s="108">
        <v>1</v>
      </c>
      <c r="M68" s="133">
        <v>1</v>
      </c>
      <c r="N68" s="133">
        <v>28</v>
      </c>
      <c r="O68" s="133">
        <v>27000</v>
      </c>
      <c r="P68" s="133">
        <v>1</v>
      </c>
      <c r="Q68" s="133">
        <v>1</v>
      </c>
      <c r="R68" s="133">
        <v>1</v>
      </c>
      <c r="S68" s="133">
        <v>1</v>
      </c>
    </row>
    <row r="69" spans="1:19">
      <c r="A69" s="88" t="s">
        <v>103</v>
      </c>
      <c r="B69" s="108">
        <v>4</v>
      </c>
      <c r="C69" s="108">
        <v>1</v>
      </c>
      <c r="D69" s="108">
        <v>84.606534744592736</v>
      </c>
      <c r="E69" s="108">
        <v>94.983893235158774</v>
      </c>
      <c r="F69" s="108">
        <v>94.209234545175647</v>
      </c>
      <c r="G69" s="108">
        <v>3.8732934499156322</v>
      </c>
      <c r="H69" s="108">
        <v>6.1742598558061079</v>
      </c>
      <c r="I69" s="108">
        <v>0</v>
      </c>
      <c r="J69" s="108">
        <v>0</v>
      </c>
      <c r="K69" s="108">
        <v>1</v>
      </c>
      <c r="L69" s="108">
        <v>1</v>
      </c>
      <c r="M69" s="133">
        <v>1</v>
      </c>
      <c r="N69" s="133">
        <v>28</v>
      </c>
      <c r="O69" s="133">
        <v>27000</v>
      </c>
      <c r="P69" s="133">
        <v>1</v>
      </c>
      <c r="Q69" s="133">
        <v>1</v>
      </c>
      <c r="R69" s="133">
        <v>1</v>
      </c>
      <c r="S69" s="133">
        <v>1</v>
      </c>
    </row>
    <row r="70" spans="1:19">
      <c r="A70" s="88" t="s">
        <v>103</v>
      </c>
      <c r="B70" s="108">
        <v>6</v>
      </c>
      <c r="C70" s="108">
        <v>1</v>
      </c>
      <c r="D70" s="108">
        <v>90.772838499184331</v>
      </c>
      <c r="E70" s="108">
        <v>50</v>
      </c>
      <c r="F70" s="108">
        <v>69.443166129774497</v>
      </c>
      <c r="G70" s="108">
        <v>6.5048939641109307</v>
      </c>
      <c r="H70" s="108">
        <v>16.333605220228389</v>
      </c>
      <c r="I70" s="108">
        <v>0</v>
      </c>
      <c r="J70" s="108">
        <v>0</v>
      </c>
      <c r="K70" s="108">
        <v>1</v>
      </c>
      <c r="L70" s="108">
        <v>1</v>
      </c>
      <c r="M70" s="133">
        <v>1</v>
      </c>
      <c r="N70" s="133">
        <v>28</v>
      </c>
      <c r="O70" s="133">
        <v>27000</v>
      </c>
      <c r="P70" s="133">
        <v>1</v>
      </c>
      <c r="Q70" s="133">
        <v>1</v>
      </c>
      <c r="R70" s="133">
        <v>1</v>
      </c>
      <c r="S70" s="133">
        <v>1</v>
      </c>
    </row>
    <row r="71" spans="1:19">
      <c r="A71" s="88" t="s">
        <v>104</v>
      </c>
      <c r="B71" s="108">
        <v>1</v>
      </c>
      <c r="C71" s="108">
        <v>1</v>
      </c>
      <c r="D71" s="108">
        <v>91.940625622633988</v>
      </c>
      <c r="E71" s="108">
        <v>98.495716278143064</v>
      </c>
      <c r="F71" s="108">
        <v>18.250647539350471</v>
      </c>
      <c r="G71" s="108">
        <v>17.772464634389319</v>
      </c>
      <c r="H71" s="108">
        <v>2.1518230723251648</v>
      </c>
      <c r="I71" s="108">
        <v>1</v>
      </c>
      <c r="J71" s="108">
        <v>0</v>
      </c>
      <c r="K71" s="108">
        <v>1</v>
      </c>
      <c r="L71" s="108">
        <v>1</v>
      </c>
      <c r="M71" s="133">
        <v>0</v>
      </c>
      <c r="N71" s="133">
        <v>57</v>
      </c>
      <c r="O71" s="133">
        <v>99500</v>
      </c>
      <c r="P71" s="133">
        <v>0</v>
      </c>
      <c r="Q71" s="133">
        <v>0</v>
      </c>
      <c r="R71" s="133">
        <v>0</v>
      </c>
      <c r="S71" s="133">
        <v>0</v>
      </c>
    </row>
    <row r="72" spans="1:19">
      <c r="A72" s="88" t="s">
        <v>104</v>
      </c>
      <c r="B72" s="108">
        <v>2</v>
      </c>
      <c r="C72" s="108">
        <v>1</v>
      </c>
      <c r="D72" s="108">
        <v>2.7027027027027031</v>
      </c>
      <c r="E72" s="108">
        <v>5.8759652509652538</v>
      </c>
      <c r="F72" s="108">
        <v>3.185328185328185</v>
      </c>
      <c r="G72" s="108">
        <v>50</v>
      </c>
      <c r="H72" s="108">
        <v>0</v>
      </c>
      <c r="I72" s="108">
        <v>0</v>
      </c>
      <c r="J72" s="108">
        <v>0</v>
      </c>
      <c r="K72" s="108">
        <v>0</v>
      </c>
      <c r="L72" s="108">
        <v>1</v>
      </c>
      <c r="M72" s="133">
        <v>0</v>
      </c>
      <c r="N72" s="133">
        <v>57</v>
      </c>
      <c r="O72" s="133">
        <v>99500</v>
      </c>
      <c r="P72" s="133">
        <v>0</v>
      </c>
      <c r="Q72" s="133">
        <v>0</v>
      </c>
      <c r="R72" s="133">
        <v>0</v>
      </c>
      <c r="S72" s="133">
        <v>0</v>
      </c>
    </row>
    <row r="73" spans="1:19">
      <c r="A73" s="88" t="s">
        <v>104</v>
      </c>
      <c r="B73" s="108">
        <v>3</v>
      </c>
      <c r="C73" s="108">
        <v>1</v>
      </c>
      <c r="D73" s="108">
        <v>12.548262548262549</v>
      </c>
      <c r="E73" s="108">
        <v>13.223938223938219</v>
      </c>
      <c r="F73" s="108">
        <v>4.2471042471042502</v>
      </c>
      <c r="G73" s="108">
        <v>50</v>
      </c>
      <c r="H73" s="108">
        <v>91.879826254826256</v>
      </c>
      <c r="I73" s="108">
        <v>0</v>
      </c>
      <c r="J73" s="108">
        <v>0</v>
      </c>
      <c r="K73" s="108">
        <v>0</v>
      </c>
      <c r="L73" s="108">
        <v>1</v>
      </c>
      <c r="M73" s="133">
        <v>0</v>
      </c>
      <c r="N73" s="133">
        <v>57</v>
      </c>
      <c r="O73" s="133">
        <v>99500</v>
      </c>
      <c r="P73" s="133">
        <v>0</v>
      </c>
      <c r="Q73" s="133">
        <v>0</v>
      </c>
      <c r="R73" s="133">
        <v>0</v>
      </c>
      <c r="S73" s="133">
        <v>0</v>
      </c>
    </row>
    <row r="74" spans="1:19">
      <c r="A74" s="88" t="s">
        <v>104</v>
      </c>
      <c r="B74" s="108">
        <v>4</v>
      </c>
      <c r="C74" s="108">
        <v>1</v>
      </c>
      <c r="D74" s="108">
        <v>7.9271235521235486</v>
      </c>
      <c r="E74" s="108">
        <v>20.837355212355209</v>
      </c>
      <c r="F74" s="108">
        <v>1.0617760617760601</v>
      </c>
      <c r="G74" s="108">
        <v>87.451737451737458</v>
      </c>
      <c r="H74" s="108">
        <v>8.7717181467181433</v>
      </c>
      <c r="I74" s="108">
        <v>0</v>
      </c>
      <c r="J74" s="108">
        <v>0</v>
      </c>
      <c r="K74" s="108">
        <v>0</v>
      </c>
      <c r="L74" s="108">
        <v>1</v>
      </c>
      <c r="M74" s="133">
        <v>0</v>
      </c>
      <c r="N74" s="133">
        <v>57</v>
      </c>
      <c r="O74" s="133">
        <v>99500</v>
      </c>
      <c r="P74" s="133">
        <v>0</v>
      </c>
      <c r="Q74" s="133">
        <v>0</v>
      </c>
      <c r="R74" s="133">
        <v>0</v>
      </c>
      <c r="S74" s="133">
        <v>0</v>
      </c>
    </row>
    <row r="75" spans="1:19">
      <c r="A75" s="88" t="s">
        <v>104</v>
      </c>
      <c r="B75" s="108">
        <v>5</v>
      </c>
      <c r="C75" s="108">
        <v>1</v>
      </c>
      <c r="D75" s="108">
        <v>2.2200772200772212</v>
      </c>
      <c r="E75" s="108">
        <v>5.7915057915057906</v>
      </c>
      <c r="F75" s="108">
        <v>2.7027027027027031</v>
      </c>
      <c r="G75" s="108">
        <v>87.548262548262542</v>
      </c>
      <c r="H75" s="108">
        <v>4.0419884169884179</v>
      </c>
      <c r="I75" s="108">
        <v>0</v>
      </c>
      <c r="J75" s="108">
        <v>0</v>
      </c>
      <c r="K75" s="108">
        <v>0</v>
      </c>
      <c r="L75" s="108">
        <v>1</v>
      </c>
      <c r="M75" s="133">
        <v>0</v>
      </c>
      <c r="N75" s="133">
        <v>57</v>
      </c>
      <c r="O75" s="133">
        <v>99500</v>
      </c>
      <c r="P75" s="133">
        <v>0</v>
      </c>
      <c r="Q75" s="133">
        <v>0</v>
      </c>
      <c r="R75" s="133">
        <v>0</v>
      </c>
      <c r="S75" s="133">
        <v>0</v>
      </c>
    </row>
    <row r="76" spans="1:19">
      <c r="A76" s="88" t="s">
        <v>104</v>
      </c>
      <c r="B76" s="108">
        <v>6</v>
      </c>
      <c r="C76" s="108">
        <v>1</v>
      </c>
      <c r="D76" s="108">
        <v>1.4599420849420841</v>
      </c>
      <c r="E76" s="108">
        <v>7.9995173745173727</v>
      </c>
      <c r="F76" s="108">
        <v>2.9922779922779918</v>
      </c>
      <c r="G76" s="108">
        <v>92.555501930501933</v>
      </c>
      <c r="H76" s="108">
        <v>1.4599420849420841</v>
      </c>
      <c r="I76" s="108">
        <v>0</v>
      </c>
      <c r="J76" s="108">
        <v>0</v>
      </c>
      <c r="K76" s="108">
        <v>0</v>
      </c>
      <c r="L76" s="108">
        <v>1</v>
      </c>
      <c r="M76" s="133">
        <v>0</v>
      </c>
      <c r="N76" s="133">
        <v>57</v>
      </c>
      <c r="O76" s="133">
        <v>99500</v>
      </c>
      <c r="P76" s="133">
        <v>0</v>
      </c>
      <c r="Q76" s="133">
        <v>0</v>
      </c>
      <c r="R76" s="133">
        <v>0</v>
      </c>
      <c r="S76" s="133">
        <v>0</v>
      </c>
    </row>
    <row r="77" spans="1:19">
      <c r="A77" s="88" t="s">
        <v>104</v>
      </c>
      <c r="B77" s="108">
        <v>7</v>
      </c>
      <c r="C77" s="108">
        <v>1</v>
      </c>
      <c r="D77" s="108">
        <v>9.6283783783783772</v>
      </c>
      <c r="E77" s="108">
        <v>2.7027027027027031</v>
      </c>
      <c r="F77" s="108">
        <v>2.232142857142855</v>
      </c>
      <c r="G77" s="108">
        <v>86.088320463320471</v>
      </c>
      <c r="H77" s="108">
        <v>6.4671814671814651</v>
      </c>
      <c r="I77" s="108">
        <v>0</v>
      </c>
      <c r="J77" s="108">
        <v>1</v>
      </c>
      <c r="K77" s="108">
        <v>0</v>
      </c>
      <c r="L77" s="108">
        <v>1</v>
      </c>
      <c r="M77" s="133">
        <v>0</v>
      </c>
      <c r="N77" s="133">
        <v>57</v>
      </c>
      <c r="O77" s="133">
        <v>99500</v>
      </c>
      <c r="P77" s="133">
        <v>0</v>
      </c>
      <c r="Q77" s="133">
        <v>0</v>
      </c>
      <c r="R77" s="133">
        <v>0</v>
      </c>
      <c r="S77" s="133">
        <v>0</v>
      </c>
    </row>
    <row r="78" spans="1:19">
      <c r="A78" s="88" t="s">
        <v>105</v>
      </c>
      <c r="B78" s="108">
        <v>4</v>
      </c>
      <c r="C78" s="108">
        <v>1</v>
      </c>
      <c r="D78" s="108">
        <v>6.6563944530046211</v>
      </c>
      <c r="E78" s="108">
        <v>66.625577812018491</v>
      </c>
      <c r="F78" s="108">
        <v>93.898305084745772</v>
      </c>
      <c r="G78" s="108">
        <v>4.7919876733436064</v>
      </c>
      <c r="H78" s="108">
        <v>91.895223420647156</v>
      </c>
      <c r="I78" s="108">
        <v>0</v>
      </c>
      <c r="J78" s="108">
        <v>0</v>
      </c>
      <c r="K78" s="108">
        <v>0</v>
      </c>
      <c r="L78" s="108">
        <v>1</v>
      </c>
      <c r="M78" s="133">
        <v>0</v>
      </c>
      <c r="N78" s="133">
        <v>20</v>
      </c>
      <c r="O78" s="133">
        <v>45000</v>
      </c>
      <c r="P78" s="133">
        <v>1</v>
      </c>
      <c r="Q78" s="133">
        <v>1</v>
      </c>
      <c r="R78" s="133">
        <v>0</v>
      </c>
      <c r="S78" s="133">
        <v>1</v>
      </c>
    </row>
    <row r="79" spans="1:19">
      <c r="A79" s="88" t="s">
        <v>105</v>
      </c>
      <c r="B79" s="108">
        <v>6</v>
      </c>
      <c r="C79" s="108">
        <v>1</v>
      </c>
      <c r="D79" s="108">
        <v>92.573189522342062</v>
      </c>
      <c r="E79" s="108">
        <v>50</v>
      </c>
      <c r="F79" s="108">
        <v>92.711864406779654</v>
      </c>
      <c r="G79" s="108">
        <v>93.651771956856706</v>
      </c>
      <c r="H79" s="108">
        <v>93.5130970724191</v>
      </c>
      <c r="I79" s="108">
        <v>0</v>
      </c>
      <c r="J79" s="108">
        <v>0</v>
      </c>
      <c r="K79" s="108">
        <v>1</v>
      </c>
      <c r="L79" s="108">
        <v>1</v>
      </c>
      <c r="M79" s="133">
        <v>0</v>
      </c>
      <c r="N79" s="133">
        <v>20</v>
      </c>
      <c r="O79" s="133">
        <v>45000</v>
      </c>
      <c r="P79" s="133">
        <v>1</v>
      </c>
      <c r="Q79" s="133">
        <v>1</v>
      </c>
      <c r="R79" s="133">
        <v>0</v>
      </c>
      <c r="S79" s="133">
        <v>1</v>
      </c>
    </row>
    <row r="80" spans="1:19">
      <c r="A80" s="88" t="s">
        <v>106</v>
      </c>
      <c r="B80" s="108">
        <v>1</v>
      </c>
      <c r="C80" s="108">
        <v>1</v>
      </c>
      <c r="D80" s="108">
        <v>5.9888947646747734</v>
      </c>
      <c r="E80" s="108">
        <v>1.745108408249602</v>
      </c>
      <c r="F80" s="108">
        <v>48.096245372818608</v>
      </c>
      <c r="G80" s="108">
        <v>94.011105235325232</v>
      </c>
      <c r="H80" s="108">
        <v>1.5732416710735051</v>
      </c>
      <c r="I80" s="108">
        <v>1</v>
      </c>
      <c r="J80" s="108">
        <v>0</v>
      </c>
      <c r="K80" s="108">
        <v>0</v>
      </c>
      <c r="L80" s="108">
        <v>1</v>
      </c>
      <c r="M80" s="133">
        <v>1</v>
      </c>
      <c r="N80" s="133">
        <v>40</v>
      </c>
      <c r="O80" s="133">
        <v>29000</v>
      </c>
      <c r="P80" s="133">
        <v>0</v>
      </c>
      <c r="Q80" s="133">
        <v>0</v>
      </c>
      <c r="R80" s="133">
        <v>0</v>
      </c>
      <c r="S80" s="133">
        <v>1</v>
      </c>
    </row>
    <row r="81" spans="1:19">
      <c r="A81" s="88" t="s">
        <v>106</v>
      </c>
      <c r="B81" s="108">
        <v>2</v>
      </c>
      <c r="C81" s="108">
        <v>1</v>
      </c>
      <c r="D81" s="108">
        <v>2.670544685351667</v>
      </c>
      <c r="E81" s="108">
        <v>31.99365415124273</v>
      </c>
      <c r="F81" s="108">
        <v>7.747223691168692</v>
      </c>
      <c r="G81" s="108">
        <v>89.846641988365946</v>
      </c>
      <c r="H81" s="108">
        <v>97.355896351136977</v>
      </c>
      <c r="I81" s="108">
        <v>0</v>
      </c>
      <c r="J81" s="108">
        <v>0</v>
      </c>
      <c r="K81" s="108">
        <v>0</v>
      </c>
      <c r="L81" s="108">
        <v>1</v>
      </c>
      <c r="M81" s="133">
        <v>1</v>
      </c>
      <c r="N81" s="133">
        <v>40</v>
      </c>
      <c r="O81" s="133">
        <v>29000</v>
      </c>
      <c r="P81" s="133">
        <v>0</v>
      </c>
      <c r="Q81" s="133">
        <v>0</v>
      </c>
      <c r="R81" s="133">
        <v>0</v>
      </c>
      <c r="S81" s="133">
        <v>1</v>
      </c>
    </row>
    <row r="82" spans="1:19">
      <c r="A82" s="88" t="s">
        <v>106</v>
      </c>
      <c r="B82" s="108">
        <v>4</v>
      </c>
      <c r="C82" s="108">
        <v>1</v>
      </c>
      <c r="D82" s="108">
        <v>35.536753040719198</v>
      </c>
      <c r="E82" s="108">
        <v>0</v>
      </c>
      <c r="F82" s="108">
        <v>1.1105235325224729</v>
      </c>
      <c r="G82" s="108">
        <v>91.604970914859862</v>
      </c>
      <c r="H82" s="108">
        <v>92.689053410893706</v>
      </c>
      <c r="I82" s="108">
        <v>0</v>
      </c>
      <c r="J82" s="108">
        <v>0</v>
      </c>
      <c r="K82" s="108">
        <v>0</v>
      </c>
      <c r="L82" s="108">
        <v>1</v>
      </c>
      <c r="M82" s="133">
        <v>1</v>
      </c>
      <c r="N82" s="133">
        <v>40</v>
      </c>
      <c r="O82" s="133">
        <v>29000</v>
      </c>
      <c r="P82" s="133">
        <v>0</v>
      </c>
      <c r="Q82" s="133">
        <v>0</v>
      </c>
      <c r="R82" s="133">
        <v>0</v>
      </c>
      <c r="S82" s="133">
        <v>1</v>
      </c>
    </row>
    <row r="83" spans="1:19">
      <c r="A83" s="88" t="s">
        <v>106</v>
      </c>
      <c r="B83" s="108">
        <v>5</v>
      </c>
      <c r="C83" s="108">
        <v>1</v>
      </c>
      <c r="D83" s="108">
        <v>18.997884717080911</v>
      </c>
      <c r="E83" s="108">
        <v>7.9323109465891051</v>
      </c>
      <c r="F83" s="108">
        <v>22.95081967213115</v>
      </c>
      <c r="G83" s="108">
        <v>50</v>
      </c>
      <c r="H83" s="108">
        <v>0.46271813855103261</v>
      </c>
      <c r="I83" s="108">
        <v>0</v>
      </c>
      <c r="J83" s="108">
        <v>0</v>
      </c>
      <c r="K83" s="108">
        <v>0</v>
      </c>
      <c r="L83" s="108">
        <v>1</v>
      </c>
      <c r="M83" s="133">
        <v>1</v>
      </c>
      <c r="N83" s="133">
        <v>40</v>
      </c>
      <c r="O83" s="133">
        <v>29000</v>
      </c>
      <c r="P83" s="133">
        <v>0</v>
      </c>
      <c r="Q83" s="133">
        <v>0</v>
      </c>
      <c r="R83" s="133">
        <v>0</v>
      </c>
      <c r="S83" s="133">
        <v>1</v>
      </c>
    </row>
    <row r="84" spans="1:19">
      <c r="A84" s="88" t="s">
        <v>106</v>
      </c>
      <c r="B84" s="108">
        <v>6</v>
      </c>
      <c r="C84" s="108">
        <v>1</v>
      </c>
      <c r="D84" s="108">
        <v>3.7678476996298231</v>
      </c>
      <c r="E84" s="108">
        <v>2.4061343204653638</v>
      </c>
      <c r="F84" s="108">
        <v>28.027498677948181</v>
      </c>
      <c r="G84" s="108">
        <v>62.691697514542582</v>
      </c>
      <c r="H84" s="108">
        <v>0.23796932839767471</v>
      </c>
      <c r="I84" s="108">
        <v>0</v>
      </c>
      <c r="J84" s="108">
        <v>0</v>
      </c>
      <c r="K84" s="108">
        <v>0</v>
      </c>
      <c r="L84" s="108">
        <v>1</v>
      </c>
      <c r="M84" s="133">
        <v>1</v>
      </c>
      <c r="N84" s="133">
        <v>40</v>
      </c>
      <c r="O84" s="133">
        <v>29000</v>
      </c>
      <c r="P84" s="133">
        <v>0</v>
      </c>
      <c r="Q84" s="133">
        <v>0</v>
      </c>
      <c r="R84" s="133">
        <v>0</v>
      </c>
      <c r="S84" s="133">
        <v>1</v>
      </c>
    </row>
    <row r="85" spans="1:19">
      <c r="A85" s="88" t="s">
        <v>106</v>
      </c>
      <c r="B85" s="108">
        <v>7</v>
      </c>
      <c r="C85" s="108">
        <v>1</v>
      </c>
      <c r="D85" s="108">
        <v>7.4828133262823897</v>
      </c>
      <c r="E85" s="108">
        <v>0.23796932839767471</v>
      </c>
      <c r="F85" s="108">
        <v>2.4325753569539921</v>
      </c>
      <c r="G85" s="108">
        <v>96.68164992067689</v>
      </c>
      <c r="H85" s="108">
        <v>92.028027498677957</v>
      </c>
      <c r="I85" s="108">
        <v>0</v>
      </c>
      <c r="J85" s="108">
        <v>1</v>
      </c>
      <c r="K85" s="108">
        <v>0</v>
      </c>
      <c r="L85" s="108">
        <v>1</v>
      </c>
      <c r="M85" s="133">
        <v>1</v>
      </c>
      <c r="N85" s="133">
        <v>40</v>
      </c>
      <c r="O85" s="133">
        <v>29000</v>
      </c>
      <c r="P85" s="133">
        <v>0</v>
      </c>
      <c r="Q85" s="133">
        <v>0</v>
      </c>
      <c r="R85" s="133">
        <v>0</v>
      </c>
      <c r="S85" s="133">
        <v>1</v>
      </c>
    </row>
    <row r="86" spans="1:19">
      <c r="A86" s="88" t="s">
        <v>107</v>
      </c>
      <c r="B86" s="108">
        <v>1</v>
      </c>
      <c r="C86" s="108">
        <v>1</v>
      </c>
      <c r="D86" s="108">
        <v>96.092619392185242</v>
      </c>
      <c r="E86" s="108">
        <v>97.190062711046792</v>
      </c>
      <c r="F86" s="108">
        <v>97.057404727448144</v>
      </c>
      <c r="G86" s="108">
        <v>50</v>
      </c>
      <c r="H86" s="108">
        <v>3.75060299083454</v>
      </c>
      <c r="I86" s="108">
        <v>1</v>
      </c>
      <c r="J86" s="108">
        <v>0</v>
      </c>
      <c r="K86" s="108">
        <v>1</v>
      </c>
      <c r="L86" s="108">
        <v>1</v>
      </c>
      <c r="M86" s="133">
        <v>0</v>
      </c>
      <c r="N86" s="133">
        <v>45</v>
      </c>
      <c r="O86" s="133">
        <v>15000</v>
      </c>
      <c r="P86" s="133">
        <v>0</v>
      </c>
      <c r="Q86" s="133">
        <v>1</v>
      </c>
      <c r="R86" s="133">
        <v>1</v>
      </c>
      <c r="S86" s="133">
        <v>1</v>
      </c>
    </row>
    <row r="87" spans="1:19">
      <c r="A87" s="88" t="s">
        <v>107</v>
      </c>
      <c r="B87" s="108">
        <v>2</v>
      </c>
      <c r="C87" s="108">
        <v>1</v>
      </c>
      <c r="D87" s="108">
        <v>97.793053545586105</v>
      </c>
      <c r="E87" s="108">
        <v>98.23926676314521</v>
      </c>
      <c r="F87" s="108">
        <v>99.939700916546073</v>
      </c>
      <c r="G87" s="108">
        <v>0.78388808490110762</v>
      </c>
      <c r="H87" s="108">
        <v>2.1587071876507489</v>
      </c>
      <c r="I87" s="108">
        <v>0</v>
      </c>
      <c r="J87" s="108">
        <v>0</v>
      </c>
      <c r="K87" s="108">
        <v>1</v>
      </c>
      <c r="L87" s="108">
        <v>1</v>
      </c>
      <c r="M87" s="133">
        <v>0</v>
      </c>
      <c r="N87" s="133">
        <v>45</v>
      </c>
      <c r="O87" s="133">
        <v>15000</v>
      </c>
      <c r="P87" s="133">
        <v>0</v>
      </c>
      <c r="Q87" s="133">
        <v>1</v>
      </c>
      <c r="R87" s="133">
        <v>1</v>
      </c>
      <c r="S87" s="133">
        <v>1</v>
      </c>
    </row>
    <row r="88" spans="1:19">
      <c r="A88" s="88" t="s">
        <v>107</v>
      </c>
      <c r="B88" s="108">
        <v>3</v>
      </c>
      <c r="C88" s="108">
        <v>1</v>
      </c>
      <c r="D88" s="108">
        <v>98.962855764592376</v>
      </c>
      <c r="E88" s="108">
        <v>100</v>
      </c>
      <c r="F88" s="108">
        <v>100</v>
      </c>
      <c r="G88" s="108">
        <v>1.0733236854799819</v>
      </c>
      <c r="H88" s="108">
        <v>2.6893391220453422</v>
      </c>
      <c r="I88" s="108">
        <v>0</v>
      </c>
      <c r="J88" s="108">
        <v>0</v>
      </c>
      <c r="K88" s="108">
        <v>1</v>
      </c>
      <c r="L88" s="108">
        <v>1</v>
      </c>
      <c r="M88" s="133">
        <v>0</v>
      </c>
      <c r="N88" s="133">
        <v>45</v>
      </c>
      <c r="O88" s="133">
        <v>15000</v>
      </c>
      <c r="P88" s="133">
        <v>0</v>
      </c>
      <c r="Q88" s="133">
        <v>1</v>
      </c>
      <c r="R88" s="133">
        <v>1</v>
      </c>
      <c r="S88" s="133">
        <v>1</v>
      </c>
    </row>
    <row r="89" spans="1:19">
      <c r="A89" s="88" t="s">
        <v>107</v>
      </c>
      <c r="B89" s="108">
        <v>4</v>
      </c>
      <c r="C89" s="108">
        <v>1</v>
      </c>
      <c r="D89" s="108">
        <v>98.70959961408586</v>
      </c>
      <c r="E89" s="108">
        <v>98.130728412928121</v>
      </c>
      <c r="F89" s="108">
        <v>97.395079594790161</v>
      </c>
      <c r="G89" s="108">
        <v>7.3806078147612144</v>
      </c>
      <c r="H89" s="108">
        <v>2.7978774722624218</v>
      </c>
      <c r="I89" s="108">
        <v>0</v>
      </c>
      <c r="J89" s="108">
        <v>0</v>
      </c>
      <c r="K89" s="108">
        <v>1</v>
      </c>
      <c r="L89" s="108">
        <v>1</v>
      </c>
      <c r="M89" s="133">
        <v>0</v>
      </c>
      <c r="N89" s="133">
        <v>45</v>
      </c>
      <c r="O89" s="133">
        <v>15000</v>
      </c>
      <c r="P89" s="133">
        <v>0</v>
      </c>
      <c r="Q89" s="133">
        <v>1</v>
      </c>
      <c r="R89" s="133">
        <v>1</v>
      </c>
      <c r="S89" s="133">
        <v>1</v>
      </c>
    </row>
    <row r="90" spans="1:19">
      <c r="A90" s="88" t="s">
        <v>107</v>
      </c>
      <c r="B90" s="108">
        <v>5</v>
      </c>
      <c r="C90" s="108">
        <v>1</v>
      </c>
      <c r="D90" s="108">
        <v>97.23830197780994</v>
      </c>
      <c r="E90" s="108">
        <v>93.656536420646404</v>
      </c>
      <c r="F90" s="108">
        <v>89.954172696575014</v>
      </c>
      <c r="G90" s="108">
        <v>7.5615050651230087</v>
      </c>
      <c r="H90" s="108">
        <v>4.3294741919922828</v>
      </c>
      <c r="I90" s="108">
        <v>0</v>
      </c>
      <c r="J90" s="108">
        <v>0</v>
      </c>
      <c r="K90" s="108">
        <v>1</v>
      </c>
      <c r="L90" s="108">
        <v>1</v>
      </c>
      <c r="M90" s="133">
        <v>0</v>
      </c>
      <c r="N90" s="133">
        <v>45</v>
      </c>
      <c r="O90" s="133">
        <v>15000</v>
      </c>
      <c r="P90" s="133">
        <v>0</v>
      </c>
      <c r="Q90" s="133">
        <v>1</v>
      </c>
      <c r="R90" s="133">
        <v>1</v>
      </c>
      <c r="S90" s="133">
        <v>1</v>
      </c>
    </row>
    <row r="91" spans="1:19">
      <c r="A91" s="88" t="s">
        <v>107</v>
      </c>
      <c r="B91" s="108">
        <v>6</v>
      </c>
      <c r="C91" s="108">
        <v>1</v>
      </c>
      <c r="D91" s="108">
        <v>87.614568258562457</v>
      </c>
      <c r="E91" s="108">
        <v>97.877472262421605</v>
      </c>
      <c r="F91" s="108">
        <v>96.972986010612644</v>
      </c>
      <c r="G91" s="108">
        <v>3.738543174143754</v>
      </c>
      <c r="H91" s="108">
        <v>2.5325615050651229</v>
      </c>
      <c r="I91" s="108">
        <v>0</v>
      </c>
      <c r="J91" s="108">
        <v>0</v>
      </c>
      <c r="K91" s="108">
        <v>1</v>
      </c>
      <c r="L91" s="108">
        <v>1</v>
      </c>
      <c r="M91" s="133">
        <v>0</v>
      </c>
      <c r="N91" s="133">
        <v>45</v>
      </c>
      <c r="O91" s="133">
        <v>15000</v>
      </c>
      <c r="P91" s="133">
        <v>0</v>
      </c>
      <c r="Q91" s="133">
        <v>1</v>
      </c>
      <c r="R91" s="133">
        <v>1</v>
      </c>
      <c r="S91" s="133">
        <v>1</v>
      </c>
    </row>
    <row r="92" spans="1:19">
      <c r="A92" s="88" t="s">
        <v>107</v>
      </c>
      <c r="B92" s="108">
        <v>7</v>
      </c>
      <c r="C92" s="108">
        <v>1</v>
      </c>
      <c r="D92" s="108">
        <v>2.2069464544138939</v>
      </c>
      <c r="E92" s="108">
        <v>99.903521466473705</v>
      </c>
      <c r="F92" s="108">
        <v>96.888567293777129</v>
      </c>
      <c r="G92" s="108">
        <v>1.8451519536903049</v>
      </c>
      <c r="H92" s="108">
        <v>3.738543174143754</v>
      </c>
      <c r="I92" s="108">
        <v>0</v>
      </c>
      <c r="J92" s="108">
        <v>1</v>
      </c>
      <c r="K92" s="108">
        <v>0</v>
      </c>
      <c r="L92" s="108">
        <v>1</v>
      </c>
      <c r="M92" s="133">
        <v>0</v>
      </c>
      <c r="N92" s="133">
        <v>45</v>
      </c>
      <c r="O92" s="133">
        <v>15000</v>
      </c>
      <c r="P92" s="133">
        <v>0</v>
      </c>
      <c r="Q92" s="133">
        <v>1</v>
      </c>
      <c r="R92" s="133">
        <v>1</v>
      </c>
      <c r="S92" s="133">
        <v>1</v>
      </c>
    </row>
    <row r="93" spans="1:19">
      <c r="A93" s="88" t="s">
        <v>108</v>
      </c>
      <c r="B93" s="108">
        <v>1</v>
      </c>
      <c r="C93" s="108">
        <v>1</v>
      </c>
      <c r="D93" s="108">
        <v>4.2860340196956113</v>
      </c>
      <c r="E93" s="108">
        <v>7.4082363473589989</v>
      </c>
      <c r="F93" s="108">
        <v>21.10564010743062</v>
      </c>
      <c r="G93" s="108">
        <v>89.894807520143232</v>
      </c>
      <c r="H93" s="108">
        <v>8.3258728737690255</v>
      </c>
      <c r="I93" s="108">
        <v>1</v>
      </c>
      <c r="J93" s="108">
        <v>0</v>
      </c>
      <c r="K93" s="108">
        <v>0</v>
      </c>
      <c r="L93" s="108">
        <v>1</v>
      </c>
      <c r="M93" s="133">
        <v>0</v>
      </c>
      <c r="N93" s="133">
        <v>41</v>
      </c>
      <c r="O93" s="133">
        <v>100000</v>
      </c>
      <c r="P93" s="133">
        <v>0</v>
      </c>
      <c r="Q93" s="133">
        <v>0</v>
      </c>
      <c r="R93" s="133">
        <v>0</v>
      </c>
      <c r="S93" s="133">
        <v>0</v>
      </c>
    </row>
    <row r="94" spans="1:19">
      <c r="A94" s="88" t="s">
        <v>108</v>
      </c>
      <c r="B94" s="108">
        <v>2</v>
      </c>
      <c r="C94" s="108">
        <v>1</v>
      </c>
      <c r="D94" s="108">
        <v>6.4122649955237252</v>
      </c>
      <c r="E94" s="108">
        <v>5.8751119068934656</v>
      </c>
      <c r="F94" s="108">
        <v>4.9798567591763652</v>
      </c>
      <c r="G94" s="108">
        <v>82.262757385854968</v>
      </c>
      <c r="H94" s="108">
        <v>0.86168307967771085</v>
      </c>
      <c r="I94" s="108">
        <v>0</v>
      </c>
      <c r="J94" s="108">
        <v>0</v>
      </c>
      <c r="K94" s="108">
        <v>0</v>
      </c>
      <c r="L94" s="108">
        <v>1</v>
      </c>
      <c r="M94" s="133">
        <v>0</v>
      </c>
      <c r="N94" s="133">
        <v>41</v>
      </c>
      <c r="O94" s="133">
        <v>100000</v>
      </c>
      <c r="P94" s="133">
        <v>0</v>
      </c>
      <c r="Q94" s="133">
        <v>0</v>
      </c>
      <c r="R94" s="133">
        <v>0</v>
      </c>
      <c r="S94" s="133">
        <v>0</v>
      </c>
    </row>
    <row r="95" spans="1:19">
      <c r="A95" s="88" t="s">
        <v>108</v>
      </c>
      <c r="B95" s="108">
        <v>4</v>
      </c>
      <c r="C95" s="108">
        <v>1</v>
      </c>
      <c r="D95" s="108">
        <v>18.224740321057599</v>
      </c>
      <c r="E95" s="108">
        <v>4.0722379603399421</v>
      </c>
      <c r="F95" s="108">
        <v>5.0519357884796996</v>
      </c>
      <c r="G95" s="108">
        <v>50</v>
      </c>
      <c r="H95" s="108">
        <v>17.858829084041549</v>
      </c>
      <c r="I95" s="108">
        <v>0</v>
      </c>
      <c r="J95" s="108">
        <v>0</v>
      </c>
      <c r="K95" s="108">
        <v>0</v>
      </c>
      <c r="L95" s="108">
        <v>1</v>
      </c>
      <c r="M95" s="133">
        <v>0</v>
      </c>
      <c r="N95" s="133">
        <v>41</v>
      </c>
      <c r="O95" s="133">
        <v>100000</v>
      </c>
      <c r="P95" s="133">
        <v>0</v>
      </c>
      <c r="Q95" s="133">
        <v>0</v>
      </c>
      <c r="R95" s="133">
        <v>0</v>
      </c>
      <c r="S95" s="133">
        <v>0</v>
      </c>
    </row>
    <row r="96" spans="1:19">
      <c r="A96" s="88" t="s">
        <v>108</v>
      </c>
      <c r="B96" s="108">
        <v>6</v>
      </c>
      <c r="C96" s="108">
        <v>1</v>
      </c>
      <c r="D96" s="108">
        <v>2.8210576015108568</v>
      </c>
      <c r="E96" s="108">
        <v>0.99150141643059575</v>
      </c>
      <c r="F96" s="108">
        <v>11.118980169971669</v>
      </c>
      <c r="G96" s="108">
        <v>96.718602455146367</v>
      </c>
      <c r="H96" s="108">
        <v>0</v>
      </c>
      <c r="I96" s="108">
        <v>0</v>
      </c>
      <c r="J96" s="108">
        <v>0</v>
      </c>
      <c r="K96" s="108">
        <v>0</v>
      </c>
      <c r="L96" s="108">
        <v>1</v>
      </c>
      <c r="M96" s="133">
        <v>0</v>
      </c>
      <c r="N96" s="133">
        <v>41</v>
      </c>
      <c r="O96" s="133">
        <v>100000</v>
      </c>
      <c r="P96" s="133">
        <v>0</v>
      </c>
      <c r="Q96" s="133">
        <v>0</v>
      </c>
      <c r="R96" s="133">
        <v>0</v>
      </c>
      <c r="S96" s="133">
        <v>0</v>
      </c>
    </row>
    <row r="97" spans="1:19">
      <c r="A97" s="88" t="s">
        <v>108</v>
      </c>
      <c r="B97" s="108">
        <v>7</v>
      </c>
      <c r="C97" s="108">
        <v>1</v>
      </c>
      <c r="D97" s="108">
        <v>4.4027384324834777</v>
      </c>
      <c r="E97" s="108">
        <v>1.8649669499527839</v>
      </c>
      <c r="F97" s="108">
        <v>3.682719546742208</v>
      </c>
      <c r="G97" s="108">
        <v>94.85363550519358</v>
      </c>
      <c r="H97" s="108">
        <v>3.682719546742208</v>
      </c>
      <c r="I97" s="108">
        <v>0</v>
      </c>
      <c r="J97" s="108">
        <v>1</v>
      </c>
      <c r="K97" s="108">
        <v>0</v>
      </c>
      <c r="L97" s="108">
        <v>1</v>
      </c>
      <c r="M97" s="133">
        <v>0</v>
      </c>
      <c r="N97" s="133">
        <v>41</v>
      </c>
      <c r="O97" s="133">
        <v>100000</v>
      </c>
      <c r="P97" s="133">
        <v>0</v>
      </c>
      <c r="Q97" s="133">
        <v>0</v>
      </c>
      <c r="R97" s="133">
        <v>0</v>
      </c>
      <c r="S97" s="133">
        <v>0</v>
      </c>
    </row>
    <row r="98" spans="1:19">
      <c r="A98" s="88" t="s">
        <v>109</v>
      </c>
      <c r="B98" s="108">
        <v>1</v>
      </c>
      <c r="C98" s="108">
        <v>1</v>
      </c>
      <c r="D98" s="108">
        <v>93.620912220309819</v>
      </c>
      <c r="E98" s="108">
        <v>94.997848537005169</v>
      </c>
      <c r="F98" s="108">
        <v>91.146729776247852</v>
      </c>
      <c r="G98" s="108">
        <v>50</v>
      </c>
      <c r="H98" s="108">
        <v>10.585197934595531</v>
      </c>
      <c r="I98" s="108">
        <v>1</v>
      </c>
      <c r="J98" s="108">
        <v>0</v>
      </c>
      <c r="K98" s="108">
        <v>1</v>
      </c>
      <c r="L98" s="108">
        <v>1</v>
      </c>
      <c r="M98" s="133">
        <v>0</v>
      </c>
      <c r="N98" s="133">
        <v>37</v>
      </c>
      <c r="O98" s="133">
        <v>32000</v>
      </c>
      <c r="P98" s="133">
        <v>1</v>
      </c>
      <c r="Q98" s="133">
        <v>1</v>
      </c>
      <c r="R98" s="133">
        <v>1</v>
      </c>
      <c r="S98" s="133">
        <v>1</v>
      </c>
    </row>
    <row r="99" spans="1:19">
      <c r="A99" s="88" t="s">
        <v>109</v>
      </c>
      <c r="B99" s="108">
        <v>2</v>
      </c>
      <c r="C99" s="108">
        <v>1</v>
      </c>
      <c r="D99" s="108">
        <v>3.6144578313253022</v>
      </c>
      <c r="E99" s="108">
        <v>91.759896729776244</v>
      </c>
      <c r="F99" s="108">
        <v>3.5391566265060241</v>
      </c>
      <c r="G99" s="108">
        <v>10.25172117039587</v>
      </c>
      <c r="H99" s="108">
        <v>10.23020654044751</v>
      </c>
      <c r="I99" s="108">
        <v>0</v>
      </c>
      <c r="J99" s="108">
        <v>0</v>
      </c>
      <c r="K99" s="108">
        <v>0</v>
      </c>
      <c r="L99" s="108">
        <v>1</v>
      </c>
      <c r="M99" s="133">
        <v>0</v>
      </c>
      <c r="N99" s="133">
        <v>37</v>
      </c>
      <c r="O99" s="133">
        <v>32000</v>
      </c>
      <c r="P99" s="133">
        <v>1</v>
      </c>
      <c r="Q99" s="133">
        <v>1</v>
      </c>
      <c r="R99" s="133">
        <v>1</v>
      </c>
      <c r="S99" s="133">
        <v>1</v>
      </c>
    </row>
    <row r="100" spans="1:19">
      <c r="A100" s="88" t="s">
        <v>109</v>
      </c>
      <c r="B100" s="108">
        <v>3</v>
      </c>
      <c r="C100" s="108">
        <v>1</v>
      </c>
      <c r="D100" s="108">
        <v>17.641996557659208</v>
      </c>
      <c r="E100" s="108">
        <v>0.87134251290877929</v>
      </c>
      <c r="F100" s="108">
        <v>97.934595524956976</v>
      </c>
      <c r="G100" s="108">
        <v>2.2267641996557681</v>
      </c>
      <c r="H100" s="108">
        <v>98.537005163511182</v>
      </c>
      <c r="I100" s="108">
        <v>0</v>
      </c>
      <c r="J100" s="108">
        <v>0</v>
      </c>
      <c r="K100" s="108">
        <v>0</v>
      </c>
      <c r="L100" s="108">
        <v>1</v>
      </c>
      <c r="M100" s="133">
        <v>0</v>
      </c>
      <c r="N100" s="133">
        <v>37</v>
      </c>
      <c r="O100" s="133">
        <v>32000</v>
      </c>
      <c r="P100" s="133">
        <v>1</v>
      </c>
      <c r="Q100" s="133">
        <v>1</v>
      </c>
      <c r="R100" s="133">
        <v>1</v>
      </c>
      <c r="S100" s="133">
        <v>1</v>
      </c>
    </row>
    <row r="101" spans="1:19">
      <c r="A101" s="88" t="s">
        <v>109</v>
      </c>
      <c r="B101" s="108">
        <v>4</v>
      </c>
      <c r="C101" s="108">
        <v>1</v>
      </c>
      <c r="D101" s="108">
        <v>93.28743545611016</v>
      </c>
      <c r="E101" s="108">
        <v>93.975903614457835</v>
      </c>
      <c r="F101" s="108">
        <v>95.524956970740106</v>
      </c>
      <c r="G101" s="108">
        <v>2.743115318416522</v>
      </c>
      <c r="H101" s="108">
        <v>6.7125645438898429</v>
      </c>
      <c r="I101" s="108">
        <v>0</v>
      </c>
      <c r="J101" s="108">
        <v>0</v>
      </c>
      <c r="K101" s="108">
        <v>1</v>
      </c>
      <c r="L101" s="108">
        <v>1</v>
      </c>
      <c r="M101" s="133">
        <v>0</v>
      </c>
      <c r="N101" s="133">
        <v>37</v>
      </c>
      <c r="O101" s="133">
        <v>32000</v>
      </c>
      <c r="P101" s="133">
        <v>1</v>
      </c>
      <c r="Q101" s="133">
        <v>1</v>
      </c>
      <c r="R101" s="133">
        <v>1</v>
      </c>
      <c r="S101" s="133">
        <v>1</v>
      </c>
    </row>
    <row r="102" spans="1:19">
      <c r="A102" s="88" t="s">
        <v>109</v>
      </c>
      <c r="B102" s="108">
        <v>5</v>
      </c>
      <c r="C102" s="108">
        <v>1</v>
      </c>
      <c r="D102" s="108">
        <v>0.33347676419965833</v>
      </c>
      <c r="E102" s="108">
        <v>95.514199655765921</v>
      </c>
      <c r="F102" s="108">
        <v>91.135972461273667</v>
      </c>
      <c r="G102" s="108">
        <v>2.4956970740103279</v>
      </c>
      <c r="H102" s="108">
        <v>8.2723752151462993</v>
      </c>
      <c r="I102" s="108">
        <v>0</v>
      </c>
      <c r="J102" s="108">
        <v>0</v>
      </c>
      <c r="K102" s="108">
        <v>0</v>
      </c>
      <c r="L102" s="108">
        <v>1</v>
      </c>
      <c r="M102" s="133">
        <v>0</v>
      </c>
      <c r="N102" s="133">
        <v>37</v>
      </c>
      <c r="O102" s="133">
        <v>32000</v>
      </c>
      <c r="P102" s="133">
        <v>1</v>
      </c>
      <c r="Q102" s="133">
        <v>1</v>
      </c>
      <c r="R102" s="133">
        <v>1</v>
      </c>
      <c r="S102" s="133">
        <v>1</v>
      </c>
    </row>
    <row r="103" spans="1:19">
      <c r="A103" s="88" t="s">
        <v>109</v>
      </c>
      <c r="B103" s="108">
        <v>6</v>
      </c>
      <c r="C103" s="108">
        <v>1</v>
      </c>
      <c r="D103" s="108">
        <v>88.801635111876081</v>
      </c>
      <c r="E103" s="108">
        <v>2.4096385542168699</v>
      </c>
      <c r="F103" s="108">
        <v>0</v>
      </c>
      <c r="G103" s="108">
        <v>95.438898450946638</v>
      </c>
      <c r="H103" s="108">
        <v>3.7758175559380378</v>
      </c>
      <c r="I103" s="108">
        <v>0</v>
      </c>
      <c r="J103" s="108">
        <v>0</v>
      </c>
      <c r="K103" s="108">
        <v>1</v>
      </c>
      <c r="L103" s="108">
        <v>1</v>
      </c>
      <c r="M103" s="133">
        <v>0</v>
      </c>
      <c r="N103" s="133">
        <v>37</v>
      </c>
      <c r="O103" s="133">
        <v>32000</v>
      </c>
      <c r="P103" s="133">
        <v>1</v>
      </c>
      <c r="Q103" s="133">
        <v>1</v>
      </c>
      <c r="R103" s="133">
        <v>1</v>
      </c>
      <c r="S103" s="133">
        <v>1</v>
      </c>
    </row>
    <row r="104" spans="1:19">
      <c r="A104" s="88" t="s">
        <v>110</v>
      </c>
      <c r="B104" s="108">
        <v>1</v>
      </c>
      <c r="C104" s="108">
        <v>1</v>
      </c>
      <c r="D104" s="108">
        <v>0</v>
      </c>
      <c r="E104" s="108">
        <v>76.610475617098132</v>
      </c>
      <c r="F104" s="108">
        <v>91.852297812562711</v>
      </c>
      <c r="G104" s="108">
        <v>15.73349387918924</v>
      </c>
      <c r="H104" s="108">
        <v>21.42283764800321</v>
      </c>
      <c r="I104" s="108">
        <v>1</v>
      </c>
      <c r="J104" s="108">
        <v>0</v>
      </c>
      <c r="K104" s="108">
        <v>0</v>
      </c>
      <c r="L104" s="108">
        <v>1</v>
      </c>
      <c r="M104" s="133">
        <v>0</v>
      </c>
      <c r="N104" s="133">
        <v>24</v>
      </c>
      <c r="O104" s="133">
        <v>65000</v>
      </c>
      <c r="P104" s="133">
        <v>1</v>
      </c>
      <c r="Q104" s="133">
        <v>1</v>
      </c>
      <c r="R104" s="133">
        <v>0</v>
      </c>
      <c r="S104" s="133">
        <v>0</v>
      </c>
    </row>
    <row r="105" spans="1:19">
      <c r="A105" s="88" t="s">
        <v>110</v>
      </c>
      <c r="B105" s="108">
        <v>2</v>
      </c>
      <c r="C105" s="108">
        <v>1</v>
      </c>
      <c r="D105" s="108">
        <v>94.111570247933884</v>
      </c>
      <c r="E105" s="108">
        <v>90.981404958677686</v>
      </c>
      <c r="F105" s="108">
        <v>86.900826446280988</v>
      </c>
      <c r="G105" s="108">
        <v>20.196280991735541</v>
      </c>
      <c r="H105" s="108">
        <v>6.5082644628099207</v>
      </c>
      <c r="I105" s="108">
        <v>0</v>
      </c>
      <c r="J105" s="108">
        <v>0</v>
      </c>
      <c r="K105" s="108">
        <v>1</v>
      </c>
      <c r="L105" s="108">
        <v>1</v>
      </c>
      <c r="M105" s="133">
        <v>0</v>
      </c>
      <c r="N105" s="133">
        <v>24</v>
      </c>
      <c r="O105" s="133">
        <v>65000</v>
      </c>
      <c r="P105" s="133">
        <v>1</v>
      </c>
      <c r="Q105" s="133">
        <v>1</v>
      </c>
      <c r="R105" s="133">
        <v>0</v>
      </c>
      <c r="S105" s="133">
        <v>0</v>
      </c>
    </row>
    <row r="106" spans="1:19">
      <c r="A106" s="88" t="s">
        <v>110</v>
      </c>
      <c r="B106" s="108">
        <v>3</v>
      </c>
      <c r="C106" s="108">
        <v>1</v>
      </c>
      <c r="D106" s="108">
        <v>92.913223140495873</v>
      </c>
      <c r="E106" s="108">
        <v>75.09297520661157</v>
      </c>
      <c r="F106" s="108">
        <v>90.030991735537185</v>
      </c>
      <c r="G106" s="108">
        <v>7.6239669421487637</v>
      </c>
      <c r="H106" s="108">
        <v>14.948347107438019</v>
      </c>
      <c r="I106" s="108">
        <v>0</v>
      </c>
      <c r="J106" s="108">
        <v>0</v>
      </c>
      <c r="K106" s="108">
        <v>1</v>
      </c>
      <c r="L106" s="108">
        <v>1</v>
      </c>
      <c r="M106" s="133">
        <v>0</v>
      </c>
      <c r="N106" s="133">
        <v>24</v>
      </c>
      <c r="O106" s="133">
        <v>65000</v>
      </c>
      <c r="P106" s="133">
        <v>1</v>
      </c>
      <c r="Q106" s="133">
        <v>1</v>
      </c>
      <c r="R106" s="133">
        <v>0</v>
      </c>
      <c r="S106" s="133">
        <v>0</v>
      </c>
    </row>
    <row r="107" spans="1:19">
      <c r="A107" s="88" t="s">
        <v>110</v>
      </c>
      <c r="B107" s="108">
        <v>4</v>
      </c>
      <c r="C107" s="108">
        <v>1</v>
      </c>
      <c r="D107" s="108">
        <v>7.572314049586776</v>
      </c>
      <c r="E107" s="108">
        <v>14.22520661157025</v>
      </c>
      <c r="F107" s="108">
        <v>5.5061983471074383</v>
      </c>
      <c r="G107" s="108">
        <v>70</v>
      </c>
      <c r="H107" s="108">
        <v>94.493801652892557</v>
      </c>
      <c r="I107" s="108">
        <v>0</v>
      </c>
      <c r="J107" s="108">
        <v>0</v>
      </c>
      <c r="K107" s="108">
        <v>0</v>
      </c>
      <c r="L107" s="108">
        <v>1</v>
      </c>
      <c r="M107" s="133">
        <v>0</v>
      </c>
      <c r="N107" s="133">
        <v>24</v>
      </c>
      <c r="O107" s="133">
        <v>65000</v>
      </c>
      <c r="P107" s="133">
        <v>1</v>
      </c>
      <c r="Q107" s="133">
        <v>1</v>
      </c>
      <c r="R107" s="133">
        <v>0</v>
      </c>
      <c r="S107" s="133">
        <v>0</v>
      </c>
    </row>
    <row r="108" spans="1:19">
      <c r="A108" s="88" t="s">
        <v>110</v>
      </c>
      <c r="B108" s="108">
        <v>5</v>
      </c>
      <c r="C108" s="108">
        <v>1</v>
      </c>
      <c r="D108" s="108">
        <v>92.045454545454547</v>
      </c>
      <c r="E108" s="108">
        <v>0</v>
      </c>
      <c r="F108" s="108">
        <v>82.262396694214885</v>
      </c>
      <c r="G108" s="108">
        <v>9.9173553719008272</v>
      </c>
      <c r="H108" s="108">
        <v>14.380165289256199</v>
      </c>
      <c r="I108" s="108">
        <v>0</v>
      </c>
      <c r="J108" s="108">
        <v>0</v>
      </c>
      <c r="K108" s="108">
        <v>1</v>
      </c>
      <c r="L108" s="108">
        <v>1</v>
      </c>
      <c r="M108" s="133">
        <v>0</v>
      </c>
      <c r="N108" s="133">
        <v>24</v>
      </c>
      <c r="O108" s="133">
        <v>65000</v>
      </c>
      <c r="P108" s="133">
        <v>1</v>
      </c>
      <c r="Q108" s="133">
        <v>1</v>
      </c>
      <c r="R108" s="133">
        <v>0</v>
      </c>
      <c r="S108" s="133">
        <v>0</v>
      </c>
    </row>
    <row r="109" spans="1:19">
      <c r="A109" s="88" t="s">
        <v>110</v>
      </c>
      <c r="B109" s="108">
        <v>6</v>
      </c>
      <c r="C109" s="108">
        <v>1</v>
      </c>
      <c r="D109" s="108">
        <v>17.448347107438021</v>
      </c>
      <c r="E109" s="108">
        <v>7.6549586776859524</v>
      </c>
      <c r="F109" s="108">
        <v>8.7603305785123986</v>
      </c>
      <c r="G109" s="108">
        <v>85.971074380165291</v>
      </c>
      <c r="H109" s="108">
        <v>8.7086776859504162</v>
      </c>
      <c r="I109" s="108">
        <v>0</v>
      </c>
      <c r="J109" s="108">
        <v>0</v>
      </c>
      <c r="K109" s="108">
        <v>0</v>
      </c>
      <c r="L109" s="108">
        <v>1</v>
      </c>
      <c r="M109" s="133">
        <v>0</v>
      </c>
      <c r="N109" s="133">
        <v>24</v>
      </c>
      <c r="O109" s="133">
        <v>65000</v>
      </c>
      <c r="P109" s="133">
        <v>1</v>
      </c>
      <c r="Q109" s="133">
        <v>1</v>
      </c>
      <c r="R109" s="133">
        <v>0</v>
      </c>
      <c r="S109" s="133">
        <v>0</v>
      </c>
    </row>
    <row r="110" spans="1:19">
      <c r="A110" s="88" t="s">
        <v>110</v>
      </c>
      <c r="B110" s="108">
        <v>7</v>
      </c>
      <c r="C110" s="108">
        <v>1</v>
      </c>
      <c r="D110" s="108">
        <v>50</v>
      </c>
      <c r="E110" s="108">
        <v>76.074468085106389</v>
      </c>
      <c r="F110" s="108">
        <v>100</v>
      </c>
      <c r="G110" s="108">
        <v>21.574468085106378</v>
      </c>
      <c r="H110" s="108">
        <v>8.9361702127659584</v>
      </c>
      <c r="I110" s="108">
        <v>0</v>
      </c>
      <c r="J110" s="108">
        <v>1</v>
      </c>
      <c r="K110" s="108">
        <v>1</v>
      </c>
      <c r="L110" s="108">
        <v>1</v>
      </c>
      <c r="M110" s="133">
        <v>0</v>
      </c>
      <c r="N110" s="133">
        <v>24</v>
      </c>
      <c r="O110" s="133">
        <v>65000</v>
      </c>
      <c r="P110" s="133">
        <v>1</v>
      </c>
      <c r="Q110" s="133">
        <v>1</v>
      </c>
      <c r="R110" s="133">
        <v>0</v>
      </c>
      <c r="S110" s="133">
        <v>0</v>
      </c>
    </row>
    <row r="111" spans="1:19">
      <c r="A111" s="88" t="s">
        <v>111</v>
      </c>
      <c r="B111" s="108">
        <v>1</v>
      </c>
      <c r="C111" s="108">
        <v>1</v>
      </c>
      <c r="D111" s="108">
        <v>94.350212022948369</v>
      </c>
      <c r="E111" s="108">
        <v>93.938638064355203</v>
      </c>
      <c r="F111" s="108">
        <v>88.987278623098035</v>
      </c>
      <c r="G111" s="108">
        <v>50</v>
      </c>
      <c r="H111" s="108">
        <v>13.13295086056373</v>
      </c>
      <c r="I111" s="108">
        <v>1</v>
      </c>
      <c r="J111" s="108">
        <v>0</v>
      </c>
      <c r="K111" s="108">
        <v>1</v>
      </c>
      <c r="L111" s="108">
        <v>1</v>
      </c>
      <c r="M111" s="133">
        <v>1</v>
      </c>
      <c r="N111" s="133">
        <v>40</v>
      </c>
      <c r="O111" s="133">
        <v>250000</v>
      </c>
      <c r="P111" s="133">
        <v>0</v>
      </c>
      <c r="Q111" s="133">
        <v>0</v>
      </c>
      <c r="R111" s="133">
        <v>1</v>
      </c>
      <c r="S111" s="133">
        <v>1</v>
      </c>
    </row>
    <row r="112" spans="1:19">
      <c r="A112" s="88" t="s">
        <v>111</v>
      </c>
      <c r="B112" s="108">
        <v>4</v>
      </c>
      <c r="C112" s="108">
        <v>1</v>
      </c>
      <c r="D112" s="108">
        <v>96.333250187079074</v>
      </c>
      <c r="E112" s="108">
        <v>98.515839361436775</v>
      </c>
      <c r="F112" s="108">
        <v>6.1611374407582904</v>
      </c>
      <c r="G112" s="108">
        <v>97.617859815415315</v>
      </c>
      <c r="H112" s="108">
        <v>97.168870042404592</v>
      </c>
      <c r="I112" s="108">
        <v>0</v>
      </c>
      <c r="J112" s="108">
        <v>0</v>
      </c>
      <c r="K112" s="108">
        <v>1</v>
      </c>
      <c r="L112" s="108">
        <v>1</v>
      </c>
      <c r="M112" s="133">
        <v>1</v>
      </c>
      <c r="N112" s="133">
        <v>40</v>
      </c>
      <c r="O112" s="133">
        <v>250000</v>
      </c>
      <c r="P112" s="133">
        <v>0</v>
      </c>
      <c r="Q112" s="133">
        <v>0</v>
      </c>
      <c r="R112" s="133">
        <v>1</v>
      </c>
      <c r="S112" s="133">
        <v>1</v>
      </c>
    </row>
    <row r="113" spans="1:19">
      <c r="A113" s="88" t="s">
        <v>111</v>
      </c>
      <c r="B113" s="108">
        <v>6</v>
      </c>
      <c r="C113" s="108">
        <v>1</v>
      </c>
      <c r="D113" s="108">
        <v>96.595160888001999</v>
      </c>
      <c r="E113" s="108">
        <v>89.049638313793963</v>
      </c>
      <c r="F113" s="108">
        <v>4.2903467198802669</v>
      </c>
      <c r="G113" s="108">
        <v>90.533798952357202</v>
      </c>
      <c r="H113" s="108">
        <v>90.458967323522074</v>
      </c>
      <c r="I113" s="108">
        <v>0</v>
      </c>
      <c r="J113" s="108">
        <v>0</v>
      </c>
      <c r="K113" s="108">
        <v>1</v>
      </c>
      <c r="L113" s="108">
        <v>1</v>
      </c>
      <c r="M113" s="133">
        <v>1</v>
      </c>
      <c r="N113" s="133">
        <v>40</v>
      </c>
      <c r="O113" s="133">
        <v>250000</v>
      </c>
      <c r="P113" s="133">
        <v>0</v>
      </c>
      <c r="Q113" s="133">
        <v>0</v>
      </c>
      <c r="R113" s="133">
        <v>1</v>
      </c>
      <c r="S113" s="133">
        <v>1</v>
      </c>
    </row>
    <row r="114" spans="1:19">
      <c r="A114" s="88" t="s">
        <v>112</v>
      </c>
      <c r="B114" s="108">
        <v>1</v>
      </c>
      <c r="C114" s="108">
        <v>1</v>
      </c>
      <c r="D114" s="108">
        <v>5.9576647319904419</v>
      </c>
      <c r="E114" s="108">
        <v>6.8225788096050959</v>
      </c>
      <c r="F114" s="108">
        <v>4.4497553203596221</v>
      </c>
      <c r="G114" s="108">
        <v>95.453510868328209</v>
      </c>
      <c r="H114" s="108">
        <v>8.1540912711960836</v>
      </c>
      <c r="I114" s="108">
        <v>1</v>
      </c>
      <c r="J114" s="108">
        <v>0</v>
      </c>
      <c r="K114" s="108">
        <v>0</v>
      </c>
      <c r="L114" s="108">
        <v>1</v>
      </c>
      <c r="M114" s="133">
        <v>1</v>
      </c>
      <c r="N114" s="133">
        <v>25</v>
      </c>
      <c r="O114" s="133">
        <v>-99</v>
      </c>
      <c r="P114" s="133">
        <v>0</v>
      </c>
      <c r="Q114" s="133">
        <v>0</v>
      </c>
      <c r="R114" s="133">
        <v>0</v>
      </c>
      <c r="S114" s="133">
        <v>0</v>
      </c>
    </row>
    <row r="115" spans="1:19">
      <c r="A115" s="88" t="s">
        <v>112</v>
      </c>
      <c r="B115" s="108">
        <v>2</v>
      </c>
      <c r="C115" s="108">
        <v>1</v>
      </c>
      <c r="D115" s="108">
        <v>1.8038010697621509</v>
      </c>
      <c r="E115" s="108">
        <v>2.9304654603391378</v>
      </c>
      <c r="F115" s="108">
        <v>2.1736656424263092</v>
      </c>
      <c r="G115" s="108">
        <v>86.184135654944811</v>
      </c>
      <c r="H115" s="108">
        <v>2.9304654603391378</v>
      </c>
      <c r="I115" s="108">
        <v>0</v>
      </c>
      <c r="J115" s="108">
        <v>0</v>
      </c>
      <c r="K115" s="108">
        <v>0</v>
      </c>
      <c r="L115" s="108">
        <v>1</v>
      </c>
      <c r="M115" s="133">
        <v>1</v>
      </c>
      <c r="N115" s="133">
        <v>25</v>
      </c>
      <c r="O115" s="133">
        <v>-99</v>
      </c>
      <c r="P115" s="133">
        <v>0</v>
      </c>
      <c r="Q115" s="133">
        <v>0</v>
      </c>
      <c r="R115" s="133">
        <v>0</v>
      </c>
      <c r="S115" s="133">
        <v>0</v>
      </c>
    </row>
    <row r="116" spans="1:19">
      <c r="A116" s="88" t="s">
        <v>112</v>
      </c>
      <c r="B116" s="108">
        <v>3</v>
      </c>
      <c r="C116" s="108">
        <v>1</v>
      </c>
      <c r="D116" s="108">
        <v>5.4910663480141118</v>
      </c>
      <c r="E116" s="108">
        <v>4.8480710139979513</v>
      </c>
      <c r="F116" s="108">
        <v>3.2206668942756371</v>
      </c>
      <c r="G116" s="108">
        <v>86.457266416296804</v>
      </c>
      <c r="H116" s="108">
        <v>8.7117332422897427</v>
      </c>
      <c r="I116" s="108">
        <v>0</v>
      </c>
      <c r="J116" s="108">
        <v>0</v>
      </c>
      <c r="K116" s="108">
        <v>0</v>
      </c>
      <c r="L116" s="108">
        <v>1</v>
      </c>
      <c r="M116" s="133">
        <v>1</v>
      </c>
      <c r="N116" s="133">
        <v>25</v>
      </c>
      <c r="O116" s="133">
        <v>-99</v>
      </c>
      <c r="P116" s="133">
        <v>0</v>
      </c>
      <c r="Q116" s="133">
        <v>0</v>
      </c>
      <c r="R116" s="133">
        <v>0</v>
      </c>
      <c r="S116" s="133">
        <v>0</v>
      </c>
    </row>
    <row r="117" spans="1:19">
      <c r="A117" s="88" t="s">
        <v>112</v>
      </c>
      <c r="B117" s="108">
        <v>4</v>
      </c>
      <c r="C117" s="108">
        <v>1</v>
      </c>
      <c r="D117" s="108">
        <v>2.5900771267411078</v>
      </c>
      <c r="E117" s="108">
        <v>7.5572694831357197</v>
      </c>
      <c r="F117" s="108">
        <v>0</v>
      </c>
      <c r="G117" s="108">
        <v>87.214066234209625</v>
      </c>
      <c r="H117" s="108">
        <v>3.9831569363832919</v>
      </c>
      <c r="I117" s="108">
        <v>0</v>
      </c>
      <c r="J117" s="108">
        <v>0</v>
      </c>
      <c r="K117" s="108">
        <v>0</v>
      </c>
      <c r="L117" s="108">
        <v>1</v>
      </c>
      <c r="M117" s="133">
        <v>1</v>
      </c>
      <c r="N117" s="133">
        <v>25</v>
      </c>
      <c r="O117" s="133">
        <v>-99</v>
      </c>
      <c r="P117" s="133">
        <v>0</v>
      </c>
      <c r="Q117" s="133">
        <v>0</v>
      </c>
      <c r="R117" s="133">
        <v>0</v>
      </c>
      <c r="S117" s="133">
        <v>0</v>
      </c>
    </row>
    <row r="118" spans="1:19">
      <c r="A118" s="88" t="s">
        <v>112</v>
      </c>
      <c r="B118" s="108">
        <v>5</v>
      </c>
      <c r="C118" s="108">
        <v>1</v>
      </c>
      <c r="D118" s="108">
        <v>90.457446808510639</v>
      </c>
      <c r="E118" s="108">
        <v>50</v>
      </c>
      <c r="F118" s="108">
        <v>19.840425531914899</v>
      </c>
      <c r="G118" s="108">
        <v>17.531914893617021</v>
      </c>
      <c r="H118" s="108">
        <v>50</v>
      </c>
      <c r="I118" s="108">
        <v>0</v>
      </c>
      <c r="J118" s="108">
        <v>0</v>
      </c>
      <c r="K118" s="108">
        <v>1</v>
      </c>
      <c r="L118" s="108">
        <v>1</v>
      </c>
      <c r="M118" s="133">
        <v>1</v>
      </c>
      <c r="N118" s="133">
        <v>25</v>
      </c>
      <c r="O118" s="133">
        <v>-99</v>
      </c>
      <c r="P118" s="133">
        <v>0</v>
      </c>
      <c r="Q118" s="133">
        <v>0</v>
      </c>
      <c r="R118" s="133">
        <v>0</v>
      </c>
      <c r="S118" s="133">
        <v>0</v>
      </c>
    </row>
    <row r="119" spans="1:19">
      <c r="A119" s="88" t="s">
        <v>112</v>
      </c>
      <c r="B119" s="108">
        <v>7</v>
      </c>
      <c r="C119" s="108">
        <v>1</v>
      </c>
      <c r="D119" s="108">
        <v>10.787234042553189</v>
      </c>
      <c r="E119" s="108">
        <v>9.2127659574468108</v>
      </c>
      <c r="F119" s="108">
        <v>13.457446808510641</v>
      </c>
      <c r="G119" s="108">
        <v>81.946808510638292</v>
      </c>
      <c r="H119" s="108">
        <v>6.9042553191489331</v>
      </c>
      <c r="I119" s="108">
        <v>0</v>
      </c>
      <c r="J119" s="108">
        <v>1</v>
      </c>
      <c r="K119" s="108">
        <v>0</v>
      </c>
      <c r="L119" s="108">
        <v>1</v>
      </c>
      <c r="M119" s="133">
        <v>1</v>
      </c>
      <c r="N119" s="133">
        <v>25</v>
      </c>
      <c r="O119" s="133">
        <v>-99</v>
      </c>
      <c r="P119" s="133">
        <v>0</v>
      </c>
      <c r="Q119" s="133">
        <v>0</v>
      </c>
      <c r="R119" s="133">
        <v>0</v>
      </c>
      <c r="S119" s="133">
        <v>0</v>
      </c>
    </row>
    <row r="120" spans="1:19">
      <c r="A120" s="88" t="s">
        <v>113</v>
      </c>
      <c r="B120" s="108">
        <v>1</v>
      </c>
      <c r="C120" s="108">
        <v>1</v>
      </c>
      <c r="D120" s="108">
        <v>98.283893111056628</v>
      </c>
      <c r="E120" s="108">
        <v>97.891640107869577</v>
      </c>
      <c r="F120" s="108">
        <v>99.509683746016179</v>
      </c>
      <c r="G120" s="108">
        <v>11.90242706545722</v>
      </c>
      <c r="H120" s="108">
        <v>11.534689874969359</v>
      </c>
      <c r="I120" s="108">
        <v>1</v>
      </c>
      <c r="J120" s="108">
        <v>0</v>
      </c>
      <c r="K120" s="108">
        <v>1</v>
      </c>
      <c r="L120" s="108">
        <v>1</v>
      </c>
      <c r="M120" s="133">
        <v>0</v>
      </c>
      <c r="N120" s="133">
        <v>43</v>
      </c>
      <c r="O120" s="133">
        <v>-99</v>
      </c>
      <c r="P120" s="133">
        <v>0</v>
      </c>
      <c r="Q120" s="133">
        <v>0</v>
      </c>
      <c r="R120" s="133">
        <v>0</v>
      </c>
      <c r="S120" s="133">
        <v>1</v>
      </c>
    </row>
    <row r="121" spans="1:19">
      <c r="A121" s="88" t="s">
        <v>113</v>
      </c>
      <c r="B121" s="108">
        <v>3</v>
      </c>
      <c r="C121" s="108">
        <v>1</v>
      </c>
      <c r="D121" s="108">
        <v>88.097572934542782</v>
      </c>
      <c r="E121" s="108">
        <v>89.445942632998282</v>
      </c>
      <c r="F121" s="108">
        <v>96.727139004658</v>
      </c>
      <c r="G121" s="108">
        <v>10.55405736700172</v>
      </c>
      <c r="H121" s="108">
        <v>7.2444226526109334</v>
      </c>
      <c r="I121" s="108">
        <v>0</v>
      </c>
      <c r="J121" s="108">
        <v>0</v>
      </c>
      <c r="K121" s="108">
        <v>1</v>
      </c>
      <c r="L121" s="108">
        <v>1</v>
      </c>
      <c r="M121" s="133">
        <v>0</v>
      </c>
      <c r="N121" s="133">
        <v>43</v>
      </c>
      <c r="O121" s="133">
        <v>-99</v>
      </c>
      <c r="P121" s="133">
        <v>0</v>
      </c>
      <c r="Q121" s="133">
        <v>0</v>
      </c>
      <c r="R121" s="133">
        <v>0</v>
      </c>
      <c r="S121" s="133">
        <v>1</v>
      </c>
    </row>
    <row r="122" spans="1:19">
      <c r="A122" s="88" t="s">
        <v>113</v>
      </c>
      <c r="B122" s="108">
        <v>4</v>
      </c>
      <c r="C122" s="108">
        <v>1</v>
      </c>
      <c r="D122" s="108">
        <v>84.898259377298359</v>
      </c>
      <c r="E122" s="108">
        <v>89.213042412355975</v>
      </c>
      <c r="F122" s="108">
        <v>98.075508703113499</v>
      </c>
      <c r="G122" s="108">
        <v>9.2424613875949966</v>
      </c>
      <c r="H122" s="108">
        <v>7.5999019367492036</v>
      </c>
      <c r="I122" s="108">
        <v>0</v>
      </c>
      <c r="J122" s="108">
        <v>0</v>
      </c>
      <c r="K122" s="108">
        <v>1</v>
      </c>
      <c r="L122" s="108">
        <v>1</v>
      </c>
      <c r="M122" s="133">
        <v>0</v>
      </c>
      <c r="N122" s="133">
        <v>43</v>
      </c>
      <c r="O122" s="133">
        <v>-99</v>
      </c>
      <c r="P122" s="133">
        <v>0</v>
      </c>
      <c r="Q122" s="133">
        <v>0</v>
      </c>
      <c r="R122" s="133">
        <v>0</v>
      </c>
      <c r="S122" s="133">
        <v>1</v>
      </c>
    </row>
    <row r="123" spans="1:19">
      <c r="A123" s="88" t="s">
        <v>113</v>
      </c>
      <c r="B123" s="108">
        <v>5</v>
      </c>
      <c r="C123" s="108">
        <v>1</v>
      </c>
      <c r="D123" s="108">
        <v>4.0451090953665112</v>
      </c>
      <c r="E123" s="108">
        <v>16.20495219416523</v>
      </c>
      <c r="F123" s="108">
        <v>77.727384162785</v>
      </c>
      <c r="G123" s="108">
        <v>92.020102966413347</v>
      </c>
      <c r="H123" s="108">
        <v>9.4140720764893331</v>
      </c>
      <c r="I123" s="108">
        <v>0</v>
      </c>
      <c r="J123" s="108">
        <v>0</v>
      </c>
      <c r="K123" s="108">
        <v>0</v>
      </c>
      <c r="L123" s="108">
        <v>1</v>
      </c>
      <c r="M123" s="133">
        <v>0</v>
      </c>
      <c r="N123" s="133">
        <v>43</v>
      </c>
      <c r="O123" s="133">
        <v>-99</v>
      </c>
      <c r="P123" s="133">
        <v>0</v>
      </c>
      <c r="Q123" s="133">
        <v>0</v>
      </c>
      <c r="R123" s="133">
        <v>0</v>
      </c>
      <c r="S123" s="133">
        <v>1</v>
      </c>
    </row>
    <row r="124" spans="1:19">
      <c r="A124" s="88" t="s">
        <v>113</v>
      </c>
      <c r="B124" s="108">
        <v>6</v>
      </c>
      <c r="C124" s="108">
        <v>1</v>
      </c>
      <c r="D124" s="108">
        <v>1.483206668301051</v>
      </c>
      <c r="E124" s="108">
        <v>14.390782054425109</v>
      </c>
      <c r="F124" s="108">
        <v>6.0921794557489584</v>
      </c>
      <c r="G124" s="108">
        <v>93.68717822995832</v>
      </c>
      <c r="H124" s="108">
        <v>92.510419220397154</v>
      </c>
      <c r="I124" s="108">
        <v>0</v>
      </c>
      <c r="J124" s="108">
        <v>0</v>
      </c>
      <c r="K124" s="108">
        <v>0</v>
      </c>
      <c r="L124" s="108">
        <v>1</v>
      </c>
      <c r="M124" s="133">
        <v>0</v>
      </c>
      <c r="N124" s="133">
        <v>43</v>
      </c>
      <c r="O124" s="133">
        <v>-99</v>
      </c>
      <c r="P124" s="133">
        <v>0</v>
      </c>
      <c r="Q124" s="133">
        <v>0</v>
      </c>
      <c r="R124" s="133">
        <v>0</v>
      </c>
      <c r="S124" s="133">
        <v>1</v>
      </c>
    </row>
    <row r="125" spans="1:19">
      <c r="A125" s="88" t="s">
        <v>113</v>
      </c>
      <c r="B125" s="108">
        <v>7</v>
      </c>
      <c r="C125" s="108">
        <v>1</v>
      </c>
      <c r="D125" s="108">
        <v>12.784996322628089</v>
      </c>
      <c r="E125" s="108">
        <v>5.2831576366756563</v>
      </c>
      <c r="F125" s="108">
        <v>6.6192694287815659</v>
      </c>
      <c r="G125" s="108">
        <v>50</v>
      </c>
      <c r="H125" s="108">
        <v>85.891149791615589</v>
      </c>
      <c r="I125" s="108">
        <v>0</v>
      </c>
      <c r="J125" s="108">
        <v>1</v>
      </c>
      <c r="K125" s="108">
        <v>0</v>
      </c>
      <c r="L125" s="108">
        <v>1</v>
      </c>
      <c r="M125" s="133">
        <v>0</v>
      </c>
      <c r="N125" s="133">
        <v>43</v>
      </c>
      <c r="O125" s="133">
        <v>-99</v>
      </c>
      <c r="P125" s="133">
        <v>0</v>
      </c>
      <c r="Q125" s="133">
        <v>0</v>
      </c>
      <c r="R125" s="133">
        <v>0</v>
      </c>
      <c r="S125" s="133">
        <v>1</v>
      </c>
    </row>
    <row r="126" spans="1:19">
      <c r="A126" s="88" t="s">
        <v>114</v>
      </c>
      <c r="B126" s="108">
        <v>1</v>
      </c>
      <c r="C126" s="108">
        <v>1</v>
      </c>
      <c r="D126" s="108">
        <v>87.826662256037054</v>
      </c>
      <c r="E126" s="108">
        <v>93.207630389238062</v>
      </c>
      <c r="F126" s="108">
        <v>98.01521667217996</v>
      </c>
      <c r="G126" s="108">
        <v>5.248649244679676</v>
      </c>
      <c r="H126" s="108">
        <v>98.235748153048846</v>
      </c>
      <c r="I126" s="108">
        <v>1</v>
      </c>
      <c r="J126" s="108">
        <v>0</v>
      </c>
      <c r="K126" s="108">
        <v>1</v>
      </c>
      <c r="L126" s="108">
        <v>1</v>
      </c>
      <c r="M126" s="133">
        <v>1</v>
      </c>
      <c r="N126" s="133">
        <v>25</v>
      </c>
      <c r="O126" s="133">
        <v>-99</v>
      </c>
      <c r="P126" s="133">
        <v>0</v>
      </c>
      <c r="Q126" s="133">
        <v>0</v>
      </c>
      <c r="R126" s="133">
        <v>0</v>
      </c>
      <c r="S126" s="133">
        <v>0</v>
      </c>
    </row>
    <row r="127" spans="1:19">
      <c r="A127" s="88" t="s">
        <v>114</v>
      </c>
      <c r="B127" s="108">
        <v>2</v>
      </c>
      <c r="C127" s="108">
        <v>1</v>
      </c>
      <c r="D127" s="108">
        <v>0</v>
      </c>
      <c r="E127" s="108">
        <v>1.7642518469511539</v>
      </c>
      <c r="F127" s="108">
        <v>1.6760392546035949</v>
      </c>
      <c r="G127" s="108">
        <v>86.459367074649904</v>
      </c>
      <c r="H127" s="108">
        <v>0.48516925791156629</v>
      </c>
      <c r="I127" s="108">
        <v>0</v>
      </c>
      <c r="J127" s="108">
        <v>0</v>
      </c>
      <c r="K127" s="108">
        <v>0</v>
      </c>
      <c r="L127" s="108">
        <v>1</v>
      </c>
      <c r="M127" s="133">
        <v>1</v>
      </c>
      <c r="N127" s="133">
        <v>25</v>
      </c>
      <c r="O127" s="133">
        <v>-99</v>
      </c>
      <c r="P127" s="133">
        <v>0</v>
      </c>
      <c r="Q127" s="133">
        <v>0</v>
      </c>
      <c r="R127" s="133">
        <v>0</v>
      </c>
      <c r="S127" s="133">
        <v>0</v>
      </c>
    </row>
    <row r="128" spans="1:19">
      <c r="A128" s="88" t="s">
        <v>114</v>
      </c>
      <c r="B128" s="108">
        <v>3</v>
      </c>
      <c r="C128" s="108">
        <v>1</v>
      </c>
      <c r="D128" s="108">
        <v>8.7330466424082047</v>
      </c>
      <c r="E128" s="108">
        <v>5.248649244679676</v>
      </c>
      <c r="F128" s="108">
        <v>4.9399051714632272</v>
      </c>
      <c r="G128" s="108">
        <v>94.619031866798991</v>
      </c>
      <c r="H128" s="108">
        <v>2.6463777704267279</v>
      </c>
      <c r="I128" s="108">
        <v>0</v>
      </c>
      <c r="J128" s="108">
        <v>0</v>
      </c>
      <c r="K128" s="108">
        <v>0</v>
      </c>
      <c r="L128" s="108">
        <v>1</v>
      </c>
      <c r="M128" s="133">
        <v>1</v>
      </c>
      <c r="N128" s="133">
        <v>25</v>
      </c>
      <c r="O128" s="133">
        <v>-99</v>
      </c>
      <c r="P128" s="133">
        <v>0</v>
      </c>
      <c r="Q128" s="133">
        <v>0</v>
      </c>
      <c r="R128" s="133">
        <v>0</v>
      </c>
      <c r="S128" s="133">
        <v>0</v>
      </c>
    </row>
    <row r="129" spans="1:19">
      <c r="A129" s="88" t="s">
        <v>114</v>
      </c>
      <c r="B129" s="108">
        <v>4</v>
      </c>
      <c r="C129" s="108">
        <v>1</v>
      </c>
      <c r="D129" s="108">
        <v>4.3224170250303224</v>
      </c>
      <c r="E129" s="108">
        <v>7.2775388686735054</v>
      </c>
      <c r="F129" s="108">
        <v>12.26155033631051</v>
      </c>
      <c r="G129" s="108">
        <v>95.677582974969681</v>
      </c>
      <c r="H129" s="108">
        <v>4.0136729518138736</v>
      </c>
      <c r="I129" s="108">
        <v>0</v>
      </c>
      <c r="J129" s="108">
        <v>0</v>
      </c>
      <c r="K129" s="108">
        <v>0</v>
      </c>
      <c r="L129" s="108">
        <v>1</v>
      </c>
      <c r="M129" s="133">
        <v>1</v>
      </c>
      <c r="N129" s="133">
        <v>25</v>
      </c>
      <c r="O129" s="133">
        <v>-99</v>
      </c>
      <c r="P129" s="133">
        <v>0</v>
      </c>
      <c r="Q129" s="133">
        <v>0</v>
      </c>
      <c r="R129" s="133">
        <v>0</v>
      </c>
      <c r="S129" s="133">
        <v>0</v>
      </c>
    </row>
    <row r="130" spans="1:19">
      <c r="A130" s="88" t="s">
        <v>114</v>
      </c>
      <c r="B130" s="108">
        <v>5</v>
      </c>
      <c r="C130" s="108">
        <v>1</v>
      </c>
      <c r="D130" s="108">
        <v>3.704928878597419</v>
      </c>
      <c r="E130" s="108">
        <v>9.3505347888411077</v>
      </c>
      <c r="F130" s="108">
        <v>2.51405888190539</v>
      </c>
      <c r="G130" s="108">
        <v>91.222847061418008</v>
      </c>
      <c r="H130" s="108">
        <v>9.0417907156246535</v>
      </c>
      <c r="I130" s="108">
        <v>0</v>
      </c>
      <c r="J130" s="108">
        <v>0</v>
      </c>
      <c r="K130" s="108">
        <v>0</v>
      </c>
      <c r="L130" s="108">
        <v>1</v>
      </c>
      <c r="M130" s="133">
        <v>1</v>
      </c>
      <c r="N130" s="133">
        <v>25</v>
      </c>
      <c r="O130" s="133">
        <v>-99</v>
      </c>
      <c r="P130" s="133">
        <v>0</v>
      </c>
      <c r="Q130" s="133">
        <v>0</v>
      </c>
      <c r="R130" s="133">
        <v>0</v>
      </c>
      <c r="S130" s="133">
        <v>0</v>
      </c>
    </row>
    <row r="131" spans="1:19">
      <c r="A131" s="88" t="s">
        <v>114</v>
      </c>
      <c r="B131" s="108">
        <v>6</v>
      </c>
      <c r="C131" s="108">
        <v>1</v>
      </c>
      <c r="D131" s="108">
        <v>5.60149961406991</v>
      </c>
      <c r="E131" s="108">
        <v>3.7490351747711981</v>
      </c>
      <c r="F131" s="108">
        <v>11.15889293196604</v>
      </c>
      <c r="G131" s="108">
        <v>96.383283713750131</v>
      </c>
      <c r="H131" s="108">
        <v>12.21744404013673</v>
      </c>
      <c r="I131" s="108">
        <v>0</v>
      </c>
      <c r="J131" s="108">
        <v>0</v>
      </c>
      <c r="K131" s="108">
        <v>0</v>
      </c>
      <c r="L131" s="108">
        <v>1</v>
      </c>
      <c r="M131" s="133">
        <v>1</v>
      </c>
      <c r="N131" s="133">
        <v>25</v>
      </c>
      <c r="O131" s="133">
        <v>-99</v>
      </c>
      <c r="P131" s="133">
        <v>0</v>
      </c>
      <c r="Q131" s="133">
        <v>0</v>
      </c>
      <c r="R131" s="133">
        <v>0</v>
      </c>
      <c r="S131" s="133">
        <v>0</v>
      </c>
    </row>
    <row r="132" spans="1:19">
      <c r="A132" s="88" t="s">
        <v>114</v>
      </c>
      <c r="B132" s="108">
        <v>7</v>
      </c>
      <c r="C132" s="108">
        <v>1</v>
      </c>
      <c r="D132" s="108">
        <v>7.4336283185840726</v>
      </c>
      <c r="E132" s="108">
        <v>15.840707964601769</v>
      </c>
      <c r="F132" s="108">
        <v>17.69911504424779</v>
      </c>
      <c r="G132" s="108">
        <v>50</v>
      </c>
      <c r="H132" s="108">
        <v>16.10619469026549</v>
      </c>
      <c r="I132" s="108">
        <v>0</v>
      </c>
      <c r="J132" s="108">
        <v>1</v>
      </c>
      <c r="K132" s="108">
        <v>0</v>
      </c>
      <c r="L132" s="108">
        <v>1</v>
      </c>
      <c r="M132" s="133">
        <v>1</v>
      </c>
      <c r="N132" s="133">
        <v>25</v>
      </c>
      <c r="O132" s="133">
        <v>-99</v>
      </c>
      <c r="P132" s="133">
        <v>0</v>
      </c>
      <c r="Q132" s="133">
        <v>0</v>
      </c>
      <c r="R132" s="133">
        <v>0</v>
      </c>
      <c r="S132" s="133">
        <v>0</v>
      </c>
    </row>
    <row r="133" spans="1:19">
      <c r="A133" s="88" t="s">
        <v>115</v>
      </c>
      <c r="B133" s="108">
        <v>1</v>
      </c>
      <c r="C133" s="108">
        <v>1</v>
      </c>
      <c r="D133" s="108">
        <v>98.758363355635609</v>
      </c>
      <c r="E133" s="108">
        <v>97.709727225939275</v>
      </c>
      <c r="F133" s="108">
        <v>98.185795162120428</v>
      </c>
      <c r="G133" s="108">
        <v>2.1937725167267108</v>
      </c>
      <c r="H133" s="108">
        <v>5.7900154400414287E-2</v>
      </c>
      <c r="I133" s="108">
        <v>1</v>
      </c>
      <c r="J133" s="108">
        <v>0</v>
      </c>
      <c r="K133" s="108">
        <v>1</v>
      </c>
      <c r="L133" s="108">
        <v>1</v>
      </c>
      <c r="M133" s="133">
        <v>1</v>
      </c>
      <c r="N133" s="133">
        <v>30</v>
      </c>
      <c r="O133" s="133">
        <v>75000</v>
      </c>
      <c r="P133" s="133">
        <v>1</v>
      </c>
      <c r="Q133" s="133">
        <v>1</v>
      </c>
      <c r="R133" s="133">
        <v>1</v>
      </c>
      <c r="S133" s="133">
        <v>1</v>
      </c>
    </row>
    <row r="134" spans="1:19">
      <c r="A134" s="88" t="s">
        <v>115</v>
      </c>
      <c r="B134" s="108">
        <v>2</v>
      </c>
      <c r="C134" s="108">
        <v>1</v>
      </c>
      <c r="D134" s="108">
        <v>99.279464745239324</v>
      </c>
      <c r="E134" s="108">
        <v>98.179361811631495</v>
      </c>
      <c r="F134" s="108">
        <v>98.951363870303652</v>
      </c>
      <c r="G134" s="108">
        <v>2.0586721564590849</v>
      </c>
      <c r="H134" s="108">
        <v>1.9171384457025209</v>
      </c>
      <c r="I134" s="108">
        <v>0</v>
      </c>
      <c r="J134" s="108">
        <v>0</v>
      </c>
      <c r="K134" s="108">
        <v>1</v>
      </c>
      <c r="L134" s="108">
        <v>1</v>
      </c>
      <c r="M134" s="133">
        <v>1</v>
      </c>
      <c r="N134" s="133">
        <v>30</v>
      </c>
      <c r="O134" s="133">
        <v>75000</v>
      </c>
      <c r="P134" s="133">
        <v>1</v>
      </c>
      <c r="Q134" s="133">
        <v>1</v>
      </c>
      <c r="R134" s="133">
        <v>1</v>
      </c>
      <c r="S134" s="133">
        <v>1</v>
      </c>
    </row>
    <row r="135" spans="1:19">
      <c r="A135" s="88" t="s">
        <v>115</v>
      </c>
      <c r="B135" s="108">
        <v>3</v>
      </c>
      <c r="C135" s="108">
        <v>1</v>
      </c>
      <c r="D135" s="108">
        <v>98.031394750385999</v>
      </c>
      <c r="E135" s="108">
        <v>99.761966031909409</v>
      </c>
      <c r="F135" s="108">
        <v>98.73262995367989</v>
      </c>
      <c r="G135" s="108">
        <v>0.42460113226968632</v>
      </c>
      <c r="H135" s="108">
        <v>1.1001029336078221</v>
      </c>
      <c r="I135" s="108">
        <v>0</v>
      </c>
      <c r="J135" s="108">
        <v>0</v>
      </c>
      <c r="K135" s="108">
        <v>1</v>
      </c>
      <c r="L135" s="108">
        <v>1</v>
      </c>
      <c r="M135" s="133">
        <v>1</v>
      </c>
      <c r="N135" s="133">
        <v>30</v>
      </c>
      <c r="O135" s="133">
        <v>75000</v>
      </c>
      <c r="P135" s="133">
        <v>1</v>
      </c>
      <c r="Q135" s="133">
        <v>1</v>
      </c>
      <c r="R135" s="133">
        <v>1</v>
      </c>
      <c r="S135" s="133">
        <v>1</v>
      </c>
    </row>
    <row r="136" spans="1:19">
      <c r="A136" s="88" t="s">
        <v>115</v>
      </c>
      <c r="B136" s="108">
        <v>4</v>
      </c>
      <c r="C136" s="108">
        <v>1</v>
      </c>
      <c r="D136" s="108">
        <v>96.062789500771999</v>
      </c>
      <c r="E136" s="108">
        <v>98.751930005146676</v>
      </c>
      <c r="F136" s="108">
        <v>98.636129696345847</v>
      </c>
      <c r="G136" s="108">
        <v>0.43103448275861878</v>
      </c>
      <c r="H136" s="108">
        <v>0</v>
      </c>
      <c r="I136" s="108">
        <v>0</v>
      </c>
      <c r="J136" s="108">
        <v>0</v>
      </c>
      <c r="K136" s="108">
        <v>1</v>
      </c>
      <c r="L136" s="108">
        <v>1</v>
      </c>
      <c r="M136" s="133">
        <v>1</v>
      </c>
      <c r="N136" s="133">
        <v>30</v>
      </c>
      <c r="O136" s="133">
        <v>75000</v>
      </c>
      <c r="P136" s="133">
        <v>1</v>
      </c>
      <c r="Q136" s="133">
        <v>1</v>
      </c>
      <c r="R136" s="133">
        <v>1</v>
      </c>
      <c r="S136" s="133">
        <v>1</v>
      </c>
    </row>
    <row r="137" spans="1:19">
      <c r="A137" s="88" t="s">
        <v>115</v>
      </c>
      <c r="B137" s="108">
        <v>6</v>
      </c>
      <c r="C137" s="108">
        <v>1</v>
      </c>
      <c r="D137" s="108">
        <v>73.645200486026724</v>
      </c>
      <c r="E137" s="108">
        <v>80.328068043742405</v>
      </c>
      <c r="F137" s="108">
        <v>99.161603888213847</v>
      </c>
      <c r="G137" s="108">
        <v>50</v>
      </c>
      <c r="H137" s="108">
        <v>31.227217496962329</v>
      </c>
      <c r="I137" s="108">
        <v>0</v>
      </c>
      <c r="J137" s="108">
        <v>0</v>
      </c>
      <c r="K137" s="108">
        <v>1</v>
      </c>
      <c r="L137" s="108">
        <v>1</v>
      </c>
      <c r="M137" s="133">
        <v>1</v>
      </c>
      <c r="N137" s="133">
        <v>30</v>
      </c>
      <c r="O137" s="133">
        <v>75000</v>
      </c>
      <c r="P137" s="133">
        <v>1</v>
      </c>
      <c r="Q137" s="133">
        <v>1</v>
      </c>
      <c r="R137" s="133">
        <v>1</v>
      </c>
      <c r="S137" s="133">
        <v>1</v>
      </c>
    </row>
    <row r="138" spans="1:19">
      <c r="A138" s="88" t="s">
        <v>115</v>
      </c>
      <c r="B138" s="108">
        <v>7</v>
      </c>
      <c r="C138" s="108">
        <v>1</v>
      </c>
      <c r="D138" s="108">
        <v>0.55893074119076624</v>
      </c>
      <c r="E138" s="108">
        <v>97.788578371810459</v>
      </c>
      <c r="F138" s="108">
        <v>98.469015795868771</v>
      </c>
      <c r="G138" s="108">
        <v>14.495747266099629</v>
      </c>
      <c r="H138" s="108">
        <v>2.0899149453219912</v>
      </c>
      <c r="I138" s="108">
        <v>0</v>
      </c>
      <c r="J138" s="108">
        <v>1</v>
      </c>
      <c r="K138" s="108">
        <v>0</v>
      </c>
      <c r="L138" s="108">
        <v>1</v>
      </c>
      <c r="M138" s="133">
        <v>1</v>
      </c>
      <c r="N138" s="133">
        <v>30</v>
      </c>
      <c r="O138" s="133">
        <v>75000</v>
      </c>
      <c r="P138" s="133">
        <v>1</v>
      </c>
      <c r="Q138" s="133">
        <v>1</v>
      </c>
      <c r="R138" s="133">
        <v>1</v>
      </c>
      <c r="S138" s="133">
        <v>1</v>
      </c>
    </row>
    <row r="139" spans="1:19">
      <c r="A139" s="88" t="s">
        <v>116</v>
      </c>
      <c r="B139" s="108">
        <v>1</v>
      </c>
      <c r="C139" s="108">
        <v>1</v>
      </c>
      <c r="D139" s="108">
        <v>98.787656135194709</v>
      </c>
      <c r="E139" s="108">
        <v>98.701934851824632</v>
      </c>
      <c r="F139" s="108">
        <v>98.322312025471476</v>
      </c>
      <c r="G139" s="108">
        <v>2.963507225079598</v>
      </c>
      <c r="H139" s="108">
        <v>50</v>
      </c>
      <c r="I139" s="108">
        <v>1</v>
      </c>
      <c r="J139" s="108">
        <v>0</v>
      </c>
      <c r="K139" s="108">
        <v>1</v>
      </c>
      <c r="L139" s="108">
        <v>1</v>
      </c>
      <c r="M139" s="133">
        <v>1</v>
      </c>
      <c r="N139" s="133">
        <v>27</v>
      </c>
      <c r="O139" s="133">
        <v>400000</v>
      </c>
      <c r="P139" s="133">
        <v>1</v>
      </c>
      <c r="Q139" s="133">
        <v>1</v>
      </c>
      <c r="R139" s="133">
        <v>1</v>
      </c>
      <c r="S139" s="133">
        <v>1</v>
      </c>
    </row>
    <row r="140" spans="1:19">
      <c r="A140" s="88" t="s">
        <v>116</v>
      </c>
      <c r="B140" s="108">
        <v>2</v>
      </c>
      <c r="C140" s="108">
        <v>1</v>
      </c>
      <c r="D140" s="108">
        <v>99.191770756796473</v>
      </c>
      <c r="E140" s="108">
        <v>98.040656380112651</v>
      </c>
      <c r="F140" s="108">
        <v>98.591721773205975</v>
      </c>
      <c r="G140" s="108">
        <v>2.4614254224834649</v>
      </c>
      <c r="H140" s="108">
        <v>5.1065393093313762</v>
      </c>
      <c r="I140" s="108">
        <v>0</v>
      </c>
      <c r="J140" s="108">
        <v>0</v>
      </c>
      <c r="K140" s="108">
        <v>1</v>
      </c>
      <c r="L140" s="108">
        <v>1</v>
      </c>
      <c r="M140" s="133">
        <v>1</v>
      </c>
      <c r="N140" s="133">
        <v>27</v>
      </c>
      <c r="O140" s="133">
        <v>400000</v>
      </c>
      <c r="P140" s="133">
        <v>1</v>
      </c>
      <c r="Q140" s="133">
        <v>1</v>
      </c>
      <c r="R140" s="133">
        <v>1</v>
      </c>
      <c r="S140" s="133">
        <v>1</v>
      </c>
    </row>
    <row r="141" spans="1:19">
      <c r="A141" s="88" t="s">
        <v>116</v>
      </c>
      <c r="B141" s="108">
        <v>3</v>
      </c>
      <c r="C141" s="108">
        <v>1</v>
      </c>
      <c r="D141" s="108">
        <v>99.58363948077394</v>
      </c>
      <c r="E141" s="108">
        <v>98.359049718344352</v>
      </c>
      <c r="F141" s="108">
        <v>98.579475875581679</v>
      </c>
      <c r="G141" s="108">
        <v>0.55106539309331404</v>
      </c>
      <c r="H141" s="108">
        <v>1.6531961792799419</v>
      </c>
      <c r="I141" s="108">
        <v>0</v>
      </c>
      <c r="J141" s="108">
        <v>0</v>
      </c>
      <c r="K141" s="108">
        <v>1</v>
      </c>
      <c r="L141" s="108">
        <v>1</v>
      </c>
      <c r="M141" s="133">
        <v>1</v>
      </c>
      <c r="N141" s="133">
        <v>27</v>
      </c>
      <c r="O141" s="133">
        <v>400000</v>
      </c>
      <c r="P141" s="133">
        <v>1</v>
      </c>
      <c r="Q141" s="133">
        <v>1</v>
      </c>
      <c r="R141" s="133">
        <v>1</v>
      </c>
      <c r="S141" s="133">
        <v>1</v>
      </c>
    </row>
    <row r="142" spans="1:19">
      <c r="A142" s="88" t="s">
        <v>116</v>
      </c>
      <c r="B142" s="108">
        <v>4</v>
      </c>
      <c r="C142" s="108">
        <v>1</v>
      </c>
      <c r="D142" s="108">
        <v>96.938525593926045</v>
      </c>
      <c r="E142" s="108">
        <v>96.938525593926045</v>
      </c>
      <c r="F142" s="108">
        <v>97.391623806024967</v>
      </c>
      <c r="G142" s="108">
        <v>3.0737203036982632</v>
      </c>
      <c r="H142" s="108">
        <v>11.44991427871663</v>
      </c>
      <c r="I142" s="108">
        <v>0</v>
      </c>
      <c r="J142" s="108">
        <v>0</v>
      </c>
      <c r="K142" s="108">
        <v>1</v>
      </c>
      <c r="L142" s="108">
        <v>1</v>
      </c>
      <c r="M142" s="133">
        <v>1</v>
      </c>
      <c r="N142" s="133">
        <v>27</v>
      </c>
      <c r="O142" s="133">
        <v>400000</v>
      </c>
      <c r="P142" s="133">
        <v>1</v>
      </c>
      <c r="Q142" s="133">
        <v>1</v>
      </c>
      <c r="R142" s="133">
        <v>1</v>
      </c>
      <c r="S142" s="133">
        <v>1</v>
      </c>
    </row>
    <row r="143" spans="1:19">
      <c r="A143" s="88" t="s">
        <v>116</v>
      </c>
      <c r="B143" s="108">
        <v>5</v>
      </c>
      <c r="C143" s="108">
        <v>1</v>
      </c>
      <c r="D143" s="108">
        <v>97.538574577516528</v>
      </c>
      <c r="E143" s="108">
        <v>98.812147930443302</v>
      </c>
      <c r="F143" s="108">
        <v>97.563066372765121</v>
      </c>
      <c r="G143" s="108">
        <v>17.095273083517021</v>
      </c>
      <c r="H143" s="108">
        <v>0.84496693607641338</v>
      </c>
      <c r="I143" s="108">
        <v>0</v>
      </c>
      <c r="J143" s="108">
        <v>0</v>
      </c>
      <c r="K143" s="108">
        <v>1</v>
      </c>
      <c r="L143" s="108">
        <v>1</v>
      </c>
      <c r="M143" s="133">
        <v>1</v>
      </c>
      <c r="N143" s="133">
        <v>27</v>
      </c>
      <c r="O143" s="133">
        <v>400000</v>
      </c>
      <c r="P143" s="133">
        <v>1</v>
      </c>
      <c r="Q143" s="133">
        <v>1</v>
      </c>
      <c r="R143" s="133">
        <v>1</v>
      </c>
      <c r="S143" s="133">
        <v>1</v>
      </c>
    </row>
    <row r="144" spans="1:19">
      <c r="A144" s="88" t="s">
        <v>116</v>
      </c>
      <c r="B144" s="108">
        <v>6</v>
      </c>
      <c r="C144" s="108">
        <v>1</v>
      </c>
      <c r="D144" s="108">
        <v>100</v>
      </c>
      <c r="E144" s="108">
        <v>98.199853049228508</v>
      </c>
      <c r="F144" s="108">
        <v>98.995836394807739</v>
      </c>
      <c r="G144" s="108">
        <v>4.1146216017634076</v>
      </c>
      <c r="H144" s="108">
        <v>13.86235611070291</v>
      </c>
      <c r="I144" s="108">
        <v>0</v>
      </c>
      <c r="J144" s="108">
        <v>0</v>
      </c>
      <c r="K144" s="108">
        <v>1</v>
      </c>
      <c r="L144" s="108">
        <v>1</v>
      </c>
      <c r="M144" s="133">
        <v>1</v>
      </c>
      <c r="N144" s="133">
        <v>27</v>
      </c>
      <c r="O144" s="133">
        <v>400000</v>
      </c>
      <c r="P144" s="133">
        <v>1</v>
      </c>
      <c r="Q144" s="133">
        <v>1</v>
      </c>
      <c r="R144" s="133">
        <v>1</v>
      </c>
      <c r="S144" s="133">
        <v>1</v>
      </c>
    </row>
    <row r="145" spans="1:19">
      <c r="A145" s="88" t="s">
        <v>116</v>
      </c>
      <c r="B145" s="108">
        <v>7</v>
      </c>
      <c r="C145" s="108">
        <v>1</v>
      </c>
      <c r="D145" s="108">
        <v>87.178545187362232</v>
      </c>
      <c r="E145" s="108">
        <v>94.685280431055602</v>
      </c>
      <c r="F145" s="108">
        <v>98.359049718344352</v>
      </c>
      <c r="G145" s="108">
        <v>0.61229488121479214</v>
      </c>
      <c r="H145" s="108">
        <v>2.2532451628704382</v>
      </c>
      <c r="I145" s="108">
        <v>0</v>
      </c>
      <c r="J145" s="108">
        <v>1</v>
      </c>
      <c r="K145" s="108">
        <v>1</v>
      </c>
      <c r="L145" s="108">
        <v>1</v>
      </c>
      <c r="M145" s="133">
        <v>1</v>
      </c>
      <c r="N145" s="133">
        <v>27</v>
      </c>
      <c r="O145" s="133">
        <v>400000</v>
      </c>
      <c r="P145" s="133">
        <v>1</v>
      </c>
      <c r="Q145" s="133">
        <v>1</v>
      </c>
      <c r="R145" s="133">
        <v>1</v>
      </c>
      <c r="S145" s="133">
        <v>1</v>
      </c>
    </row>
    <row r="146" spans="1:19">
      <c r="A146" s="88" t="s">
        <v>117</v>
      </c>
      <c r="B146" s="108">
        <v>1</v>
      </c>
      <c r="C146" s="108">
        <v>1</v>
      </c>
      <c r="D146" s="108">
        <v>9.9350162459385167</v>
      </c>
      <c r="E146" s="108">
        <v>92.876780804798798</v>
      </c>
      <c r="F146" s="108">
        <v>92.651837040739821</v>
      </c>
      <c r="G146" s="108">
        <v>50</v>
      </c>
      <c r="H146" s="108">
        <v>11.584603849037739</v>
      </c>
      <c r="I146" s="108">
        <v>1</v>
      </c>
      <c r="J146" s="108">
        <v>0</v>
      </c>
      <c r="K146" s="108">
        <v>0</v>
      </c>
      <c r="L146" s="108">
        <v>1</v>
      </c>
      <c r="M146" s="133">
        <v>1</v>
      </c>
      <c r="N146" s="133">
        <v>28</v>
      </c>
      <c r="O146" s="133">
        <v>-99</v>
      </c>
      <c r="P146" s="133">
        <v>0</v>
      </c>
      <c r="Q146" s="133">
        <v>0</v>
      </c>
      <c r="R146" s="133">
        <v>0</v>
      </c>
      <c r="S146" s="133">
        <v>0</v>
      </c>
    </row>
    <row r="147" spans="1:19">
      <c r="A147" s="88" t="s">
        <v>117</v>
      </c>
      <c r="B147" s="108">
        <v>2</v>
      </c>
      <c r="C147" s="108">
        <v>1</v>
      </c>
      <c r="D147" s="108">
        <v>3.5741064733816552</v>
      </c>
      <c r="E147" s="108">
        <v>50</v>
      </c>
      <c r="F147" s="108">
        <v>50</v>
      </c>
      <c r="G147" s="108">
        <v>68.832791802049485</v>
      </c>
      <c r="H147" s="108">
        <v>9.0977255686078511</v>
      </c>
      <c r="I147" s="108">
        <v>0</v>
      </c>
      <c r="J147" s="108">
        <v>0</v>
      </c>
      <c r="K147" s="108">
        <v>0</v>
      </c>
      <c r="L147" s="108">
        <v>1</v>
      </c>
      <c r="M147" s="133">
        <v>1</v>
      </c>
      <c r="N147" s="133">
        <v>28</v>
      </c>
      <c r="O147" s="133">
        <v>-99</v>
      </c>
      <c r="P147" s="133">
        <v>0</v>
      </c>
      <c r="Q147" s="133">
        <v>0</v>
      </c>
      <c r="R147" s="133">
        <v>0</v>
      </c>
      <c r="S147" s="133">
        <v>0</v>
      </c>
    </row>
    <row r="148" spans="1:19">
      <c r="A148" s="88" t="s">
        <v>117</v>
      </c>
      <c r="B148" s="108">
        <v>3</v>
      </c>
      <c r="C148" s="108">
        <v>1</v>
      </c>
      <c r="D148" s="108">
        <v>26.79330167458135</v>
      </c>
      <c r="E148" s="108">
        <v>20.132466883279179</v>
      </c>
      <c r="F148" s="108">
        <v>6.3984003999000283</v>
      </c>
      <c r="G148" s="108">
        <v>88.315421144713824</v>
      </c>
      <c r="H148" s="108">
        <v>50</v>
      </c>
      <c r="I148" s="108">
        <v>0</v>
      </c>
      <c r="J148" s="108">
        <v>0</v>
      </c>
      <c r="K148" s="108">
        <v>0</v>
      </c>
      <c r="L148" s="108">
        <v>1</v>
      </c>
      <c r="M148" s="133">
        <v>1</v>
      </c>
      <c r="N148" s="133">
        <v>28</v>
      </c>
      <c r="O148" s="133">
        <v>-99</v>
      </c>
      <c r="P148" s="133">
        <v>0</v>
      </c>
      <c r="Q148" s="133">
        <v>0</v>
      </c>
      <c r="R148" s="133">
        <v>0</v>
      </c>
      <c r="S148" s="133">
        <v>0</v>
      </c>
    </row>
    <row r="149" spans="1:19">
      <c r="A149" s="88" t="s">
        <v>117</v>
      </c>
      <c r="B149" s="108">
        <v>4</v>
      </c>
      <c r="C149" s="108">
        <v>1</v>
      </c>
      <c r="D149" s="108">
        <v>1.287178205448636</v>
      </c>
      <c r="E149" s="108">
        <v>14.308922769307671</v>
      </c>
      <c r="F149" s="108">
        <v>35.441139715071238</v>
      </c>
      <c r="G149" s="108">
        <v>82.791802049487629</v>
      </c>
      <c r="H149" s="108">
        <v>33.266683329167712</v>
      </c>
      <c r="I149" s="108">
        <v>0</v>
      </c>
      <c r="J149" s="108">
        <v>0</v>
      </c>
      <c r="K149" s="108">
        <v>0</v>
      </c>
      <c r="L149" s="108">
        <v>1</v>
      </c>
      <c r="M149" s="133">
        <v>1</v>
      </c>
      <c r="N149" s="133">
        <v>28</v>
      </c>
      <c r="O149" s="133">
        <v>-99</v>
      </c>
      <c r="P149" s="133">
        <v>0</v>
      </c>
      <c r="Q149" s="133">
        <v>0</v>
      </c>
      <c r="R149" s="133">
        <v>0</v>
      </c>
      <c r="S149" s="133">
        <v>0</v>
      </c>
    </row>
    <row r="150" spans="1:19">
      <c r="A150" s="88" t="s">
        <v>117</v>
      </c>
      <c r="B150" s="108">
        <v>5</v>
      </c>
      <c r="C150" s="108">
        <v>1</v>
      </c>
      <c r="D150" s="108">
        <v>2.949262684328918</v>
      </c>
      <c r="E150" s="108">
        <v>17.120719820044989</v>
      </c>
      <c r="F150" s="108">
        <v>1.662084478880282</v>
      </c>
      <c r="G150" s="108">
        <v>82.254436390902271</v>
      </c>
      <c r="H150" s="108">
        <v>52.849287678080479</v>
      </c>
      <c r="I150" s="108">
        <v>0</v>
      </c>
      <c r="J150" s="108">
        <v>0</v>
      </c>
      <c r="K150" s="108">
        <v>0</v>
      </c>
      <c r="L150" s="108">
        <v>1</v>
      </c>
      <c r="M150" s="133">
        <v>1</v>
      </c>
      <c r="N150" s="133">
        <v>28</v>
      </c>
      <c r="O150" s="133">
        <v>-99</v>
      </c>
      <c r="P150" s="133">
        <v>0</v>
      </c>
      <c r="Q150" s="133">
        <v>0</v>
      </c>
      <c r="R150" s="133">
        <v>0</v>
      </c>
      <c r="S150" s="133">
        <v>0</v>
      </c>
    </row>
    <row r="151" spans="1:19">
      <c r="A151" s="88" t="s">
        <v>117</v>
      </c>
      <c r="B151" s="108">
        <v>6</v>
      </c>
      <c r="C151" s="108">
        <v>1</v>
      </c>
      <c r="D151" s="108">
        <v>3.5741064733816552</v>
      </c>
      <c r="E151" s="108">
        <v>20.557360659835041</v>
      </c>
      <c r="F151" s="108">
        <v>14.80879780054987</v>
      </c>
      <c r="G151" s="108">
        <v>85.578605348662833</v>
      </c>
      <c r="H151" s="108">
        <v>90.927268182954265</v>
      </c>
      <c r="I151" s="108">
        <v>0</v>
      </c>
      <c r="J151" s="108">
        <v>0</v>
      </c>
      <c r="K151" s="108">
        <v>0</v>
      </c>
      <c r="L151" s="108">
        <v>1</v>
      </c>
      <c r="M151" s="133">
        <v>1</v>
      </c>
      <c r="N151" s="133">
        <v>28</v>
      </c>
      <c r="O151" s="133">
        <v>-99</v>
      </c>
      <c r="P151" s="133">
        <v>0</v>
      </c>
      <c r="Q151" s="133">
        <v>0</v>
      </c>
      <c r="R151" s="133">
        <v>0</v>
      </c>
      <c r="S151" s="133">
        <v>0</v>
      </c>
    </row>
    <row r="152" spans="1:19">
      <c r="A152" s="88" t="s">
        <v>117</v>
      </c>
      <c r="B152" s="108">
        <v>7</v>
      </c>
      <c r="C152" s="108">
        <v>1</v>
      </c>
      <c r="D152" s="108">
        <v>10.47238190452387</v>
      </c>
      <c r="E152" s="108">
        <v>0</v>
      </c>
      <c r="F152" s="108">
        <v>10.47238190452387</v>
      </c>
      <c r="G152" s="108">
        <v>96.025993501624598</v>
      </c>
      <c r="H152" s="108">
        <v>79.517620594851294</v>
      </c>
      <c r="I152" s="108">
        <v>0</v>
      </c>
      <c r="J152" s="108">
        <v>1</v>
      </c>
      <c r="K152" s="108">
        <v>0</v>
      </c>
      <c r="L152" s="108">
        <v>1</v>
      </c>
      <c r="M152" s="133">
        <v>1</v>
      </c>
      <c r="N152" s="133">
        <v>28</v>
      </c>
      <c r="O152" s="133">
        <v>-99</v>
      </c>
      <c r="P152" s="133">
        <v>0</v>
      </c>
      <c r="Q152" s="133">
        <v>0</v>
      </c>
      <c r="R152" s="133">
        <v>0</v>
      </c>
      <c r="S152" s="133">
        <v>0</v>
      </c>
    </row>
    <row r="153" spans="1:19">
      <c r="A153" s="88" t="s">
        <v>118</v>
      </c>
      <c r="B153" s="108">
        <v>1</v>
      </c>
      <c r="C153" s="108">
        <v>1</v>
      </c>
      <c r="D153" s="108">
        <v>9.3510118632240076</v>
      </c>
      <c r="E153" s="108">
        <v>18.24842986741103</v>
      </c>
      <c r="F153" s="108">
        <v>28.518260060479179</v>
      </c>
      <c r="G153" s="108">
        <v>61.188648522912302</v>
      </c>
      <c r="H153" s="108">
        <v>0.59316120027913533</v>
      </c>
      <c r="I153" s="108">
        <v>1</v>
      </c>
      <c r="J153" s="108">
        <v>0</v>
      </c>
      <c r="K153" s="108">
        <v>0</v>
      </c>
      <c r="L153" s="108">
        <v>1</v>
      </c>
      <c r="M153" s="133">
        <v>1</v>
      </c>
      <c r="N153" s="133">
        <v>48</v>
      </c>
      <c r="O153" s="133">
        <v>5000</v>
      </c>
      <c r="P153" s="133">
        <v>0</v>
      </c>
      <c r="Q153" s="133">
        <v>0</v>
      </c>
      <c r="R153" s="133">
        <v>0</v>
      </c>
      <c r="S153" s="133">
        <v>0</v>
      </c>
    </row>
    <row r="154" spans="1:19">
      <c r="A154" s="88" t="s">
        <v>118</v>
      </c>
      <c r="B154" s="108">
        <v>2</v>
      </c>
      <c r="C154" s="108">
        <v>1</v>
      </c>
      <c r="D154" s="108">
        <v>50</v>
      </c>
      <c r="E154" s="108">
        <v>6.6631271568887707</v>
      </c>
      <c r="F154" s="108">
        <v>50</v>
      </c>
      <c r="G154" s="108">
        <v>79.864613750995488</v>
      </c>
      <c r="H154" s="108">
        <v>32.997079904433242</v>
      </c>
      <c r="I154" s="108">
        <v>0</v>
      </c>
      <c r="J154" s="108">
        <v>0</v>
      </c>
      <c r="K154" s="108">
        <v>0</v>
      </c>
      <c r="L154" s="108">
        <v>1</v>
      </c>
      <c r="M154" s="133">
        <v>1</v>
      </c>
      <c r="N154" s="133">
        <v>48</v>
      </c>
      <c r="O154" s="133">
        <v>5000</v>
      </c>
      <c r="P154" s="133">
        <v>0</v>
      </c>
      <c r="Q154" s="133">
        <v>0</v>
      </c>
      <c r="R154" s="133">
        <v>0</v>
      </c>
      <c r="S154" s="133">
        <v>0</v>
      </c>
    </row>
    <row r="155" spans="1:19">
      <c r="A155" s="88" t="s">
        <v>118</v>
      </c>
      <c r="B155" s="108">
        <v>3</v>
      </c>
      <c r="C155" s="108">
        <v>1</v>
      </c>
      <c r="D155" s="108">
        <v>0.66365808335545617</v>
      </c>
      <c r="E155" s="108">
        <v>4.9110698168303717</v>
      </c>
      <c r="F155" s="108">
        <v>18.83461640562782</v>
      </c>
      <c r="G155" s="108">
        <v>81.37775418104593</v>
      </c>
      <c r="H155" s="108">
        <v>0.43801433501460257</v>
      </c>
      <c r="I155" s="108">
        <v>0</v>
      </c>
      <c r="J155" s="108">
        <v>0</v>
      </c>
      <c r="K155" s="108">
        <v>0</v>
      </c>
      <c r="L155" s="108">
        <v>1</v>
      </c>
      <c r="M155" s="133">
        <v>1</v>
      </c>
      <c r="N155" s="133">
        <v>48</v>
      </c>
      <c r="O155" s="133">
        <v>5000</v>
      </c>
      <c r="P155" s="133">
        <v>0</v>
      </c>
      <c r="Q155" s="133">
        <v>0</v>
      </c>
      <c r="R155" s="133">
        <v>0</v>
      </c>
      <c r="S155" s="133">
        <v>0</v>
      </c>
    </row>
    <row r="156" spans="1:19">
      <c r="A156" s="88" t="s">
        <v>118</v>
      </c>
      <c r="B156" s="108">
        <v>4</v>
      </c>
      <c r="C156" s="108">
        <v>1</v>
      </c>
      <c r="D156" s="108">
        <v>4.2208654101406946</v>
      </c>
      <c r="E156" s="108">
        <v>1.1282187417042731</v>
      </c>
      <c r="F156" s="108">
        <v>5.123440403504115</v>
      </c>
      <c r="G156" s="108">
        <v>54.605787098486857</v>
      </c>
      <c r="H156" s="108">
        <v>1.340589328378017</v>
      </c>
      <c r="I156" s="108">
        <v>0</v>
      </c>
      <c r="J156" s="108">
        <v>0</v>
      </c>
      <c r="K156" s="108">
        <v>0</v>
      </c>
      <c r="L156" s="108">
        <v>1</v>
      </c>
      <c r="M156" s="133">
        <v>1</v>
      </c>
      <c r="N156" s="133">
        <v>48</v>
      </c>
      <c r="O156" s="133">
        <v>5000</v>
      </c>
      <c r="P156" s="133">
        <v>0</v>
      </c>
      <c r="Q156" s="133">
        <v>0</v>
      </c>
      <c r="R156" s="133">
        <v>0</v>
      </c>
      <c r="S156" s="133">
        <v>0</v>
      </c>
    </row>
    <row r="157" spans="1:19">
      <c r="A157" s="88" t="s">
        <v>118</v>
      </c>
      <c r="B157" s="108">
        <v>5</v>
      </c>
      <c r="C157" s="108">
        <v>1</v>
      </c>
      <c r="D157" s="108">
        <v>40.084948234669497</v>
      </c>
      <c r="E157" s="108">
        <v>18.170958322272369</v>
      </c>
      <c r="F157" s="108">
        <v>38.531988319617732</v>
      </c>
      <c r="G157" s="108">
        <v>74.064242102468796</v>
      </c>
      <c r="H157" s="108">
        <v>7.3267852402442273</v>
      </c>
      <c r="I157" s="108">
        <v>0</v>
      </c>
      <c r="J157" s="108">
        <v>0</v>
      </c>
      <c r="K157" s="108">
        <v>0</v>
      </c>
      <c r="L157" s="108">
        <v>1</v>
      </c>
      <c r="M157" s="133">
        <v>1</v>
      </c>
      <c r="N157" s="133">
        <v>48</v>
      </c>
      <c r="O157" s="133">
        <v>5000</v>
      </c>
      <c r="P157" s="133">
        <v>0</v>
      </c>
      <c r="Q157" s="133">
        <v>0</v>
      </c>
      <c r="R157" s="133">
        <v>0</v>
      </c>
      <c r="S157" s="133">
        <v>0</v>
      </c>
    </row>
    <row r="158" spans="1:19">
      <c r="A158" s="88" t="s">
        <v>118</v>
      </c>
      <c r="B158" s="108">
        <v>7</v>
      </c>
      <c r="C158" s="108">
        <v>1</v>
      </c>
      <c r="D158" s="108">
        <v>14.852667905495091</v>
      </c>
      <c r="E158" s="108">
        <v>1.778603663392619</v>
      </c>
      <c r="F158" s="108">
        <v>0.90257499336341973</v>
      </c>
      <c r="G158" s="108">
        <v>100</v>
      </c>
      <c r="H158" s="108">
        <v>0</v>
      </c>
      <c r="I158" s="108">
        <v>0</v>
      </c>
      <c r="J158" s="108">
        <v>1</v>
      </c>
      <c r="K158" s="108">
        <v>0</v>
      </c>
      <c r="L158" s="108">
        <v>1</v>
      </c>
      <c r="M158" s="133">
        <v>1</v>
      </c>
      <c r="N158" s="133">
        <v>48</v>
      </c>
      <c r="O158" s="133">
        <v>5000</v>
      </c>
      <c r="P158" s="133">
        <v>0</v>
      </c>
      <c r="Q158" s="133">
        <v>0</v>
      </c>
      <c r="R158" s="133">
        <v>0</v>
      </c>
      <c r="S158" s="133">
        <v>0</v>
      </c>
    </row>
    <row r="159" spans="1:19">
      <c r="A159" s="88" t="s">
        <v>119</v>
      </c>
      <c r="B159" s="108">
        <v>2</v>
      </c>
      <c r="C159" s="108">
        <v>1</v>
      </c>
      <c r="D159" s="108">
        <v>91.735185710235328</v>
      </c>
      <c r="E159" s="108">
        <v>92.444003402324924</v>
      </c>
      <c r="F159" s="108">
        <v>90.558548341366603</v>
      </c>
      <c r="G159" s="108">
        <v>8.7468103203855954</v>
      </c>
      <c r="H159" s="108">
        <v>17.4794442869294</v>
      </c>
      <c r="I159" s="108">
        <v>0</v>
      </c>
      <c r="J159" s="108">
        <v>0</v>
      </c>
      <c r="K159" s="108">
        <v>1</v>
      </c>
      <c r="L159" s="108">
        <v>1</v>
      </c>
      <c r="M159" s="133">
        <v>1</v>
      </c>
      <c r="N159" s="133">
        <v>27</v>
      </c>
      <c r="O159" s="133">
        <v>200000</v>
      </c>
      <c r="P159" s="133">
        <v>0</v>
      </c>
      <c r="Q159" s="133">
        <v>1</v>
      </c>
      <c r="R159" s="133">
        <v>0</v>
      </c>
      <c r="S159" s="133">
        <v>0</v>
      </c>
    </row>
    <row r="160" spans="1:19">
      <c r="A160" s="88" t="s">
        <v>119</v>
      </c>
      <c r="B160" s="108">
        <v>6</v>
      </c>
      <c r="C160" s="108">
        <v>1</v>
      </c>
      <c r="D160" s="108">
        <v>97.164729231641616</v>
      </c>
      <c r="E160" s="108">
        <v>97.873546923731212</v>
      </c>
      <c r="F160" s="108">
        <v>97.646725262262549</v>
      </c>
      <c r="G160" s="108">
        <v>63.623476041962007</v>
      </c>
      <c r="H160" s="108">
        <v>99.291182307910404</v>
      </c>
      <c r="I160" s="108">
        <v>0</v>
      </c>
      <c r="J160" s="108">
        <v>0</v>
      </c>
      <c r="K160" s="108">
        <v>1</v>
      </c>
      <c r="L160" s="108">
        <v>1</v>
      </c>
      <c r="M160" s="133">
        <v>1</v>
      </c>
      <c r="N160" s="133">
        <v>27</v>
      </c>
      <c r="O160" s="133">
        <v>200000</v>
      </c>
      <c r="P160" s="133">
        <v>0</v>
      </c>
      <c r="Q160" s="133">
        <v>1</v>
      </c>
      <c r="R160" s="133">
        <v>0</v>
      </c>
      <c r="S160" s="133">
        <v>0</v>
      </c>
    </row>
    <row r="161" spans="1:19">
      <c r="A161" s="88" t="s">
        <v>120</v>
      </c>
      <c r="B161" s="108">
        <v>2</v>
      </c>
      <c r="C161" s="108">
        <v>1</v>
      </c>
      <c r="D161" s="108">
        <v>8.0105401844532302</v>
      </c>
      <c r="E161" s="108">
        <v>6.00790513833992</v>
      </c>
      <c r="F161" s="108">
        <v>6.00790513833992</v>
      </c>
      <c r="G161" s="108">
        <v>71.963109354413703</v>
      </c>
      <c r="H161" s="108">
        <v>84.927536231884062</v>
      </c>
      <c r="I161" s="108">
        <v>0</v>
      </c>
      <c r="J161" s="108">
        <v>0</v>
      </c>
      <c r="K161" s="108">
        <v>0</v>
      </c>
      <c r="L161" s="108">
        <v>1</v>
      </c>
      <c r="M161" s="133">
        <v>0</v>
      </c>
      <c r="N161" s="133">
        <v>25</v>
      </c>
      <c r="O161" s="133">
        <v>29000</v>
      </c>
      <c r="P161" s="133">
        <v>1</v>
      </c>
      <c r="Q161" s="133">
        <v>0</v>
      </c>
      <c r="R161" s="133">
        <v>1</v>
      </c>
      <c r="S161" s="133">
        <v>1</v>
      </c>
    </row>
    <row r="162" spans="1:19">
      <c r="A162" s="88" t="s">
        <v>120</v>
      </c>
      <c r="B162" s="108">
        <v>3</v>
      </c>
      <c r="C162" s="108">
        <v>1</v>
      </c>
      <c r="D162" s="108">
        <v>5.9025032938076416</v>
      </c>
      <c r="E162" s="108">
        <v>12.2266139657444</v>
      </c>
      <c r="F162" s="108">
        <v>8.9591567852437439</v>
      </c>
      <c r="G162" s="108">
        <v>93.78129117259553</v>
      </c>
      <c r="H162" s="108">
        <v>3.056653491436101</v>
      </c>
      <c r="I162" s="108">
        <v>0</v>
      </c>
      <c r="J162" s="108">
        <v>0</v>
      </c>
      <c r="K162" s="108">
        <v>0</v>
      </c>
      <c r="L162" s="108">
        <v>1</v>
      </c>
      <c r="M162" s="133">
        <v>0</v>
      </c>
      <c r="N162" s="133">
        <v>25</v>
      </c>
      <c r="O162" s="133">
        <v>29000</v>
      </c>
      <c r="P162" s="133">
        <v>1</v>
      </c>
      <c r="Q162" s="133">
        <v>0</v>
      </c>
      <c r="R162" s="133">
        <v>1</v>
      </c>
      <c r="S162" s="133">
        <v>1</v>
      </c>
    </row>
    <row r="163" spans="1:19">
      <c r="A163" s="88" t="s">
        <v>120</v>
      </c>
      <c r="B163" s="108">
        <v>4</v>
      </c>
      <c r="C163" s="108">
        <v>1</v>
      </c>
      <c r="D163" s="108">
        <v>5.7048748353096199</v>
      </c>
      <c r="E163" s="108">
        <v>6.9433465085638968</v>
      </c>
      <c r="F163" s="108">
        <v>8.2213438735177835</v>
      </c>
      <c r="G163" s="108">
        <v>92.635046113306984</v>
      </c>
      <c r="H163" s="108">
        <v>3.47826086956522</v>
      </c>
      <c r="I163" s="108">
        <v>0</v>
      </c>
      <c r="J163" s="108">
        <v>0</v>
      </c>
      <c r="K163" s="108">
        <v>0</v>
      </c>
      <c r="L163" s="108">
        <v>1</v>
      </c>
      <c r="M163" s="133">
        <v>0</v>
      </c>
      <c r="N163" s="133">
        <v>25</v>
      </c>
      <c r="O163" s="133">
        <v>29000</v>
      </c>
      <c r="P163" s="133">
        <v>1</v>
      </c>
      <c r="Q163" s="133">
        <v>0</v>
      </c>
      <c r="R163" s="133">
        <v>1</v>
      </c>
      <c r="S163" s="133">
        <v>1</v>
      </c>
    </row>
    <row r="164" spans="1:19">
      <c r="A164" s="88" t="s">
        <v>120</v>
      </c>
      <c r="B164" s="108">
        <v>5</v>
      </c>
      <c r="C164" s="108">
        <v>1</v>
      </c>
      <c r="D164" s="108">
        <v>4.4268774703557332</v>
      </c>
      <c r="E164" s="108">
        <v>2.1080368906455869</v>
      </c>
      <c r="F164" s="108">
        <v>3.8998682476943318</v>
      </c>
      <c r="G164" s="108">
        <v>82.819499341238469</v>
      </c>
      <c r="H164" s="108">
        <v>4.0447957839262196</v>
      </c>
      <c r="I164" s="108">
        <v>0</v>
      </c>
      <c r="J164" s="108">
        <v>0</v>
      </c>
      <c r="K164" s="108">
        <v>0</v>
      </c>
      <c r="L164" s="108">
        <v>1</v>
      </c>
      <c r="M164" s="133">
        <v>0</v>
      </c>
      <c r="N164" s="133">
        <v>25</v>
      </c>
      <c r="O164" s="133">
        <v>29000</v>
      </c>
      <c r="P164" s="133">
        <v>1</v>
      </c>
      <c r="Q164" s="133">
        <v>0</v>
      </c>
      <c r="R164" s="133">
        <v>1</v>
      </c>
      <c r="S164" s="133">
        <v>1</v>
      </c>
    </row>
    <row r="165" spans="1:19">
      <c r="A165" s="88" t="s">
        <v>120</v>
      </c>
      <c r="B165" s="108">
        <v>7</v>
      </c>
      <c r="C165" s="108">
        <v>1</v>
      </c>
      <c r="D165" s="108">
        <v>4.7562582345191062</v>
      </c>
      <c r="E165" s="108">
        <v>0</v>
      </c>
      <c r="F165" s="108">
        <v>1.1594202898550729</v>
      </c>
      <c r="G165" s="108">
        <v>97.891963109354421</v>
      </c>
      <c r="H165" s="108">
        <v>2.1080368906455869</v>
      </c>
      <c r="I165" s="108">
        <v>0</v>
      </c>
      <c r="J165" s="108">
        <v>1</v>
      </c>
      <c r="K165" s="108">
        <v>0</v>
      </c>
      <c r="L165" s="108">
        <v>1</v>
      </c>
      <c r="M165" s="133">
        <v>0</v>
      </c>
      <c r="N165" s="133">
        <v>25</v>
      </c>
      <c r="O165" s="133">
        <v>29000</v>
      </c>
      <c r="P165" s="133">
        <v>1</v>
      </c>
      <c r="Q165" s="133">
        <v>0</v>
      </c>
      <c r="R165" s="133">
        <v>1</v>
      </c>
      <c r="S165" s="133">
        <v>1</v>
      </c>
    </row>
    <row r="166" spans="1:19">
      <c r="A166" s="88" t="s">
        <v>121</v>
      </c>
      <c r="B166" s="108">
        <v>1</v>
      </c>
      <c r="C166" s="108">
        <v>1</v>
      </c>
      <c r="D166" s="108">
        <v>6.7298797409805724</v>
      </c>
      <c r="E166" s="108">
        <v>7.6549491211840914</v>
      </c>
      <c r="F166" s="108">
        <v>8.009559050262105</v>
      </c>
      <c r="G166" s="108">
        <v>90.857230958988595</v>
      </c>
      <c r="H166" s="108">
        <v>0</v>
      </c>
      <c r="I166" s="108">
        <v>1</v>
      </c>
      <c r="J166" s="108">
        <v>0</v>
      </c>
      <c r="K166" s="108">
        <v>0</v>
      </c>
      <c r="L166" s="108">
        <v>1</v>
      </c>
      <c r="M166" s="133">
        <v>1</v>
      </c>
      <c r="N166" s="133">
        <v>62</v>
      </c>
      <c r="O166" s="133">
        <v>19000</v>
      </c>
      <c r="P166" s="133">
        <v>0</v>
      </c>
      <c r="Q166" s="133">
        <v>0</v>
      </c>
      <c r="R166" s="133">
        <v>0</v>
      </c>
      <c r="S166" s="133">
        <v>0</v>
      </c>
    </row>
    <row r="167" spans="1:19">
      <c r="A167" s="88" t="s">
        <v>121</v>
      </c>
      <c r="B167" s="108">
        <v>2</v>
      </c>
      <c r="C167" s="108">
        <v>1</v>
      </c>
      <c r="D167" s="108">
        <v>6.8455134135060103</v>
      </c>
      <c r="E167" s="108">
        <v>7.4159728646315148</v>
      </c>
      <c r="F167" s="108">
        <v>9.1504779525131035</v>
      </c>
      <c r="G167" s="108">
        <v>81.46006783842121</v>
      </c>
      <c r="H167" s="108">
        <v>89.970706136293558</v>
      </c>
      <c r="I167" s="108">
        <v>0</v>
      </c>
      <c r="J167" s="108">
        <v>0</v>
      </c>
      <c r="K167" s="108">
        <v>0</v>
      </c>
      <c r="L167" s="108">
        <v>1</v>
      </c>
      <c r="M167" s="133">
        <v>1</v>
      </c>
      <c r="N167" s="133">
        <v>62</v>
      </c>
      <c r="O167" s="133">
        <v>19000</v>
      </c>
      <c r="P167" s="133">
        <v>0</v>
      </c>
      <c r="Q167" s="133">
        <v>0</v>
      </c>
      <c r="R167" s="133">
        <v>0</v>
      </c>
      <c r="S167" s="133">
        <v>0</v>
      </c>
    </row>
    <row r="168" spans="1:19">
      <c r="A168" s="88" t="s">
        <v>121</v>
      </c>
      <c r="B168" s="108">
        <v>3</v>
      </c>
      <c r="C168" s="108">
        <v>1</v>
      </c>
      <c r="D168" s="108">
        <v>8.695652173913043</v>
      </c>
      <c r="E168" s="108">
        <v>10.838729571384521</v>
      </c>
      <c r="F168" s="108">
        <v>11.563367252543941</v>
      </c>
      <c r="G168" s="108">
        <v>90.194264569842744</v>
      </c>
      <c r="H168" s="108">
        <v>84.959913660191177</v>
      </c>
      <c r="I168" s="108">
        <v>0</v>
      </c>
      <c r="J168" s="108">
        <v>0</v>
      </c>
      <c r="K168" s="108">
        <v>0</v>
      </c>
      <c r="L168" s="108">
        <v>1</v>
      </c>
      <c r="M168" s="133">
        <v>1</v>
      </c>
      <c r="N168" s="133">
        <v>62</v>
      </c>
      <c r="O168" s="133">
        <v>19000</v>
      </c>
      <c r="P168" s="133">
        <v>0</v>
      </c>
      <c r="Q168" s="133">
        <v>0</v>
      </c>
      <c r="R168" s="133">
        <v>0</v>
      </c>
      <c r="S168" s="133">
        <v>0</v>
      </c>
    </row>
    <row r="169" spans="1:19">
      <c r="A169" s="88" t="s">
        <v>121</v>
      </c>
      <c r="B169" s="108">
        <v>4</v>
      </c>
      <c r="C169" s="108">
        <v>1</v>
      </c>
      <c r="D169" s="108">
        <v>11.10638297872341</v>
      </c>
      <c r="E169" s="108">
        <v>21.659574468085111</v>
      </c>
      <c r="F169" s="108">
        <v>14.48936170212766</v>
      </c>
      <c r="G169" s="108">
        <v>58.59574468085107</v>
      </c>
      <c r="H169" s="108">
        <v>50</v>
      </c>
      <c r="I169" s="108">
        <v>0</v>
      </c>
      <c r="J169" s="108">
        <v>0</v>
      </c>
      <c r="K169" s="108">
        <v>0</v>
      </c>
      <c r="L169" s="108">
        <v>1</v>
      </c>
      <c r="M169" s="133">
        <v>1</v>
      </c>
      <c r="N169" s="133">
        <v>62</v>
      </c>
      <c r="O169" s="133">
        <v>19000</v>
      </c>
      <c r="P169" s="133">
        <v>0</v>
      </c>
      <c r="Q169" s="133">
        <v>0</v>
      </c>
      <c r="R169" s="133">
        <v>0</v>
      </c>
      <c r="S169" s="133">
        <v>0</v>
      </c>
    </row>
    <row r="170" spans="1:19">
      <c r="A170" s="88" t="s">
        <v>121</v>
      </c>
      <c r="B170" s="108">
        <v>5</v>
      </c>
      <c r="C170" s="108">
        <v>1</v>
      </c>
      <c r="D170" s="108">
        <v>13.414893617021271</v>
      </c>
      <c r="E170" s="108">
        <v>100</v>
      </c>
      <c r="F170" s="108">
        <v>9.4255319148936145</v>
      </c>
      <c r="G170" s="108">
        <v>86.585106382978722</v>
      </c>
      <c r="H170" s="108">
        <v>88.563829787234056</v>
      </c>
      <c r="I170" s="108">
        <v>0</v>
      </c>
      <c r="J170" s="108">
        <v>0</v>
      </c>
      <c r="K170" s="108">
        <v>0</v>
      </c>
      <c r="L170" s="108">
        <v>1</v>
      </c>
      <c r="M170" s="133">
        <v>1</v>
      </c>
      <c r="N170" s="133">
        <v>62</v>
      </c>
      <c r="O170" s="133">
        <v>19000</v>
      </c>
      <c r="P170" s="133">
        <v>0</v>
      </c>
      <c r="Q170" s="133">
        <v>0</v>
      </c>
      <c r="R170" s="133">
        <v>0</v>
      </c>
      <c r="S170" s="133">
        <v>0</v>
      </c>
    </row>
    <row r="171" spans="1:19">
      <c r="A171" s="88" t="s">
        <v>121</v>
      </c>
      <c r="B171" s="108">
        <v>6</v>
      </c>
      <c r="C171" s="108">
        <v>1</v>
      </c>
      <c r="D171" s="108">
        <v>12.787234042553189</v>
      </c>
      <c r="E171" s="108">
        <v>8.4787234042553177</v>
      </c>
      <c r="F171" s="108">
        <v>9.7446808510638299</v>
      </c>
      <c r="G171" s="108">
        <v>86.851063829787236</v>
      </c>
      <c r="H171" s="108">
        <v>87.202127659574472</v>
      </c>
      <c r="I171" s="108">
        <v>0</v>
      </c>
      <c r="J171" s="108">
        <v>0</v>
      </c>
      <c r="K171" s="108">
        <v>0</v>
      </c>
      <c r="L171" s="108">
        <v>1</v>
      </c>
      <c r="M171" s="133">
        <v>1</v>
      </c>
      <c r="N171" s="133">
        <v>62</v>
      </c>
      <c r="O171" s="133">
        <v>19000</v>
      </c>
      <c r="P171" s="133">
        <v>0</v>
      </c>
      <c r="Q171" s="133">
        <v>0</v>
      </c>
      <c r="R171" s="133">
        <v>0</v>
      </c>
      <c r="S171" s="133">
        <v>0</v>
      </c>
    </row>
    <row r="172" spans="1:19">
      <c r="A172" s="88" t="s">
        <v>121</v>
      </c>
      <c r="B172" s="108">
        <v>7</v>
      </c>
      <c r="C172" s="108">
        <v>1</v>
      </c>
      <c r="D172" s="108">
        <v>12.39361702127659</v>
      </c>
      <c r="E172" s="108">
        <v>10.404255319148939</v>
      </c>
      <c r="F172" s="108">
        <v>8.297872340425533</v>
      </c>
      <c r="G172" s="108">
        <v>85.308510638297875</v>
      </c>
      <c r="H172" s="108">
        <v>13.287234042553189</v>
      </c>
      <c r="I172" s="108">
        <v>0</v>
      </c>
      <c r="J172" s="108">
        <v>1</v>
      </c>
      <c r="K172" s="108">
        <v>0</v>
      </c>
      <c r="L172" s="108">
        <v>1</v>
      </c>
      <c r="M172" s="133">
        <v>1</v>
      </c>
      <c r="N172" s="133">
        <v>62</v>
      </c>
      <c r="O172" s="133">
        <v>19000</v>
      </c>
      <c r="P172" s="133">
        <v>0</v>
      </c>
      <c r="Q172" s="133">
        <v>0</v>
      </c>
      <c r="R172" s="133">
        <v>0</v>
      </c>
      <c r="S172" s="133">
        <v>0</v>
      </c>
    </row>
    <row r="173" spans="1:19">
      <c r="A173" s="88" t="s">
        <v>122</v>
      </c>
      <c r="B173" s="108">
        <v>1</v>
      </c>
      <c r="C173" s="108">
        <v>1</v>
      </c>
      <c r="D173" s="108">
        <v>38.77499367248798</v>
      </c>
      <c r="E173" s="108">
        <v>80.005062009617816</v>
      </c>
      <c r="F173" s="108">
        <v>87.813211845102515</v>
      </c>
      <c r="G173" s="108">
        <v>50</v>
      </c>
      <c r="H173" s="108">
        <v>50</v>
      </c>
      <c r="I173" s="108">
        <v>1</v>
      </c>
      <c r="J173" s="108">
        <v>0</v>
      </c>
      <c r="K173" s="108">
        <v>0</v>
      </c>
      <c r="L173" s="108">
        <v>1</v>
      </c>
      <c r="M173" s="133">
        <v>0</v>
      </c>
      <c r="N173" s="133">
        <v>62</v>
      </c>
      <c r="O173" s="133">
        <v>15000</v>
      </c>
      <c r="P173" s="133">
        <v>0</v>
      </c>
      <c r="Q173" s="133">
        <v>0</v>
      </c>
      <c r="R173" s="133">
        <v>0</v>
      </c>
      <c r="S173" s="133">
        <v>0</v>
      </c>
    </row>
    <row r="174" spans="1:19">
      <c r="A174" s="88" t="s">
        <v>122</v>
      </c>
      <c r="B174" s="108">
        <v>2</v>
      </c>
      <c r="C174" s="108">
        <v>1</v>
      </c>
      <c r="D174" s="108">
        <v>17.10959250822577</v>
      </c>
      <c r="E174" s="108">
        <v>90.951657808149832</v>
      </c>
      <c r="F174" s="108">
        <v>75.09491268033409</v>
      </c>
      <c r="G174" s="108">
        <v>9.3267527208301679</v>
      </c>
      <c r="H174" s="108">
        <v>79.195140470766901</v>
      </c>
      <c r="I174" s="108">
        <v>0</v>
      </c>
      <c r="J174" s="108">
        <v>0</v>
      </c>
      <c r="K174" s="108">
        <v>0</v>
      </c>
      <c r="L174" s="108">
        <v>1</v>
      </c>
      <c r="M174" s="133">
        <v>0</v>
      </c>
      <c r="N174" s="133">
        <v>62</v>
      </c>
      <c r="O174" s="133">
        <v>15000</v>
      </c>
      <c r="P174" s="133">
        <v>0</v>
      </c>
      <c r="Q174" s="133">
        <v>0</v>
      </c>
      <c r="R174" s="133">
        <v>0</v>
      </c>
      <c r="S174" s="133">
        <v>0</v>
      </c>
    </row>
    <row r="175" spans="1:19">
      <c r="A175" s="88" t="s">
        <v>122</v>
      </c>
      <c r="B175" s="108">
        <v>3</v>
      </c>
      <c r="C175" s="108">
        <v>1</v>
      </c>
      <c r="D175" s="108">
        <v>3.1131359149582369</v>
      </c>
      <c r="E175" s="108">
        <v>95.81118704125538</v>
      </c>
      <c r="F175" s="108">
        <v>97.582890407491774</v>
      </c>
      <c r="G175" s="108">
        <v>2.417109592508226</v>
      </c>
      <c r="H175" s="108">
        <v>92.761326246519872</v>
      </c>
      <c r="I175" s="108">
        <v>0</v>
      </c>
      <c r="J175" s="108">
        <v>0</v>
      </c>
      <c r="K175" s="108">
        <v>0</v>
      </c>
      <c r="L175" s="108">
        <v>1</v>
      </c>
      <c r="M175" s="133">
        <v>0</v>
      </c>
      <c r="N175" s="133">
        <v>62</v>
      </c>
      <c r="O175" s="133">
        <v>15000</v>
      </c>
      <c r="P175" s="133">
        <v>0</v>
      </c>
      <c r="Q175" s="133">
        <v>0</v>
      </c>
      <c r="R175" s="133">
        <v>0</v>
      </c>
      <c r="S175" s="133">
        <v>0</v>
      </c>
    </row>
    <row r="176" spans="1:19">
      <c r="A176" s="88" t="s">
        <v>122</v>
      </c>
      <c r="B176" s="108">
        <v>4</v>
      </c>
      <c r="C176" s="108">
        <v>1</v>
      </c>
      <c r="D176" s="108">
        <v>13.642115920020251</v>
      </c>
      <c r="E176" s="108">
        <v>88.635788407997978</v>
      </c>
      <c r="F176" s="108">
        <v>95.380916223740826</v>
      </c>
      <c r="G176" s="108">
        <v>0.46823588964818857</v>
      </c>
      <c r="H176" s="108">
        <v>83.308023285244246</v>
      </c>
      <c r="I176" s="108">
        <v>0</v>
      </c>
      <c r="J176" s="108">
        <v>0</v>
      </c>
      <c r="K176" s="108">
        <v>0</v>
      </c>
      <c r="L176" s="108">
        <v>1</v>
      </c>
      <c r="M176" s="133">
        <v>0</v>
      </c>
      <c r="N176" s="133">
        <v>62</v>
      </c>
      <c r="O176" s="133">
        <v>15000</v>
      </c>
      <c r="P176" s="133">
        <v>0</v>
      </c>
      <c r="Q176" s="133">
        <v>0</v>
      </c>
      <c r="R176" s="133">
        <v>0</v>
      </c>
      <c r="S176" s="133">
        <v>0</v>
      </c>
    </row>
    <row r="177" spans="1:19">
      <c r="A177" s="88" t="s">
        <v>122</v>
      </c>
      <c r="B177" s="108">
        <v>5</v>
      </c>
      <c r="C177" s="108">
        <v>1</v>
      </c>
      <c r="D177" s="108">
        <v>69.919007846114908</v>
      </c>
      <c r="E177" s="108">
        <v>0</v>
      </c>
      <c r="F177" s="108">
        <v>97.215894710199962</v>
      </c>
      <c r="G177" s="108">
        <v>84.940521386990639</v>
      </c>
      <c r="H177" s="108">
        <v>91.533788914198936</v>
      </c>
      <c r="I177" s="108">
        <v>0</v>
      </c>
      <c r="J177" s="108">
        <v>0</v>
      </c>
      <c r="K177" s="108">
        <v>1</v>
      </c>
      <c r="L177" s="108">
        <v>1</v>
      </c>
      <c r="M177" s="133">
        <v>0</v>
      </c>
      <c r="N177" s="133">
        <v>62</v>
      </c>
      <c r="O177" s="133">
        <v>15000</v>
      </c>
      <c r="P177" s="133">
        <v>0</v>
      </c>
      <c r="Q177" s="133">
        <v>0</v>
      </c>
      <c r="R177" s="133">
        <v>0</v>
      </c>
      <c r="S177" s="133">
        <v>0</v>
      </c>
    </row>
    <row r="178" spans="1:19">
      <c r="A178" s="88" t="s">
        <v>122</v>
      </c>
      <c r="B178" s="108">
        <v>6</v>
      </c>
      <c r="C178" s="108">
        <v>1</v>
      </c>
      <c r="D178" s="108">
        <v>1.278157428499116</v>
      </c>
      <c r="E178" s="108">
        <v>97.00075930144267</v>
      </c>
      <c r="F178" s="108">
        <v>80.346747658820547</v>
      </c>
      <c r="G178" s="108">
        <v>3.4168564920273372</v>
      </c>
      <c r="H178" s="108">
        <v>87.762591748924322</v>
      </c>
      <c r="I178" s="108">
        <v>0</v>
      </c>
      <c r="J178" s="108">
        <v>0</v>
      </c>
      <c r="K178" s="108">
        <v>0</v>
      </c>
      <c r="L178" s="108">
        <v>1</v>
      </c>
      <c r="M178" s="133">
        <v>0</v>
      </c>
      <c r="N178" s="133">
        <v>62</v>
      </c>
      <c r="O178" s="133">
        <v>15000</v>
      </c>
      <c r="P178" s="133">
        <v>0</v>
      </c>
      <c r="Q178" s="133">
        <v>0</v>
      </c>
      <c r="R178" s="133">
        <v>0</v>
      </c>
      <c r="S178" s="133">
        <v>0</v>
      </c>
    </row>
    <row r="179" spans="1:19">
      <c r="A179" s="88" t="s">
        <v>122</v>
      </c>
      <c r="B179" s="108">
        <v>7</v>
      </c>
      <c r="C179" s="108">
        <v>1</v>
      </c>
      <c r="D179" s="108">
        <v>14.072386737534799</v>
      </c>
      <c r="E179" s="108">
        <v>94.608959757023541</v>
      </c>
      <c r="F179" s="108">
        <v>93.216907112123522</v>
      </c>
      <c r="G179" s="108">
        <v>1.252847380410022</v>
      </c>
      <c r="H179" s="108">
        <v>88.724373576309802</v>
      </c>
      <c r="I179" s="108">
        <v>0</v>
      </c>
      <c r="J179" s="108">
        <v>1</v>
      </c>
      <c r="K179" s="108">
        <v>0</v>
      </c>
      <c r="L179" s="108">
        <v>1</v>
      </c>
      <c r="M179" s="133">
        <v>0</v>
      </c>
      <c r="N179" s="133">
        <v>62</v>
      </c>
      <c r="O179" s="133">
        <v>15000</v>
      </c>
      <c r="P179" s="133">
        <v>0</v>
      </c>
      <c r="Q179" s="133">
        <v>0</v>
      </c>
      <c r="R179" s="133">
        <v>0</v>
      </c>
      <c r="S179" s="133">
        <v>0</v>
      </c>
    </row>
    <row r="180" spans="1:19">
      <c r="A180" s="88" t="s">
        <v>123</v>
      </c>
      <c r="B180" s="108">
        <v>1</v>
      </c>
      <c r="C180" s="108">
        <v>1</v>
      </c>
      <c r="D180" s="108">
        <v>15.254440710513681</v>
      </c>
      <c r="E180" s="108">
        <v>82.993278924627944</v>
      </c>
      <c r="F180" s="108">
        <v>92.210753720595292</v>
      </c>
      <c r="G180" s="108">
        <v>8.4253480556889073</v>
      </c>
      <c r="H180" s="108">
        <v>9.6495439270283256</v>
      </c>
      <c r="I180" s="108">
        <v>1</v>
      </c>
      <c r="J180" s="108">
        <v>0</v>
      </c>
      <c r="K180" s="108">
        <v>0</v>
      </c>
      <c r="L180" s="108">
        <v>1</v>
      </c>
      <c r="M180" s="133">
        <v>1</v>
      </c>
      <c r="N180" s="133">
        <v>47</v>
      </c>
      <c r="O180" s="133">
        <v>47000</v>
      </c>
      <c r="P180" s="133">
        <v>0</v>
      </c>
      <c r="Q180" s="133">
        <v>0</v>
      </c>
      <c r="R180" s="133">
        <v>0</v>
      </c>
      <c r="S180" s="133">
        <v>1</v>
      </c>
    </row>
    <row r="181" spans="1:19">
      <c r="A181" s="88" t="s">
        <v>123</v>
      </c>
      <c r="B181" s="108">
        <v>3</v>
      </c>
      <c r="C181" s="108">
        <v>1</v>
      </c>
      <c r="D181" s="108">
        <v>2.412385981757081</v>
      </c>
      <c r="E181" s="108">
        <v>2.9404704752760469</v>
      </c>
      <c r="F181" s="108">
        <v>5.0768122899663934</v>
      </c>
      <c r="G181" s="108">
        <v>88.226116178588569</v>
      </c>
      <c r="H181" s="108">
        <v>7.0691310609697577</v>
      </c>
      <c r="I181" s="108">
        <v>0</v>
      </c>
      <c r="J181" s="108">
        <v>0</v>
      </c>
      <c r="K181" s="108">
        <v>0</v>
      </c>
      <c r="L181" s="108">
        <v>1</v>
      </c>
      <c r="M181" s="133">
        <v>1</v>
      </c>
      <c r="N181" s="133">
        <v>47</v>
      </c>
      <c r="O181" s="133">
        <v>47000</v>
      </c>
      <c r="P181" s="133">
        <v>0</v>
      </c>
      <c r="Q181" s="133">
        <v>0</v>
      </c>
      <c r="R181" s="133">
        <v>0</v>
      </c>
      <c r="S181" s="133">
        <v>1</v>
      </c>
    </row>
    <row r="182" spans="1:19">
      <c r="A182" s="88" t="s">
        <v>123</v>
      </c>
      <c r="B182" s="108">
        <v>4</v>
      </c>
      <c r="C182" s="108">
        <v>1</v>
      </c>
      <c r="D182" s="108">
        <v>5.2208353336533841</v>
      </c>
      <c r="E182" s="108">
        <v>9.9855976956312986</v>
      </c>
      <c r="F182" s="108">
        <v>6.3730196831493053</v>
      </c>
      <c r="G182" s="108">
        <v>93.362938070091218</v>
      </c>
      <c r="H182" s="108">
        <v>93.987037926068169</v>
      </c>
      <c r="I182" s="108">
        <v>0</v>
      </c>
      <c r="J182" s="108">
        <v>0</v>
      </c>
      <c r="K182" s="108">
        <v>0</v>
      </c>
      <c r="L182" s="108">
        <v>1</v>
      </c>
      <c r="M182" s="133">
        <v>1</v>
      </c>
      <c r="N182" s="133">
        <v>47</v>
      </c>
      <c r="O182" s="133">
        <v>47000</v>
      </c>
      <c r="P182" s="133">
        <v>0</v>
      </c>
      <c r="Q182" s="133">
        <v>0</v>
      </c>
      <c r="R182" s="133">
        <v>0</v>
      </c>
      <c r="S182" s="133">
        <v>1</v>
      </c>
    </row>
    <row r="183" spans="1:19">
      <c r="A183" s="88" t="s">
        <v>123</v>
      </c>
      <c r="B183" s="108">
        <v>5</v>
      </c>
      <c r="C183" s="108">
        <v>1</v>
      </c>
      <c r="D183" s="108">
        <v>1.776284205472878</v>
      </c>
      <c r="E183" s="108">
        <v>11.16178588574172</v>
      </c>
      <c r="F183" s="108">
        <v>14.65434469515122</v>
      </c>
      <c r="G183" s="108">
        <v>94.551128180508883</v>
      </c>
      <c r="H183" s="108">
        <v>93.00288046087374</v>
      </c>
      <c r="I183" s="108">
        <v>0</v>
      </c>
      <c r="J183" s="108">
        <v>0</v>
      </c>
      <c r="K183" s="108">
        <v>0</v>
      </c>
      <c r="L183" s="108">
        <v>1</v>
      </c>
      <c r="M183" s="133">
        <v>1</v>
      </c>
      <c r="N183" s="133">
        <v>47</v>
      </c>
      <c r="O183" s="133">
        <v>47000</v>
      </c>
      <c r="P183" s="133">
        <v>0</v>
      </c>
      <c r="Q183" s="133">
        <v>0</v>
      </c>
      <c r="R183" s="133">
        <v>0</v>
      </c>
      <c r="S183" s="133">
        <v>1</v>
      </c>
    </row>
    <row r="184" spans="1:19">
      <c r="A184" s="88" t="s">
        <v>123</v>
      </c>
      <c r="B184" s="108">
        <v>6</v>
      </c>
      <c r="C184" s="108">
        <v>1</v>
      </c>
      <c r="D184" s="108">
        <v>0</v>
      </c>
      <c r="E184" s="108">
        <v>13.77820451272204</v>
      </c>
      <c r="F184" s="108">
        <v>6.6850696111377843</v>
      </c>
      <c r="G184" s="108">
        <v>93.37493999039846</v>
      </c>
      <c r="H184" s="108">
        <v>100</v>
      </c>
      <c r="I184" s="108">
        <v>0</v>
      </c>
      <c r="J184" s="108">
        <v>0</v>
      </c>
      <c r="K184" s="108">
        <v>0</v>
      </c>
      <c r="L184" s="108">
        <v>1</v>
      </c>
      <c r="M184" s="133">
        <v>1</v>
      </c>
      <c r="N184" s="133">
        <v>47</v>
      </c>
      <c r="O184" s="133">
        <v>47000</v>
      </c>
      <c r="P184" s="133">
        <v>0</v>
      </c>
      <c r="Q184" s="133">
        <v>0</v>
      </c>
      <c r="R184" s="133">
        <v>0</v>
      </c>
      <c r="S184" s="133">
        <v>1</v>
      </c>
    </row>
    <row r="185" spans="1:19">
      <c r="A185" s="88" t="s">
        <v>123</v>
      </c>
      <c r="B185" s="108">
        <v>7</v>
      </c>
      <c r="C185" s="108">
        <v>1</v>
      </c>
      <c r="D185" s="108">
        <v>50</v>
      </c>
      <c r="E185" s="108">
        <v>4.3807009121459402</v>
      </c>
      <c r="F185" s="108">
        <v>8.0292846855496869</v>
      </c>
      <c r="G185" s="108">
        <v>89.966394623139706</v>
      </c>
      <c r="H185" s="108">
        <v>82.717234757561215</v>
      </c>
      <c r="I185" s="108">
        <v>0</v>
      </c>
      <c r="J185" s="108">
        <v>1</v>
      </c>
      <c r="K185" s="108">
        <v>0</v>
      </c>
      <c r="L185" s="108">
        <v>1</v>
      </c>
      <c r="M185" s="133">
        <v>1</v>
      </c>
      <c r="N185" s="133">
        <v>47</v>
      </c>
      <c r="O185" s="133">
        <v>47000</v>
      </c>
      <c r="P185" s="133">
        <v>0</v>
      </c>
      <c r="Q185" s="133">
        <v>0</v>
      </c>
      <c r="R185" s="133">
        <v>0</v>
      </c>
      <c r="S185" s="133">
        <v>1</v>
      </c>
    </row>
    <row r="186" spans="1:19">
      <c r="A186" s="88" t="s">
        <v>124</v>
      </c>
      <c r="B186" s="108">
        <v>1</v>
      </c>
      <c r="C186" s="108">
        <v>1</v>
      </c>
      <c r="D186" s="108">
        <v>4.5285359801488836</v>
      </c>
      <c r="E186" s="108">
        <v>12.468982630272951</v>
      </c>
      <c r="F186" s="108">
        <v>5.4590570719603004</v>
      </c>
      <c r="G186" s="108">
        <v>72.075505140021264</v>
      </c>
      <c r="H186" s="108">
        <v>69.656150301311598</v>
      </c>
      <c r="I186" s="108">
        <v>1</v>
      </c>
      <c r="J186" s="108">
        <v>0</v>
      </c>
      <c r="K186" s="108">
        <v>0</v>
      </c>
      <c r="L186" s="108">
        <v>1</v>
      </c>
      <c r="M186" s="133">
        <v>0</v>
      </c>
      <c r="N186" s="133">
        <v>30</v>
      </c>
      <c r="O186" s="133">
        <v>75000</v>
      </c>
      <c r="P186" s="133">
        <v>1</v>
      </c>
      <c r="Q186" s="133">
        <v>1</v>
      </c>
      <c r="R186" s="133">
        <v>1</v>
      </c>
      <c r="S186" s="133">
        <v>0</v>
      </c>
    </row>
    <row r="187" spans="1:19">
      <c r="A187" s="88" t="s">
        <v>124</v>
      </c>
      <c r="B187" s="108">
        <v>5</v>
      </c>
      <c r="C187" s="108">
        <v>1</v>
      </c>
      <c r="D187" s="108">
        <v>50</v>
      </c>
      <c r="E187" s="108">
        <v>10.79795871027604</v>
      </c>
      <c r="F187" s="108">
        <v>50</v>
      </c>
      <c r="G187" s="108">
        <v>83.42611922987706</v>
      </c>
      <c r="H187" s="108">
        <v>83.681280445372309</v>
      </c>
      <c r="I187" s="108">
        <v>0</v>
      </c>
      <c r="J187" s="108">
        <v>0</v>
      </c>
      <c r="K187" s="108">
        <v>0</v>
      </c>
      <c r="L187" s="108">
        <v>1</v>
      </c>
      <c r="M187" s="133">
        <v>0</v>
      </c>
      <c r="N187" s="133">
        <v>30</v>
      </c>
      <c r="O187" s="133">
        <v>75000</v>
      </c>
      <c r="P187" s="133">
        <v>1</v>
      </c>
      <c r="Q187" s="133">
        <v>1</v>
      </c>
      <c r="R187" s="133">
        <v>1</v>
      </c>
      <c r="S187" s="133">
        <v>0</v>
      </c>
    </row>
    <row r="188" spans="1:19">
      <c r="A188" s="88" t="s">
        <v>124</v>
      </c>
      <c r="B188" s="108">
        <v>6</v>
      </c>
      <c r="C188" s="108">
        <v>1</v>
      </c>
      <c r="D188" s="108">
        <v>6.9357457666434694</v>
      </c>
      <c r="E188" s="108">
        <v>3.8854094177684981</v>
      </c>
      <c r="F188" s="108">
        <v>7.6896311760612406</v>
      </c>
      <c r="G188" s="108">
        <v>44.780793319415437</v>
      </c>
      <c r="H188" s="108">
        <v>4.8248666202737152</v>
      </c>
      <c r="I188" s="108">
        <v>0</v>
      </c>
      <c r="J188" s="108">
        <v>0</v>
      </c>
      <c r="K188" s="108">
        <v>0</v>
      </c>
      <c r="L188" s="108">
        <v>1</v>
      </c>
      <c r="M188" s="133">
        <v>0</v>
      </c>
      <c r="N188" s="133">
        <v>30</v>
      </c>
      <c r="O188" s="133">
        <v>75000</v>
      </c>
      <c r="P188" s="133">
        <v>1</v>
      </c>
      <c r="Q188" s="133">
        <v>1</v>
      </c>
      <c r="R188" s="133">
        <v>1</v>
      </c>
      <c r="S188" s="133">
        <v>0</v>
      </c>
    </row>
    <row r="189" spans="1:19">
      <c r="A189" s="88" t="s">
        <v>124</v>
      </c>
      <c r="B189" s="108">
        <v>7</v>
      </c>
      <c r="C189" s="108">
        <v>1</v>
      </c>
      <c r="D189" s="108">
        <v>4.6392948271862693</v>
      </c>
      <c r="E189" s="108">
        <v>12.236140106703781</v>
      </c>
      <c r="F189" s="108">
        <v>30.793319415448849</v>
      </c>
      <c r="G189" s="108">
        <v>8.4203201113430772</v>
      </c>
      <c r="H189" s="108">
        <v>86.093713755509157</v>
      </c>
      <c r="I189" s="108">
        <v>0</v>
      </c>
      <c r="J189" s="108">
        <v>1</v>
      </c>
      <c r="K189" s="108">
        <v>0</v>
      </c>
      <c r="L189" s="108">
        <v>1</v>
      </c>
      <c r="M189" s="133">
        <v>0</v>
      </c>
      <c r="N189" s="133">
        <v>30</v>
      </c>
      <c r="O189" s="133">
        <v>75000</v>
      </c>
      <c r="P189" s="133">
        <v>1</v>
      </c>
      <c r="Q189" s="133">
        <v>1</v>
      </c>
      <c r="R189" s="133">
        <v>1</v>
      </c>
      <c r="S189" s="133">
        <v>0</v>
      </c>
    </row>
    <row r="190" spans="1:19">
      <c r="A190" s="88" t="s">
        <v>125</v>
      </c>
      <c r="B190" s="108">
        <v>1</v>
      </c>
      <c r="C190" s="108">
        <v>1</v>
      </c>
      <c r="D190" s="108">
        <v>100</v>
      </c>
      <c r="E190" s="108">
        <v>95.781091155540494</v>
      </c>
      <c r="F190" s="108">
        <v>99.898339545916642</v>
      </c>
      <c r="G190" s="108">
        <v>1.7451711284310389</v>
      </c>
      <c r="H190" s="108">
        <v>0.69467976956963939</v>
      </c>
      <c r="I190" s="108">
        <v>1</v>
      </c>
      <c r="J190" s="108">
        <v>0</v>
      </c>
      <c r="K190" s="108">
        <v>1</v>
      </c>
      <c r="L190" s="108">
        <v>1</v>
      </c>
      <c r="M190" s="133">
        <v>1</v>
      </c>
      <c r="N190" s="133">
        <v>42</v>
      </c>
      <c r="O190" s="133">
        <v>-99</v>
      </c>
      <c r="P190" s="133">
        <v>0</v>
      </c>
      <c r="Q190" s="133">
        <v>0</v>
      </c>
      <c r="R190" s="133">
        <v>1</v>
      </c>
      <c r="S190" s="133">
        <v>0</v>
      </c>
    </row>
    <row r="191" spans="1:19">
      <c r="A191" s="88" t="s">
        <v>125</v>
      </c>
      <c r="B191" s="108">
        <v>2</v>
      </c>
      <c r="C191" s="108">
        <v>1</v>
      </c>
      <c r="D191" s="108">
        <v>92.383937648254829</v>
      </c>
      <c r="E191" s="108">
        <v>92.917655032192471</v>
      </c>
      <c r="F191" s="108">
        <v>99.229074889867846</v>
      </c>
      <c r="G191" s="108">
        <v>3.312436462216195</v>
      </c>
      <c r="H191" s="108">
        <v>1.804473059979667</v>
      </c>
      <c r="I191" s="108">
        <v>0</v>
      </c>
      <c r="J191" s="108">
        <v>0</v>
      </c>
      <c r="K191" s="108">
        <v>1</v>
      </c>
      <c r="L191" s="108">
        <v>1</v>
      </c>
      <c r="M191" s="133">
        <v>1</v>
      </c>
      <c r="N191" s="133">
        <v>42</v>
      </c>
      <c r="O191" s="133">
        <v>-99</v>
      </c>
      <c r="P191" s="133">
        <v>0</v>
      </c>
      <c r="Q191" s="133">
        <v>0</v>
      </c>
      <c r="R191" s="133">
        <v>1</v>
      </c>
      <c r="S191" s="133">
        <v>0</v>
      </c>
    </row>
    <row r="192" spans="1:19">
      <c r="A192" s="88" t="s">
        <v>125</v>
      </c>
      <c r="B192" s="108">
        <v>4</v>
      </c>
      <c r="C192" s="108">
        <v>1</v>
      </c>
      <c r="D192" s="108">
        <v>95.31740284817765</v>
      </c>
      <c r="E192" s="108">
        <v>92.227854211923727</v>
      </c>
      <c r="F192" s="108">
        <v>50</v>
      </c>
      <c r="G192" s="108">
        <v>16.920106203234379</v>
      </c>
      <c r="H192" s="108">
        <v>9.4255370504465361</v>
      </c>
      <c r="I192" s="108">
        <v>0</v>
      </c>
      <c r="J192" s="108">
        <v>0</v>
      </c>
      <c r="K192" s="108">
        <v>1</v>
      </c>
      <c r="L192" s="108">
        <v>1</v>
      </c>
      <c r="M192" s="133">
        <v>1</v>
      </c>
      <c r="N192" s="133">
        <v>42</v>
      </c>
      <c r="O192" s="133">
        <v>-99</v>
      </c>
      <c r="P192" s="133">
        <v>0</v>
      </c>
      <c r="Q192" s="133">
        <v>0</v>
      </c>
      <c r="R192" s="133">
        <v>1</v>
      </c>
      <c r="S192" s="133">
        <v>0</v>
      </c>
    </row>
    <row r="193" spans="1:19">
      <c r="A193" s="88" t="s">
        <v>126</v>
      </c>
      <c r="B193" s="108">
        <v>1</v>
      </c>
      <c r="C193" s="108">
        <v>1</v>
      </c>
      <c r="D193" s="108">
        <v>87.74379966289429</v>
      </c>
      <c r="E193" s="108">
        <v>89.814591861305075</v>
      </c>
      <c r="F193" s="108">
        <v>86.828798458945343</v>
      </c>
      <c r="G193" s="108">
        <v>12.605345533349389</v>
      </c>
      <c r="H193" s="108">
        <v>9.378762340476765</v>
      </c>
      <c r="I193" s="108">
        <v>1</v>
      </c>
      <c r="J193" s="108">
        <v>0</v>
      </c>
      <c r="K193" s="108">
        <v>1</v>
      </c>
      <c r="L193" s="108">
        <v>1</v>
      </c>
      <c r="M193" s="133">
        <v>1</v>
      </c>
      <c r="N193" s="133">
        <v>41</v>
      </c>
      <c r="O193" s="133">
        <v>-99</v>
      </c>
      <c r="P193" s="133">
        <v>0</v>
      </c>
      <c r="Q193" s="133">
        <v>0</v>
      </c>
      <c r="R193" s="133">
        <v>0</v>
      </c>
      <c r="S193" s="133">
        <v>0</v>
      </c>
    </row>
    <row r="194" spans="1:19">
      <c r="A194" s="88" t="s">
        <v>126</v>
      </c>
      <c r="B194" s="108">
        <v>4</v>
      </c>
      <c r="C194" s="108">
        <v>1</v>
      </c>
      <c r="D194" s="108">
        <v>19.54009150012039</v>
      </c>
      <c r="E194" s="108">
        <v>14.411268962196001</v>
      </c>
      <c r="F194" s="108">
        <v>50</v>
      </c>
      <c r="G194" s="108">
        <v>20.38285576691549</v>
      </c>
      <c r="H194" s="108">
        <v>8.4276426679508791</v>
      </c>
      <c r="I194" s="108">
        <v>0</v>
      </c>
      <c r="J194" s="108">
        <v>0</v>
      </c>
      <c r="K194" s="108">
        <v>0</v>
      </c>
      <c r="L194" s="108">
        <v>1</v>
      </c>
      <c r="M194" s="133">
        <v>1</v>
      </c>
      <c r="N194" s="133">
        <v>41</v>
      </c>
      <c r="O194" s="133">
        <v>-99</v>
      </c>
      <c r="P194" s="133">
        <v>0</v>
      </c>
      <c r="Q194" s="133">
        <v>0</v>
      </c>
      <c r="R194" s="133">
        <v>0</v>
      </c>
      <c r="S194" s="133">
        <v>0</v>
      </c>
    </row>
    <row r="195" spans="1:19">
      <c r="A195" s="88" t="s">
        <v>127</v>
      </c>
      <c r="B195" s="108">
        <v>1</v>
      </c>
      <c r="C195" s="108">
        <v>1</v>
      </c>
      <c r="D195" s="108">
        <v>93.41245644599303</v>
      </c>
      <c r="E195" s="108">
        <v>89.514372822299649</v>
      </c>
      <c r="F195" s="108">
        <v>91.702961672473876</v>
      </c>
      <c r="G195" s="108">
        <v>50</v>
      </c>
      <c r="H195" s="108">
        <v>8.1990418118466906</v>
      </c>
      <c r="I195" s="108">
        <v>1</v>
      </c>
      <c r="J195" s="108">
        <v>0</v>
      </c>
      <c r="K195" s="108">
        <v>1</v>
      </c>
      <c r="L195" s="108">
        <v>1</v>
      </c>
      <c r="M195" s="133">
        <v>0</v>
      </c>
      <c r="N195" s="133">
        <v>34</v>
      </c>
      <c r="O195" s="133">
        <v>28000</v>
      </c>
      <c r="P195" s="133">
        <v>1</v>
      </c>
      <c r="Q195" s="133">
        <v>1</v>
      </c>
      <c r="R195" s="133">
        <v>1</v>
      </c>
      <c r="S195" s="133">
        <v>1</v>
      </c>
    </row>
    <row r="196" spans="1:19">
      <c r="A196" s="88" t="s">
        <v>127</v>
      </c>
      <c r="B196" s="108">
        <v>2</v>
      </c>
      <c r="C196" s="108">
        <v>1</v>
      </c>
      <c r="D196" s="108">
        <v>90.178571428571431</v>
      </c>
      <c r="E196" s="108">
        <v>95.317944250871079</v>
      </c>
      <c r="F196" s="108">
        <v>92.770034843205579</v>
      </c>
      <c r="G196" s="108">
        <v>9.5165505226480818</v>
      </c>
      <c r="H196" s="108">
        <v>19.196428571428569</v>
      </c>
      <c r="I196" s="108">
        <v>0</v>
      </c>
      <c r="J196" s="108">
        <v>0</v>
      </c>
      <c r="K196" s="108">
        <v>1</v>
      </c>
      <c r="L196" s="108">
        <v>1</v>
      </c>
      <c r="M196" s="133">
        <v>0</v>
      </c>
      <c r="N196" s="133">
        <v>34</v>
      </c>
      <c r="O196" s="133">
        <v>28000</v>
      </c>
      <c r="P196" s="133">
        <v>1</v>
      </c>
      <c r="Q196" s="133">
        <v>1</v>
      </c>
      <c r="R196" s="133">
        <v>1</v>
      </c>
      <c r="S196" s="133">
        <v>1</v>
      </c>
    </row>
    <row r="197" spans="1:19">
      <c r="A197" s="88" t="s">
        <v>127</v>
      </c>
      <c r="B197" s="108">
        <v>3</v>
      </c>
      <c r="C197" s="108">
        <v>1</v>
      </c>
      <c r="D197" s="108">
        <v>14.89547038327526</v>
      </c>
      <c r="E197" s="108">
        <v>7.01219512195122</v>
      </c>
      <c r="F197" s="108">
        <v>4.8344947735191646</v>
      </c>
      <c r="G197" s="108">
        <v>91.528745644599297</v>
      </c>
      <c r="H197" s="108">
        <v>4.5731707317073154</v>
      </c>
      <c r="I197" s="108">
        <v>0</v>
      </c>
      <c r="J197" s="108">
        <v>0</v>
      </c>
      <c r="K197" s="108">
        <v>0</v>
      </c>
      <c r="L197" s="108">
        <v>1</v>
      </c>
      <c r="M197" s="133">
        <v>0</v>
      </c>
      <c r="N197" s="133">
        <v>34</v>
      </c>
      <c r="O197" s="133">
        <v>28000</v>
      </c>
      <c r="P197" s="133">
        <v>1</v>
      </c>
      <c r="Q197" s="133">
        <v>1</v>
      </c>
      <c r="R197" s="133">
        <v>1</v>
      </c>
      <c r="S197" s="133">
        <v>1</v>
      </c>
    </row>
    <row r="198" spans="1:19">
      <c r="A198" s="88" t="s">
        <v>127</v>
      </c>
      <c r="B198" s="108">
        <v>4</v>
      </c>
      <c r="C198" s="108">
        <v>1</v>
      </c>
      <c r="D198" s="108">
        <v>0</v>
      </c>
      <c r="E198" s="108">
        <v>0.75130662020905792</v>
      </c>
      <c r="F198" s="108">
        <v>0</v>
      </c>
      <c r="G198" s="108">
        <v>94.316202090592327</v>
      </c>
      <c r="H198" s="108">
        <v>86.030052264808361</v>
      </c>
      <c r="I198" s="108">
        <v>0</v>
      </c>
      <c r="J198" s="108">
        <v>0</v>
      </c>
      <c r="K198" s="108">
        <v>0</v>
      </c>
      <c r="L198" s="108">
        <v>1</v>
      </c>
      <c r="M198" s="133">
        <v>0</v>
      </c>
      <c r="N198" s="133">
        <v>34</v>
      </c>
      <c r="O198" s="133">
        <v>28000</v>
      </c>
      <c r="P198" s="133">
        <v>1</v>
      </c>
      <c r="Q198" s="133">
        <v>1</v>
      </c>
      <c r="R198" s="133">
        <v>1</v>
      </c>
      <c r="S198" s="133">
        <v>1</v>
      </c>
    </row>
    <row r="199" spans="1:19">
      <c r="A199" s="88" t="s">
        <v>127</v>
      </c>
      <c r="B199" s="108">
        <v>6</v>
      </c>
      <c r="C199" s="108">
        <v>1</v>
      </c>
      <c r="D199" s="108">
        <v>5.8253484320557494</v>
      </c>
      <c r="E199" s="108">
        <v>12.380226480836241</v>
      </c>
      <c r="F199" s="108">
        <v>21.25435540069687</v>
      </c>
      <c r="G199" s="108">
        <v>84.984756097560975</v>
      </c>
      <c r="H199" s="108">
        <v>92.62848432055749</v>
      </c>
      <c r="I199" s="108">
        <v>0</v>
      </c>
      <c r="J199" s="108">
        <v>0</v>
      </c>
      <c r="K199" s="108">
        <v>0</v>
      </c>
      <c r="L199" s="108">
        <v>1</v>
      </c>
      <c r="M199" s="133">
        <v>0</v>
      </c>
      <c r="N199" s="133">
        <v>34</v>
      </c>
      <c r="O199" s="133">
        <v>28000</v>
      </c>
      <c r="P199" s="133">
        <v>1</v>
      </c>
      <c r="Q199" s="133">
        <v>1</v>
      </c>
      <c r="R199" s="133">
        <v>1</v>
      </c>
      <c r="S199" s="133">
        <v>1</v>
      </c>
    </row>
    <row r="200" spans="1:19">
      <c r="A200" s="88" t="s">
        <v>128</v>
      </c>
      <c r="B200" s="108">
        <v>1</v>
      </c>
      <c r="C200" s="108">
        <v>1</v>
      </c>
      <c r="D200" s="108">
        <v>94.735498366013076</v>
      </c>
      <c r="E200" s="108">
        <v>2.8696895424836608</v>
      </c>
      <c r="F200" s="108">
        <v>99.397467320261441</v>
      </c>
      <c r="G200" s="108">
        <v>4.3709150326797399</v>
      </c>
      <c r="H200" s="108">
        <v>96.599264705882362</v>
      </c>
      <c r="I200" s="108">
        <v>1</v>
      </c>
      <c r="J200" s="108">
        <v>0</v>
      </c>
      <c r="K200" s="108">
        <v>1</v>
      </c>
      <c r="L200" s="108">
        <v>1</v>
      </c>
      <c r="M200" s="133">
        <v>0</v>
      </c>
      <c r="N200" s="133">
        <v>35</v>
      </c>
      <c r="O200" s="133">
        <v>-99</v>
      </c>
      <c r="P200" s="133">
        <v>0</v>
      </c>
      <c r="Q200" s="133">
        <v>0</v>
      </c>
      <c r="R200" s="133">
        <v>1</v>
      </c>
      <c r="S200" s="133">
        <v>0</v>
      </c>
    </row>
    <row r="201" spans="1:19">
      <c r="A201" s="88" t="s">
        <v>128</v>
      </c>
      <c r="B201" s="108">
        <v>2</v>
      </c>
      <c r="C201" s="108">
        <v>1</v>
      </c>
      <c r="D201" s="108">
        <v>97.375408496732035</v>
      </c>
      <c r="E201" s="108">
        <v>94.888684640522868</v>
      </c>
      <c r="F201" s="108">
        <v>5.5095996732026142</v>
      </c>
      <c r="G201" s="108">
        <v>2.0884395424836608</v>
      </c>
      <c r="H201" s="108">
        <v>0</v>
      </c>
      <c r="I201" s="108">
        <v>0</v>
      </c>
      <c r="J201" s="108">
        <v>0</v>
      </c>
      <c r="K201" s="108">
        <v>1</v>
      </c>
      <c r="L201" s="108">
        <v>1</v>
      </c>
      <c r="M201" s="133">
        <v>0</v>
      </c>
      <c r="N201" s="133">
        <v>35</v>
      </c>
      <c r="O201" s="133">
        <v>-99</v>
      </c>
      <c r="P201" s="133">
        <v>0</v>
      </c>
      <c r="Q201" s="133">
        <v>0</v>
      </c>
      <c r="R201" s="133">
        <v>1</v>
      </c>
      <c r="S201" s="133">
        <v>0</v>
      </c>
    </row>
    <row r="202" spans="1:19">
      <c r="A202" s="88" t="s">
        <v>128</v>
      </c>
      <c r="B202" s="108">
        <v>3</v>
      </c>
      <c r="C202" s="108">
        <v>1</v>
      </c>
      <c r="D202" s="108">
        <v>99.259599673202615</v>
      </c>
      <c r="E202" s="108">
        <v>98.069852941176478</v>
      </c>
      <c r="F202" s="108">
        <v>98.069852941176478</v>
      </c>
      <c r="G202" s="108">
        <v>2.7318218954248348</v>
      </c>
      <c r="H202" s="108">
        <v>2.0322712418300641</v>
      </c>
      <c r="I202" s="108">
        <v>0</v>
      </c>
      <c r="J202" s="108">
        <v>0</v>
      </c>
      <c r="K202" s="108">
        <v>1</v>
      </c>
      <c r="L202" s="108">
        <v>1</v>
      </c>
      <c r="M202" s="133">
        <v>0</v>
      </c>
      <c r="N202" s="133">
        <v>35</v>
      </c>
      <c r="O202" s="133">
        <v>-99</v>
      </c>
      <c r="P202" s="133">
        <v>0</v>
      </c>
      <c r="Q202" s="133">
        <v>0</v>
      </c>
      <c r="R202" s="133">
        <v>1</v>
      </c>
      <c r="S202" s="133">
        <v>0</v>
      </c>
    </row>
    <row r="203" spans="1:19">
      <c r="A203" s="88" t="s">
        <v>128</v>
      </c>
      <c r="B203" s="108">
        <v>4</v>
      </c>
      <c r="C203" s="108">
        <v>1</v>
      </c>
      <c r="D203" s="108">
        <v>81.147875816993462</v>
      </c>
      <c r="E203" s="108">
        <v>97.834967320261441</v>
      </c>
      <c r="F203" s="108">
        <v>95.424836601307177</v>
      </c>
      <c r="G203" s="108">
        <v>15.61989379084967</v>
      </c>
      <c r="H203" s="108">
        <v>8.2209967320261423</v>
      </c>
      <c r="I203" s="108">
        <v>0</v>
      </c>
      <c r="J203" s="108">
        <v>0</v>
      </c>
      <c r="K203" s="108">
        <v>1</v>
      </c>
      <c r="L203" s="108">
        <v>1</v>
      </c>
      <c r="M203" s="133">
        <v>0</v>
      </c>
      <c r="N203" s="133">
        <v>35</v>
      </c>
      <c r="O203" s="133">
        <v>-99</v>
      </c>
      <c r="P203" s="133">
        <v>0</v>
      </c>
      <c r="Q203" s="133">
        <v>0</v>
      </c>
      <c r="R203" s="133">
        <v>1</v>
      </c>
      <c r="S203" s="133">
        <v>0</v>
      </c>
    </row>
    <row r="204" spans="1:19">
      <c r="A204" s="88" t="s">
        <v>128</v>
      </c>
      <c r="B204" s="108">
        <v>5</v>
      </c>
      <c r="C204" s="108">
        <v>1</v>
      </c>
      <c r="D204" s="108">
        <v>97.635825163398692</v>
      </c>
      <c r="E204" s="108">
        <v>93.474264705882362</v>
      </c>
      <c r="F204" s="108">
        <v>96.900531045751634</v>
      </c>
      <c r="G204" s="108">
        <v>0.70465686274509554</v>
      </c>
      <c r="H204" s="108">
        <v>1.031454248366015</v>
      </c>
      <c r="I204" s="108">
        <v>0</v>
      </c>
      <c r="J204" s="108">
        <v>0</v>
      </c>
      <c r="K204" s="108">
        <v>1</v>
      </c>
      <c r="L204" s="108">
        <v>1</v>
      </c>
      <c r="M204" s="133">
        <v>0</v>
      </c>
      <c r="N204" s="133">
        <v>35</v>
      </c>
      <c r="O204" s="133">
        <v>-99</v>
      </c>
      <c r="P204" s="133">
        <v>0</v>
      </c>
      <c r="Q204" s="133">
        <v>0</v>
      </c>
      <c r="R204" s="133">
        <v>1</v>
      </c>
      <c r="S204" s="133">
        <v>0</v>
      </c>
    </row>
    <row r="205" spans="1:19">
      <c r="A205" s="88" t="s">
        <v>128</v>
      </c>
      <c r="B205" s="108">
        <v>6</v>
      </c>
      <c r="C205" s="108">
        <v>1</v>
      </c>
      <c r="D205" s="108">
        <v>56.060252218589447</v>
      </c>
      <c r="E205" s="108">
        <v>50</v>
      </c>
      <c r="F205" s="108">
        <v>50</v>
      </c>
      <c r="G205" s="108">
        <v>32.928538066324151</v>
      </c>
      <c r="H205" s="108">
        <v>14.29238673517048</v>
      </c>
      <c r="I205" s="108">
        <v>0</v>
      </c>
      <c r="J205" s="108">
        <v>0</v>
      </c>
      <c r="K205" s="108">
        <v>1</v>
      </c>
      <c r="L205" s="108">
        <v>1</v>
      </c>
      <c r="M205" s="133">
        <v>0</v>
      </c>
      <c r="N205" s="133">
        <v>35</v>
      </c>
      <c r="O205" s="133">
        <v>-99</v>
      </c>
      <c r="P205" s="133">
        <v>0</v>
      </c>
      <c r="Q205" s="133">
        <v>0</v>
      </c>
      <c r="R205" s="133">
        <v>1</v>
      </c>
      <c r="S205" s="133">
        <v>0</v>
      </c>
    </row>
    <row r="206" spans="1:19">
      <c r="A206" s="88" t="s">
        <v>129</v>
      </c>
      <c r="B206" s="108">
        <v>1</v>
      </c>
      <c r="C206" s="108">
        <v>1</v>
      </c>
      <c r="D206" s="108">
        <v>91.754680748919824</v>
      </c>
      <c r="E206" s="108">
        <v>91.322611617858868</v>
      </c>
      <c r="F206" s="108">
        <v>50</v>
      </c>
      <c r="G206" s="108">
        <v>5.6769083053288538</v>
      </c>
      <c r="H206" s="108">
        <v>2.988478156505042</v>
      </c>
      <c r="I206" s="108">
        <v>1</v>
      </c>
      <c r="J206" s="108">
        <v>0</v>
      </c>
      <c r="K206" s="108">
        <v>1</v>
      </c>
      <c r="L206" s="108">
        <v>1</v>
      </c>
      <c r="M206" s="133">
        <v>0</v>
      </c>
      <c r="N206" s="133">
        <v>42</v>
      </c>
      <c r="O206" s="133">
        <v>75000</v>
      </c>
      <c r="P206" s="133">
        <v>0</v>
      </c>
      <c r="Q206" s="133">
        <v>0</v>
      </c>
      <c r="R206" s="133">
        <v>0</v>
      </c>
      <c r="S206" s="133">
        <v>0</v>
      </c>
    </row>
    <row r="207" spans="1:19">
      <c r="A207" s="88" t="s">
        <v>129</v>
      </c>
      <c r="B207" s="108">
        <v>2</v>
      </c>
      <c r="C207" s="108">
        <v>1</v>
      </c>
      <c r="D207" s="108">
        <v>15.350456072971671</v>
      </c>
      <c r="E207" s="108">
        <v>20.331253000480071</v>
      </c>
      <c r="F207" s="108">
        <v>3.1685069611137759</v>
      </c>
      <c r="G207" s="108">
        <v>84.43350936149784</v>
      </c>
      <c r="H207" s="108">
        <v>9.6015362457993252</v>
      </c>
      <c r="I207" s="108">
        <v>0</v>
      </c>
      <c r="J207" s="108">
        <v>0</v>
      </c>
      <c r="K207" s="108">
        <v>0</v>
      </c>
      <c r="L207" s="108">
        <v>1</v>
      </c>
      <c r="M207" s="133">
        <v>0</v>
      </c>
      <c r="N207" s="133">
        <v>42</v>
      </c>
      <c r="O207" s="133">
        <v>75000</v>
      </c>
      <c r="P207" s="133">
        <v>0</v>
      </c>
      <c r="Q207" s="133">
        <v>0</v>
      </c>
      <c r="R207" s="133">
        <v>0</v>
      </c>
      <c r="S207" s="133">
        <v>0</v>
      </c>
    </row>
    <row r="208" spans="1:19">
      <c r="A208" s="88" t="s">
        <v>129</v>
      </c>
      <c r="B208" s="108">
        <v>3</v>
      </c>
      <c r="C208" s="108">
        <v>1</v>
      </c>
      <c r="D208" s="108">
        <v>6.5530484877580397</v>
      </c>
      <c r="E208" s="108">
        <v>13.466154584733561</v>
      </c>
      <c r="F208" s="108">
        <v>0.57609217474796082</v>
      </c>
      <c r="G208" s="108">
        <v>83.137301968314929</v>
      </c>
      <c r="H208" s="108">
        <v>4.320691310609698</v>
      </c>
      <c r="I208" s="108">
        <v>0</v>
      </c>
      <c r="J208" s="108">
        <v>0</v>
      </c>
      <c r="K208" s="108">
        <v>0</v>
      </c>
      <c r="L208" s="108">
        <v>1</v>
      </c>
      <c r="M208" s="133">
        <v>0</v>
      </c>
      <c r="N208" s="133">
        <v>42</v>
      </c>
      <c r="O208" s="133">
        <v>75000</v>
      </c>
      <c r="P208" s="133">
        <v>0</v>
      </c>
      <c r="Q208" s="133">
        <v>0</v>
      </c>
      <c r="R208" s="133">
        <v>0</v>
      </c>
      <c r="S208" s="133">
        <v>0</v>
      </c>
    </row>
    <row r="209" spans="1:19">
      <c r="A209" s="88" t="s">
        <v>129</v>
      </c>
      <c r="B209" s="108">
        <v>4</v>
      </c>
      <c r="C209" s="108">
        <v>1</v>
      </c>
      <c r="D209" s="108">
        <v>12.578012481997121</v>
      </c>
      <c r="E209" s="108">
        <v>5.3168506961113753</v>
      </c>
      <c r="F209" s="108">
        <v>5.8929428708593354</v>
      </c>
      <c r="G209" s="108">
        <v>90.842534805568903</v>
      </c>
      <c r="H209" s="108">
        <v>17.114738358137309</v>
      </c>
      <c r="I209" s="108">
        <v>0</v>
      </c>
      <c r="J209" s="108">
        <v>0</v>
      </c>
      <c r="K209" s="108">
        <v>0</v>
      </c>
      <c r="L209" s="108">
        <v>1</v>
      </c>
      <c r="M209" s="133">
        <v>0</v>
      </c>
      <c r="N209" s="133">
        <v>42</v>
      </c>
      <c r="O209" s="133">
        <v>75000</v>
      </c>
      <c r="P209" s="133">
        <v>0</v>
      </c>
      <c r="Q209" s="133">
        <v>0</v>
      </c>
      <c r="R209" s="133">
        <v>0</v>
      </c>
      <c r="S209" s="133">
        <v>0</v>
      </c>
    </row>
    <row r="210" spans="1:19">
      <c r="A210" s="88" t="s">
        <v>129</v>
      </c>
      <c r="B210" s="108">
        <v>5</v>
      </c>
      <c r="C210" s="108">
        <v>1</v>
      </c>
      <c r="D210" s="108">
        <v>4.0086413826212199</v>
      </c>
      <c r="E210" s="108">
        <v>14.702352376380221</v>
      </c>
      <c r="F210" s="108">
        <v>3.312530004800768</v>
      </c>
      <c r="G210" s="108">
        <v>94.419107057129153</v>
      </c>
      <c r="H210" s="108">
        <v>5.2928468554968786</v>
      </c>
      <c r="I210" s="108">
        <v>0</v>
      </c>
      <c r="J210" s="108">
        <v>0</v>
      </c>
      <c r="K210" s="108">
        <v>0</v>
      </c>
      <c r="L210" s="108">
        <v>1</v>
      </c>
      <c r="M210" s="133">
        <v>0</v>
      </c>
      <c r="N210" s="133">
        <v>42</v>
      </c>
      <c r="O210" s="133">
        <v>75000</v>
      </c>
      <c r="P210" s="133">
        <v>0</v>
      </c>
      <c r="Q210" s="133">
        <v>0</v>
      </c>
      <c r="R210" s="133">
        <v>0</v>
      </c>
      <c r="S210" s="133">
        <v>0</v>
      </c>
    </row>
    <row r="211" spans="1:19">
      <c r="A211" s="88" t="s">
        <v>129</v>
      </c>
      <c r="B211" s="108">
        <v>7</v>
      </c>
      <c r="C211" s="108">
        <v>1</v>
      </c>
      <c r="D211" s="108">
        <v>1.7522803648583769</v>
      </c>
      <c r="E211" s="108">
        <v>15.61449831973116</v>
      </c>
      <c r="F211" s="108">
        <v>0</v>
      </c>
      <c r="G211" s="108">
        <v>87.566010561689865</v>
      </c>
      <c r="H211" s="108">
        <v>0</v>
      </c>
      <c r="I211" s="108">
        <v>0</v>
      </c>
      <c r="J211" s="108">
        <v>1</v>
      </c>
      <c r="K211" s="108">
        <v>0</v>
      </c>
      <c r="L211" s="108">
        <v>1</v>
      </c>
      <c r="M211" s="133">
        <v>0</v>
      </c>
      <c r="N211" s="133">
        <v>42</v>
      </c>
      <c r="O211" s="133">
        <v>75000</v>
      </c>
      <c r="P211" s="133">
        <v>0</v>
      </c>
      <c r="Q211" s="133">
        <v>0</v>
      </c>
      <c r="R211" s="133">
        <v>0</v>
      </c>
      <c r="S211" s="133">
        <v>0</v>
      </c>
    </row>
    <row r="212" spans="1:19">
      <c r="A212" s="88" t="s">
        <v>130</v>
      </c>
      <c r="B212" s="108">
        <v>1</v>
      </c>
      <c r="C212" s="108">
        <v>1</v>
      </c>
      <c r="D212" s="108">
        <v>97.797854319593441</v>
      </c>
      <c r="E212" s="108">
        <v>91.332580463015248</v>
      </c>
      <c r="F212" s="108">
        <v>100</v>
      </c>
      <c r="G212" s="108">
        <v>50</v>
      </c>
      <c r="H212" s="108">
        <v>3.3314511575381118</v>
      </c>
      <c r="I212" s="108">
        <v>1</v>
      </c>
      <c r="J212" s="108">
        <v>0</v>
      </c>
      <c r="K212" s="108">
        <v>1</v>
      </c>
      <c r="L212" s="108">
        <v>1</v>
      </c>
      <c r="M212" s="133">
        <v>1</v>
      </c>
      <c r="N212" s="133">
        <v>65</v>
      </c>
      <c r="O212" s="133">
        <v>75000</v>
      </c>
      <c r="P212" s="133">
        <v>1</v>
      </c>
      <c r="Q212" s="133">
        <v>0</v>
      </c>
      <c r="R212" s="133">
        <v>1</v>
      </c>
      <c r="S212" s="133">
        <v>1</v>
      </c>
    </row>
    <row r="213" spans="1:19">
      <c r="A213" s="88" t="s">
        <v>130</v>
      </c>
      <c r="B213" s="108">
        <v>2</v>
      </c>
      <c r="C213" s="108">
        <v>1</v>
      </c>
      <c r="D213" s="108">
        <v>86.024844720496901</v>
      </c>
      <c r="E213" s="108">
        <v>98.88481084133258</v>
      </c>
      <c r="F213" s="108">
        <v>84.937888198757761</v>
      </c>
      <c r="G213" s="108">
        <v>18.73235460191982</v>
      </c>
      <c r="H213" s="108">
        <v>7.8204404291360827</v>
      </c>
      <c r="I213" s="108">
        <v>0</v>
      </c>
      <c r="J213" s="108">
        <v>0</v>
      </c>
      <c r="K213" s="108">
        <v>1</v>
      </c>
      <c r="L213" s="108">
        <v>1</v>
      </c>
      <c r="M213" s="133">
        <v>1</v>
      </c>
      <c r="N213" s="133">
        <v>65</v>
      </c>
      <c r="O213" s="133">
        <v>75000</v>
      </c>
      <c r="P213" s="133">
        <v>1</v>
      </c>
      <c r="Q213" s="133">
        <v>0</v>
      </c>
      <c r="R213" s="133">
        <v>1</v>
      </c>
      <c r="S213" s="133">
        <v>1</v>
      </c>
    </row>
    <row r="214" spans="1:19">
      <c r="A214" s="88" t="s">
        <v>130</v>
      </c>
      <c r="B214" s="108">
        <v>3</v>
      </c>
      <c r="C214" s="108">
        <v>1</v>
      </c>
      <c r="D214" s="108">
        <v>2.3997741389045761</v>
      </c>
      <c r="E214" s="108">
        <v>26.2987012987013</v>
      </c>
      <c r="F214" s="108">
        <v>34.994353472614343</v>
      </c>
      <c r="G214" s="108">
        <v>80.406549971767362</v>
      </c>
      <c r="H214" s="108">
        <v>31.197063805759459</v>
      </c>
      <c r="I214" s="108">
        <v>0</v>
      </c>
      <c r="J214" s="108">
        <v>0</v>
      </c>
      <c r="K214" s="108">
        <v>0</v>
      </c>
      <c r="L214" s="108">
        <v>1</v>
      </c>
      <c r="M214" s="133">
        <v>1</v>
      </c>
      <c r="N214" s="133">
        <v>65</v>
      </c>
      <c r="O214" s="133">
        <v>75000</v>
      </c>
      <c r="P214" s="133">
        <v>1</v>
      </c>
      <c r="Q214" s="133">
        <v>0</v>
      </c>
      <c r="R214" s="133">
        <v>1</v>
      </c>
      <c r="S214" s="133">
        <v>1</v>
      </c>
    </row>
    <row r="215" spans="1:19">
      <c r="A215" s="88" t="s">
        <v>130</v>
      </c>
      <c r="B215" s="108">
        <v>4</v>
      </c>
      <c r="C215" s="108">
        <v>1</v>
      </c>
      <c r="D215" s="108">
        <v>32.905138339920953</v>
      </c>
      <c r="E215" s="108">
        <v>12.77526821005082</v>
      </c>
      <c r="F215" s="108">
        <v>17.03839638622248</v>
      </c>
      <c r="G215" s="108">
        <v>27.07509881422925</v>
      </c>
      <c r="H215" s="108">
        <v>86.928289102202143</v>
      </c>
      <c r="I215" s="108">
        <v>0</v>
      </c>
      <c r="J215" s="108">
        <v>0</v>
      </c>
      <c r="K215" s="108">
        <v>0</v>
      </c>
      <c r="L215" s="108">
        <v>1</v>
      </c>
      <c r="M215" s="133">
        <v>1</v>
      </c>
      <c r="N215" s="133">
        <v>65</v>
      </c>
      <c r="O215" s="133">
        <v>75000</v>
      </c>
      <c r="P215" s="133">
        <v>1</v>
      </c>
      <c r="Q215" s="133">
        <v>0</v>
      </c>
      <c r="R215" s="133">
        <v>1</v>
      </c>
      <c r="S215" s="133">
        <v>1</v>
      </c>
    </row>
    <row r="216" spans="1:19">
      <c r="A216" s="88" t="s">
        <v>130</v>
      </c>
      <c r="B216" s="108">
        <v>5</v>
      </c>
      <c r="C216" s="108">
        <v>1</v>
      </c>
      <c r="D216" s="108">
        <v>12.464709203839639</v>
      </c>
      <c r="E216" s="108">
        <v>4.1501976284584963</v>
      </c>
      <c r="F216" s="108">
        <v>2.0750988142292481</v>
      </c>
      <c r="G216" s="108">
        <v>95.8498023715415</v>
      </c>
      <c r="H216" s="108">
        <v>90.697346132128743</v>
      </c>
      <c r="I216" s="108">
        <v>0</v>
      </c>
      <c r="J216" s="108">
        <v>0</v>
      </c>
      <c r="K216" s="108">
        <v>0</v>
      </c>
      <c r="L216" s="108">
        <v>1</v>
      </c>
      <c r="M216" s="133">
        <v>1</v>
      </c>
      <c r="N216" s="133">
        <v>65</v>
      </c>
      <c r="O216" s="133">
        <v>75000</v>
      </c>
      <c r="P216" s="133">
        <v>1</v>
      </c>
      <c r="Q216" s="133">
        <v>0</v>
      </c>
      <c r="R216" s="133">
        <v>1</v>
      </c>
      <c r="S216" s="133">
        <v>1</v>
      </c>
    </row>
    <row r="217" spans="1:19">
      <c r="A217" s="88" t="s">
        <v>130</v>
      </c>
      <c r="B217" s="108">
        <v>7</v>
      </c>
      <c r="C217" s="108">
        <v>1</v>
      </c>
      <c r="D217" s="108">
        <v>22.51552795031056</v>
      </c>
      <c r="E217" s="108">
        <v>9.0203274985883652</v>
      </c>
      <c r="F217" s="108">
        <v>4.8983625070581569</v>
      </c>
      <c r="G217" s="108">
        <v>90.584415584415595</v>
      </c>
      <c r="H217" s="108">
        <v>96.160361377752679</v>
      </c>
      <c r="I217" s="108">
        <v>0</v>
      </c>
      <c r="J217" s="108">
        <v>1</v>
      </c>
      <c r="K217" s="108">
        <v>0</v>
      </c>
      <c r="L217" s="108">
        <v>1</v>
      </c>
      <c r="M217" s="133">
        <v>1</v>
      </c>
      <c r="N217" s="133">
        <v>65</v>
      </c>
      <c r="O217" s="133">
        <v>75000</v>
      </c>
      <c r="P217" s="133">
        <v>1</v>
      </c>
      <c r="Q217" s="133">
        <v>0</v>
      </c>
      <c r="R217" s="133">
        <v>1</v>
      </c>
      <c r="S217" s="133">
        <v>1</v>
      </c>
    </row>
    <row r="218" spans="1:19">
      <c r="A218" s="88" t="s">
        <v>131</v>
      </c>
      <c r="B218" s="108">
        <v>1</v>
      </c>
      <c r="C218" s="108">
        <v>1</v>
      </c>
      <c r="D218" s="108">
        <v>91.961091234347052</v>
      </c>
      <c r="E218" s="108">
        <v>98.501788908765647</v>
      </c>
      <c r="F218" s="108">
        <v>96.064400715563508</v>
      </c>
      <c r="G218" s="108">
        <v>9.134615384615385</v>
      </c>
      <c r="H218" s="108">
        <v>13.964669051878349</v>
      </c>
      <c r="I218" s="108">
        <v>1</v>
      </c>
      <c r="J218" s="108">
        <v>0</v>
      </c>
      <c r="K218" s="108">
        <v>1</v>
      </c>
      <c r="L218" s="108">
        <v>1</v>
      </c>
      <c r="M218" s="133">
        <v>0</v>
      </c>
      <c r="N218" s="133">
        <v>35</v>
      </c>
      <c r="O218" s="133">
        <v>60000</v>
      </c>
      <c r="P218" s="133">
        <v>1</v>
      </c>
      <c r="Q218" s="133">
        <v>1</v>
      </c>
      <c r="R218" s="133">
        <v>1</v>
      </c>
      <c r="S218" s="133">
        <v>1</v>
      </c>
    </row>
    <row r="219" spans="1:19">
      <c r="A219" s="88" t="s">
        <v>131</v>
      </c>
      <c r="B219" s="108">
        <v>5</v>
      </c>
      <c r="C219" s="108">
        <v>1</v>
      </c>
      <c r="D219" s="108">
        <v>90.854203935599287</v>
      </c>
      <c r="E219" s="108">
        <v>93.436940966010738</v>
      </c>
      <c r="F219" s="108">
        <v>98.322898032200357</v>
      </c>
      <c r="G219" s="108">
        <v>5.8139534883720927</v>
      </c>
      <c r="H219" s="108">
        <v>6.2723613595706604</v>
      </c>
      <c r="I219" s="108">
        <v>0</v>
      </c>
      <c r="J219" s="108">
        <v>0</v>
      </c>
      <c r="K219" s="108">
        <v>1</v>
      </c>
      <c r="L219" s="108">
        <v>1</v>
      </c>
      <c r="M219" s="133">
        <v>0</v>
      </c>
      <c r="N219" s="133">
        <v>35</v>
      </c>
      <c r="O219" s="133">
        <v>60000</v>
      </c>
      <c r="P219" s="133">
        <v>1</v>
      </c>
      <c r="Q219" s="133">
        <v>1</v>
      </c>
      <c r="R219" s="133">
        <v>1</v>
      </c>
      <c r="S219" s="133">
        <v>1</v>
      </c>
    </row>
    <row r="220" spans="1:19">
      <c r="A220" s="88" t="s">
        <v>131</v>
      </c>
      <c r="B220" s="108">
        <v>7</v>
      </c>
      <c r="C220" s="108">
        <v>1</v>
      </c>
      <c r="D220" s="108">
        <v>94.163685152057241</v>
      </c>
      <c r="E220" s="108">
        <v>89.009391771019679</v>
      </c>
      <c r="F220" s="108">
        <v>92.933810375670831</v>
      </c>
      <c r="G220" s="108">
        <v>6.8872987477638654</v>
      </c>
      <c r="H220" s="108">
        <v>5.8363148479427531</v>
      </c>
      <c r="I220" s="108">
        <v>0</v>
      </c>
      <c r="J220" s="108">
        <v>1</v>
      </c>
      <c r="K220" s="108">
        <v>1</v>
      </c>
      <c r="L220" s="108">
        <v>1</v>
      </c>
      <c r="M220" s="133">
        <v>0</v>
      </c>
      <c r="N220" s="133">
        <v>35</v>
      </c>
      <c r="O220" s="133">
        <v>60000</v>
      </c>
      <c r="P220" s="133">
        <v>1</v>
      </c>
      <c r="Q220" s="133">
        <v>1</v>
      </c>
      <c r="R220" s="133">
        <v>1</v>
      </c>
      <c r="S220" s="133">
        <v>1</v>
      </c>
    </row>
    <row r="221" spans="1:19">
      <c r="A221" s="88" t="s">
        <v>132</v>
      </c>
      <c r="B221" s="108">
        <v>1</v>
      </c>
      <c r="C221" s="108">
        <v>1</v>
      </c>
      <c r="D221" s="108">
        <v>10.39119804400978</v>
      </c>
      <c r="E221" s="108">
        <v>1.044676594798843</v>
      </c>
      <c r="F221" s="108">
        <v>5.101133585241163</v>
      </c>
      <c r="G221" s="108">
        <v>99.711046899310958</v>
      </c>
      <c r="H221" s="108">
        <v>99.711046899310958</v>
      </c>
      <c r="I221" s="108">
        <v>1</v>
      </c>
      <c r="J221" s="108">
        <v>0</v>
      </c>
      <c r="K221" s="108">
        <v>0</v>
      </c>
      <c r="L221" s="108">
        <v>1</v>
      </c>
      <c r="M221" s="133">
        <v>0</v>
      </c>
      <c r="N221" s="133">
        <v>43</v>
      </c>
      <c r="O221" s="133">
        <v>14500</v>
      </c>
      <c r="P221" s="133">
        <v>0</v>
      </c>
      <c r="Q221" s="133">
        <v>0</v>
      </c>
      <c r="R221" s="133">
        <v>0</v>
      </c>
      <c r="S221" s="133">
        <v>0</v>
      </c>
    </row>
    <row r="222" spans="1:19">
      <c r="A222" s="88" t="s">
        <v>132</v>
      </c>
      <c r="B222" s="108">
        <v>2</v>
      </c>
      <c r="C222" s="108">
        <v>1</v>
      </c>
      <c r="D222" s="108">
        <v>8.6019115358968676</v>
      </c>
      <c r="E222" s="108">
        <v>19.91553678595244</v>
      </c>
      <c r="F222" s="108">
        <v>0.95576794843298396</v>
      </c>
      <c r="G222" s="108">
        <v>97.1215825739053</v>
      </c>
      <c r="H222" s="108">
        <v>100</v>
      </c>
      <c r="I222" s="108">
        <v>0</v>
      </c>
      <c r="J222" s="108">
        <v>0</v>
      </c>
      <c r="K222" s="108">
        <v>0</v>
      </c>
      <c r="L222" s="108">
        <v>1</v>
      </c>
      <c r="M222" s="133">
        <v>0</v>
      </c>
      <c r="N222" s="133">
        <v>43</v>
      </c>
      <c r="O222" s="133">
        <v>14500</v>
      </c>
      <c r="P222" s="133">
        <v>0</v>
      </c>
      <c r="Q222" s="133">
        <v>0</v>
      </c>
      <c r="R222" s="133">
        <v>0</v>
      </c>
      <c r="S222" s="133">
        <v>0</v>
      </c>
    </row>
    <row r="223" spans="1:19">
      <c r="A223" s="88" t="s">
        <v>132</v>
      </c>
      <c r="B223" s="108">
        <v>3</v>
      </c>
      <c r="C223" s="108">
        <v>1</v>
      </c>
      <c r="D223" s="108">
        <v>1.733718604134254</v>
      </c>
      <c r="E223" s="108">
        <v>0.80017781729272985</v>
      </c>
      <c r="F223" s="108">
        <v>23.41631473660814</v>
      </c>
      <c r="G223" s="108">
        <v>98.044009779951097</v>
      </c>
      <c r="H223" s="108">
        <v>89.342076016892634</v>
      </c>
      <c r="I223" s="108">
        <v>0</v>
      </c>
      <c r="J223" s="108">
        <v>0</v>
      </c>
      <c r="K223" s="108">
        <v>0</v>
      </c>
      <c r="L223" s="108">
        <v>1</v>
      </c>
      <c r="M223" s="133">
        <v>0</v>
      </c>
      <c r="N223" s="133">
        <v>43</v>
      </c>
      <c r="O223" s="133">
        <v>14500</v>
      </c>
      <c r="P223" s="133">
        <v>0</v>
      </c>
      <c r="Q223" s="133">
        <v>0</v>
      </c>
      <c r="R223" s="133">
        <v>0</v>
      </c>
      <c r="S223" s="133">
        <v>0</v>
      </c>
    </row>
    <row r="224" spans="1:19">
      <c r="A224" s="88" t="s">
        <v>132</v>
      </c>
      <c r="B224" s="108">
        <v>4</v>
      </c>
      <c r="C224" s="108">
        <v>1</v>
      </c>
      <c r="D224" s="108">
        <v>1.1335852411647029</v>
      </c>
      <c r="E224" s="108">
        <v>0.9446543676372543</v>
      </c>
      <c r="F224" s="108">
        <v>0.8446321404756596</v>
      </c>
      <c r="G224" s="108">
        <v>94.998888641920431</v>
      </c>
      <c r="H224" s="108">
        <v>90.364525450100018</v>
      </c>
      <c r="I224" s="108">
        <v>0</v>
      </c>
      <c r="J224" s="108">
        <v>0</v>
      </c>
      <c r="K224" s="108">
        <v>0</v>
      </c>
      <c r="L224" s="108">
        <v>1</v>
      </c>
      <c r="M224" s="133">
        <v>0</v>
      </c>
      <c r="N224" s="133">
        <v>43</v>
      </c>
      <c r="O224" s="133">
        <v>14500</v>
      </c>
      <c r="P224" s="133">
        <v>0</v>
      </c>
      <c r="Q224" s="133">
        <v>0</v>
      </c>
      <c r="R224" s="133">
        <v>0</v>
      </c>
      <c r="S224" s="133">
        <v>0</v>
      </c>
    </row>
    <row r="225" spans="1:19">
      <c r="A225" s="88" t="s">
        <v>132</v>
      </c>
      <c r="B225" s="108">
        <v>5</v>
      </c>
      <c r="C225" s="108">
        <v>1</v>
      </c>
      <c r="D225" s="108">
        <v>1.767059346521449</v>
      </c>
      <c r="E225" s="108">
        <v>0.58901978217381634</v>
      </c>
      <c r="F225" s="108">
        <v>1.867081573683038</v>
      </c>
      <c r="G225" s="108">
        <v>77.239386530340084</v>
      </c>
      <c r="H225" s="108">
        <v>98.344076461435876</v>
      </c>
      <c r="I225" s="108">
        <v>0</v>
      </c>
      <c r="J225" s="108">
        <v>0</v>
      </c>
      <c r="K225" s="108">
        <v>0</v>
      </c>
      <c r="L225" s="108">
        <v>1</v>
      </c>
      <c r="M225" s="133">
        <v>0</v>
      </c>
      <c r="N225" s="133">
        <v>43</v>
      </c>
      <c r="O225" s="133">
        <v>14500</v>
      </c>
      <c r="P225" s="133">
        <v>0</v>
      </c>
      <c r="Q225" s="133">
        <v>0</v>
      </c>
      <c r="R225" s="133">
        <v>0</v>
      </c>
      <c r="S225" s="133">
        <v>0</v>
      </c>
    </row>
    <row r="226" spans="1:19">
      <c r="A226" s="88" t="s">
        <v>132</v>
      </c>
      <c r="B226" s="108">
        <v>6</v>
      </c>
      <c r="C226" s="108">
        <v>1</v>
      </c>
      <c r="D226" s="108">
        <v>4.8344076461435908</v>
      </c>
      <c r="E226" s="108">
        <v>1.9559902200488981</v>
      </c>
      <c r="F226" s="108">
        <v>5.5012224938875312</v>
      </c>
      <c r="G226" s="108">
        <v>86.019115358968662</v>
      </c>
      <c r="H226" s="108">
        <v>98.966436985996893</v>
      </c>
      <c r="I226" s="108">
        <v>0</v>
      </c>
      <c r="J226" s="108">
        <v>0</v>
      </c>
      <c r="K226" s="108">
        <v>0</v>
      </c>
      <c r="L226" s="108">
        <v>1</v>
      </c>
      <c r="M226" s="133">
        <v>0</v>
      </c>
      <c r="N226" s="133">
        <v>43</v>
      </c>
      <c r="O226" s="133">
        <v>14500</v>
      </c>
      <c r="P226" s="133">
        <v>0</v>
      </c>
      <c r="Q226" s="133">
        <v>0</v>
      </c>
      <c r="R226" s="133">
        <v>0</v>
      </c>
      <c r="S226" s="133">
        <v>0</v>
      </c>
    </row>
    <row r="227" spans="1:19">
      <c r="A227" s="88" t="s">
        <v>132</v>
      </c>
      <c r="B227" s="108">
        <v>7</v>
      </c>
      <c r="C227" s="108">
        <v>1</v>
      </c>
      <c r="D227" s="108">
        <v>41.218681585988811</v>
      </c>
      <c r="E227" s="108">
        <v>22.464120651909511</v>
      </c>
      <c r="F227" s="108">
        <v>9.9367550474337154</v>
      </c>
      <c r="G227" s="108">
        <v>50</v>
      </c>
      <c r="H227" s="108">
        <v>8.2096813427389943</v>
      </c>
      <c r="I227" s="108">
        <v>0</v>
      </c>
      <c r="J227" s="108">
        <v>1</v>
      </c>
      <c r="K227" s="108">
        <v>0</v>
      </c>
      <c r="L227" s="108">
        <v>1</v>
      </c>
      <c r="M227" s="133">
        <v>0</v>
      </c>
      <c r="N227" s="133">
        <v>43</v>
      </c>
      <c r="O227" s="133">
        <v>14500</v>
      </c>
      <c r="P227" s="133">
        <v>0</v>
      </c>
      <c r="Q227" s="133">
        <v>0</v>
      </c>
      <c r="R227" s="133">
        <v>0</v>
      </c>
      <c r="S227" s="133">
        <v>0</v>
      </c>
    </row>
    <row r="228" spans="1:19">
      <c r="A228" s="88" t="s">
        <v>133</v>
      </c>
      <c r="B228" s="108">
        <v>1</v>
      </c>
      <c r="C228" s="108">
        <v>1</v>
      </c>
      <c r="D228" s="108">
        <v>2.704503064215297</v>
      </c>
      <c r="E228" s="108">
        <v>4.010125233146816</v>
      </c>
      <c r="F228" s="108">
        <v>8.0735411670663453</v>
      </c>
      <c r="G228" s="108">
        <v>50</v>
      </c>
      <c r="H228" s="108">
        <v>85.504929389821484</v>
      </c>
      <c r="I228" s="108">
        <v>1</v>
      </c>
      <c r="J228" s="108">
        <v>0</v>
      </c>
      <c r="K228" s="108">
        <v>0</v>
      </c>
      <c r="L228" s="108">
        <v>1</v>
      </c>
      <c r="M228" s="133">
        <v>0</v>
      </c>
      <c r="N228" s="133">
        <v>52</v>
      </c>
      <c r="O228" s="133">
        <v>73000</v>
      </c>
      <c r="P228" s="133">
        <v>1</v>
      </c>
      <c r="Q228" s="133">
        <v>0</v>
      </c>
      <c r="R228" s="133">
        <v>0</v>
      </c>
      <c r="S228" s="133">
        <v>0</v>
      </c>
    </row>
    <row r="229" spans="1:19">
      <c r="A229" s="88" t="s">
        <v>133</v>
      </c>
      <c r="B229" s="108">
        <v>2</v>
      </c>
      <c r="C229" s="108">
        <v>1</v>
      </c>
      <c r="D229" s="108">
        <v>12.66986410871303</v>
      </c>
      <c r="E229" s="108">
        <v>49.387156941113773</v>
      </c>
      <c r="F229" s="108">
        <v>5.9952038369304574</v>
      </c>
      <c r="G229" s="108">
        <v>58.393285371702632</v>
      </c>
      <c r="H229" s="108">
        <v>66.173727684519051</v>
      </c>
      <c r="I229" s="108">
        <v>0</v>
      </c>
      <c r="J229" s="108">
        <v>0</v>
      </c>
      <c r="K229" s="108">
        <v>0</v>
      </c>
      <c r="L229" s="108">
        <v>1</v>
      </c>
      <c r="M229" s="133">
        <v>0</v>
      </c>
      <c r="N229" s="133">
        <v>52</v>
      </c>
      <c r="O229" s="133">
        <v>73000</v>
      </c>
      <c r="P229" s="133">
        <v>1</v>
      </c>
      <c r="Q229" s="133">
        <v>0</v>
      </c>
      <c r="R229" s="133">
        <v>0</v>
      </c>
      <c r="S229" s="133">
        <v>0</v>
      </c>
    </row>
    <row r="230" spans="1:19">
      <c r="A230" s="88" t="s">
        <v>133</v>
      </c>
      <c r="B230" s="108">
        <v>3</v>
      </c>
      <c r="C230" s="108">
        <v>1</v>
      </c>
      <c r="D230" s="108">
        <v>50</v>
      </c>
      <c r="E230" s="108">
        <v>2.2915001332267542</v>
      </c>
      <c r="F230" s="108">
        <v>50</v>
      </c>
      <c r="G230" s="108">
        <v>50</v>
      </c>
      <c r="H230" s="108">
        <v>50</v>
      </c>
      <c r="I230" s="108">
        <v>0</v>
      </c>
      <c r="J230" s="108">
        <v>0</v>
      </c>
      <c r="K230" s="108">
        <v>0</v>
      </c>
      <c r="L230" s="108">
        <v>1</v>
      </c>
      <c r="M230" s="133">
        <v>0</v>
      </c>
      <c r="N230" s="133">
        <v>52</v>
      </c>
      <c r="O230" s="133">
        <v>73000</v>
      </c>
      <c r="P230" s="133">
        <v>1</v>
      </c>
      <c r="Q230" s="133">
        <v>0</v>
      </c>
      <c r="R230" s="133">
        <v>0</v>
      </c>
      <c r="S230" s="133">
        <v>0</v>
      </c>
    </row>
    <row r="231" spans="1:19">
      <c r="A231" s="88" t="s">
        <v>133</v>
      </c>
      <c r="B231" s="108">
        <v>4</v>
      </c>
      <c r="C231" s="108">
        <v>1</v>
      </c>
      <c r="D231" s="108">
        <v>0</v>
      </c>
      <c r="E231" s="108">
        <v>3.610444977351452</v>
      </c>
      <c r="F231" s="108">
        <v>22.035704769517722</v>
      </c>
      <c r="G231" s="108">
        <v>50</v>
      </c>
      <c r="H231" s="108">
        <v>89.72821742605916</v>
      </c>
      <c r="I231" s="108">
        <v>0</v>
      </c>
      <c r="J231" s="108">
        <v>0</v>
      </c>
      <c r="K231" s="108">
        <v>0</v>
      </c>
      <c r="L231" s="108">
        <v>1</v>
      </c>
      <c r="M231" s="133">
        <v>0</v>
      </c>
      <c r="N231" s="133">
        <v>52</v>
      </c>
      <c r="O231" s="133">
        <v>73000</v>
      </c>
      <c r="P231" s="133">
        <v>1</v>
      </c>
      <c r="Q231" s="133">
        <v>0</v>
      </c>
      <c r="R231" s="133">
        <v>0</v>
      </c>
      <c r="S231" s="133">
        <v>0</v>
      </c>
    </row>
    <row r="232" spans="1:19">
      <c r="A232" s="88" t="s">
        <v>133</v>
      </c>
      <c r="B232" s="108">
        <v>5</v>
      </c>
      <c r="C232" s="108">
        <v>1</v>
      </c>
      <c r="D232" s="108">
        <v>50</v>
      </c>
      <c r="E232" s="108">
        <v>11.763922195576869</v>
      </c>
      <c r="F232" s="108">
        <v>7.1276312283506504</v>
      </c>
      <c r="G232" s="108">
        <v>75.486277644551024</v>
      </c>
      <c r="H232" s="108">
        <v>88.369304556354919</v>
      </c>
      <c r="I232" s="108">
        <v>0</v>
      </c>
      <c r="J232" s="108">
        <v>0</v>
      </c>
      <c r="K232" s="108">
        <v>0</v>
      </c>
      <c r="L232" s="108">
        <v>1</v>
      </c>
      <c r="M232" s="133">
        <v>0</v>
      </c>
      <c r="N232" s="133">
        <v>52</v>
      </c>
      <c r="O232" s="133">
        <v>73000</v>
      </c>
      <c r="P232" s="133">
        <v>1</v>
      </c>
      <c r="Q232" s="133">
        <v>0</v>
      </c>
      <c r="R232" s="133">
        <v>0</v>
      </c>
      <c r="S232" s="133">
        <v>0</v>
      </c>
    </row>
    <row r="233" spans="1:19">
      <c r="A233" s="88" t="s">
        <v>133</v>
      </c>
      <c r="B233" s="108">
        <v>6</v>
      </c>
      <c r="C233" s="108">
        <v>1</v>
      </c>
      <c r="D233" s="108">
        <v>15.14788169464428</v>
      </c>
      <c r="E233" s="108">
        <v>7.8070876632027719</v>
      </c>
      <c r="F233" s="108">
        <v>30.961897148947511</v>
      </c>
      <c r="G233" s="108">
        <v>51.345590194511061</v>
      </c>
      <c r="H233" s="108">
        <v>56.621369571009858</v>
      </c>
      <c r="I233" s="108">
        <v>0</v>
      </c>
      <c r="J233" s="108">
        <v>0</v>
      </c>
      <c r="K233" s="108">
        <v>0</v>
      </c>
      <c r="L233" s="108">
        <v>1</v>
      </c>
      <c r="M233" s="133">
        <v>0</v>
      </c>
      <c r="N233" s="133">
        <v>52</v>
      </c>
      <c r="O233" s="133">
        <v>73000</v>
      </c>
      <c r="P233" s="133">
        <v>1</v>
      </c>
      <c r="Q233" s="133">
        <v>0</v>
      </c>
      <c r="R233" s="133">
        <v>0</v>
      </c>
      <c r="S233" s="133">
        <v>0</v>
      </c>
    </row>
    <row r="234" spans="1:19">
      <c r="A234" s="88" t="s">
        <v>133</v>
      </c>
      <c r="B234" s="108">
        <v>7</v>
      </c>
      <c r="C234" s="108">
        <v>1</v>
      </c>
      <c r="D234" s="108">
        <v>1.3722355448974159</v>
      </c>
      <c r="E234" s="108">
        <v>15.84066080468958</v>
      </c>
      <c r="F234" s="108">
        <v>29.176658673061549</v>
      </c>
      <c r="G234" s="108">
        <v>97.721822541966418</v>
      </c>
      <c r="H234" s="108">
        <v>97.721822541966418</v>
      </c>
      <c r="I234" s="108">
        <v>0</v>
      </c>
      <c r="J234" s="108">
        <v>1</v>
      </c>
      <c r="K234" s="108">
        <v>0</v>
      </c>
      <c r="L234" s="108">
        <v>1</v>
      </c>
      <c r="M234" s="133">
        <v>0</v>
      </c>
      <c r="N234" s="133">
        <v>52</v>
      </c>
      <c r="O234" s="133">
        <v>73000</v>
      </c>
      <c r="P234" s="133">
        <v>1</v>
      </c>
      <c r="Q234" s="133">
        <v>0</v>
      </c>
      <c r="R234" s="133">
        <v>0</v>
      </c>
      <c r="S234" s="133">
        <v>0</v>
      </c>
    </row>
    <row r="235" spans="1:19">
      <c r="A235" s="88" t="s">
        <v>134</v>
      </c>
      <c r="B235" s="108">
        <v>2</v>
      </c>
      <c r="C235" s="108">
        <v>1</v>
      </c>
      <c r="D235" s="108">
        <v>1.6870213206375499</v>
      </c>
      <c r="E235" s="108">
        <v>5.961498654522873</v>
      </c>
      <c r="F235" s="108">
        <v>4.0260815566135371</v>
      </c>
      <c r="G235" s="108">
        <v>82.270751397226249</v>
      </c>
      <c r="H235" s="108">
        <v>3.7983854274477311</v>
      </c>
      <c r="I235" s="108">
        <v>0</v>
      </c>
      <c r="J235" s="108">
        <v>0</v>
      </c>
      <c r="K235" s="108">
        <v>0</v>
      </c>
      <c r="L235" s="108">
        <v>1</v>
      </c>
      <c r="M235" s="133">
        <v>1</v>
      </c>
      <c r="N235" s="133">
        <v>30</v>
      </c>
      <c r="O235" s="133">
        <v>350000</v>
      </c>
      <c r="P235" s="133">
        <v>0</v>
      </c>
      <c r="Q235" s="133">
        <v>0</v>
      </c>
      <c r="R235" s="133">
        <v>0</v>
      </c>
      <c r="S235" s="133">
        <v>1</v>
      </c>
    </row>
    <row r="236" spans="1:19">
      <c r="A236" s="88" t="s">
        <v>134</v>
      </c>
      <c r="B236" s="108">
        <v>3</v>
      </c>
      <c r="C236" s="108">
        <v>1</v>
      </c>
      <c r="D236" s="108">
        <v>9.9561403508771953</v>
      </c>
      <c r="E236" s="108">
        <v>8.6951754385964914</v>
      </c>
      <c r="F236" s="108">
        <v>91.732456140350877</v>
      </c>
      <c r="G236" s="108">
        <v>88.75</v>
      </c>
      <c r="H236" s="108">
        <v>50</v>
      </c>
      <c r="I236" s="108">
        <v>0</v>
      </c>
      <c r="J236" s="108">
        <v>0</v>
      </c>
      <c r="K236" s="108">
        <v>0</v>
      </c>
      <c r="L236" s="108">
        <v>1</v>
      </c>
      <c r="M236" s="133">
        <v>1</v>
      </c>
      <c r="N236" s="133">
        <v>30</v>
      </c>
      <c r="O236" s="133">
        <v>350000</v>
      </c>
      <c r="P236" s="133">
        <v>0</v>
      </c>
      <c r="Q236" s="133">
        <v>0</v>
      </c>
      <c r="R236" s="133">
        <v>0</v>
      </c>
      <c r="S236" s="133">
        <v>1</v>
      </c>
    </row>
    <row r="237" spans="1:19">
      <c r="A237" s="88" t="s">
        <v>134</v>
      </c>
      <c r="B237" s="108">
        <v>6</v>
      </c>
      <c r="C237" s="108">
        <v>1</v>
      </c>
      <c r="D237" s="108">
        <v>13.65131578947368</v>
      </c>
      <c r="E237" s="108">
        <v>4.0460526315789451</v>
      </c>
      <c r="F237" s="108">
        <v>9.3092105263157912</v>
      </c>
      <c r="G237" s="108">
        <v>92.26973684210526</v>
      </c>
      <c r="H237" s="108">
        <v>5.4166666666666696</v>
      </c>
      <c r="I237" s="108">
        <v>0</v>
      </c>
      <c r="J237" s="108">
        <v>0</v>
      </c>
      <c r="K237" s="108">
        <v>0</v>
      </c>
      <c r="L237" s="108">
        <v>1</v>
      </c>
      <c r="M237" s="133">
        <v>1</v>
      </c>
      <c r="N237" s="133">
        <v>30</v>
      </c>
      <c r="O237" s="133">
        <v>350000</v>
      </c>
      <c r="P237" s="133">
        <v>0</v>
      </c>
      <c r="Q237" s="133">
        <v>0</v>
      </c>
      <c r="R237" s="133">
        <v>0</v>
      </c>
      <c r="S237" s="133">
        <v>1</v>
      </c>
    </row>
    <row r="238" spans="1:19">
      <c r="A238" s="88" t="s">
        <v>135</v>
      </c>
      <c r="B238" s="108">
        <v>1</v>
      </c>
      <c r="C238" s="108">
        <v>1</v>
      </c>
      <c r="D238" s="108">
        <v>79.210992907801426</v>
      </c>
      <c r="E238" s="108">
        <v>21.93515704154002</v>
      </c>
      <c r="F238" s="108">
        <v>93.465045592705167</v>
      </c>
      <c r="G238" s="108">
        <v>4.6542553191489366</v>
      </c>
      <c r="H238" s="108">
        <v>8.6499493414387008</v>
      </c>
      <c r="I238" s="108">
        <v>1</v>
      </c>
      <c r="J238" s="108">
        <v>0</v>
      </c>
      <c r="K238" s="108">
        <v>1</v>
      </c>
      <c r="L238" s="108">
        <v>1</v>
      </c>
      <c r="M238" s="133">
        <v>1</v>
      </c>
      <c r="N238" s="133">
        <v>42</v>
      </c>
      <c r="O238" s="133">
        <v>-99</v>
      </c>
      <c r="P238" s="133">
        <v>0</v>
      </c>
      <c r="Q238" s="133">
        <v>0</v>
      </c>
      <c r="R238" s="133">
        <v>0</v>
      </c>
      <c r="S238" s="133">
        <v>0</v>
      </c>
    </row>
    <row r="239" spans="1:19">
      <c r="A239" s="88" t="s">
        <v>135</v>
      </c>
      <c r="B239" s="108">
        <v>3</v>
      </c>
      <c r="C239" s="108">
        <v>1</v>
      </c>
      <c r="D239" s="108">
        <v>6.7474895909870209</v>
      </c>
      <c r="E239" s="108">
        <v>50</v>
      </c>
      <c r="F239" s="108">
        <v>16.715650257163851</v>
      </c>
      <c r="G239" s="108">
        <v>93.681116825863327</v>
      </c>
      <c r="H239" s="108">
        <v>8.1680137154053423</v>
      </c>
      <c r="I239" s="108">
        <v>0</v>
      </c>
      <c r="J239" s="108">
        <v>0</v>
      </c>
      <c r="K239" s="108">
        <v>0</v>
      </c>
      <c r="L239" s="108">
        <v>1</v>
      </c>
      <c r="M239" s="133">
        <v>1</v>
      </c>
      <c r="N239" s="133">
        <v>42</v>
      </c>
      <c r="O239" s="133">
        <v>-99</v>
      </c>
      <c r="P239" s="133">
        <v>0</v>
      </c>
      <c r="Q239" s="133">
        <v>0</v>
      </c>
      <c r="R239" s="133">
        <v>0</v>
      </c>
      <c r="S239" s="133">
        <v>0</v>
      </c>
    </row>
    <row r="240" spans="1:19">
      <c r="A240" s="88" t="s">
        <v>135</v>
      </c>
      <c r="B240" s="108">
        <v>4</v>
      </c>
      <c r="C240" s="108">
        <v>1</v>
      </c>
      <c r="D240" s="108">
        <v>50</v>
      </c>
      <c r="E240" s="108">
        <v>50</v>
      </c>
      <c r="F240" s="108">
        <v>20.389419544452611</v>
      </c>
      <c r="G240" s="108">
        <v>11.63360274308107</v>
      </c>
      <c r="H240" s="108">
        <v>50</v>
      </c>
      <c r="I240" s="108">
        <v>0</v>
      </c>
      <c r="J240" s="108">
        <v>0</v>
      </c>
      <c r="K240" s="108">
        <v>1</v>
      </c>
      <c r="L240" s="108">
        <v>1</v>
      </c>
      <c r="M240" s="133">
        <v>1</v>
      </c>
      <c r="N240" s="133">
        <v>42</v>
      </c>
      <c r="O240" s="133">
        <v>-99</v>
      </c>
      <c r="P240" s="133">
        <v>0</v>
      </c>
      <c r="Q240" s="133">
        <v>0</v>
      </c>
      <c r="R240" s="133">
        <v>0</v>
      </c>
      <c r="S240" s="133">
        <v>0</v>
      </c>
    </row>
    <row r="241" spans="1:19">
      <c r="A241" s="88" t="s">
        <v>135</v>
      </c>
      <c r="B241" s="108">
        <v>5</v>
      </c>
      <c r="C241" s="108">
        <v>1</v>
      </c>
      <c r="D241" s="108">
        <v>41.048248836639729</v>
      </c>
      <c r="E241" s="108">
        <v>4.4819985304922874</v>
      </c>
      <c r="F241" s="108">
        <v>5.5106539309331399</v>
      </c>
      <c r="G241" s="108">
        <v>85.513103110458005</v>
      </c>
      <c r="H241" s="108">
        <v>13.87460200832721</v>
      </c>
      <c r="I241" s="108">
        <v>0</v>
      </c>
      <c r="J241" s="108">
        <v>0</v>
      </c>
      <c r="K241" s="108">
        <v>0</v>
      </c>
      <c r="L241" s="108">
        <v>1</v>
      </c>
      <c r="M241" s="133">
        <v>1</v>
      </c>
      <c r="N241" s="133">
        <v>42</v>
      </c>
      <c r="O241" s="133">
        <v>-99</v>
      </c>
      <c r="P241" s="133">
        <v>0</v>
      </c>
      <c r="Q241" s="133">
        <v>0</v>
      </c>
      <c r="R241" s="133">
        <v>0</v>
      </c>
      <c r="S241" s="133">
        <v>0</v>
      </c>
    </row>
    <row r="242" spans="1:19">
      <c r="A242" s="88" t="s">
        <v>135</v>
      </c>
      <c r="B242" s="108">
        <v>7</v>
      </c>
      <c r="C242" s="108">
        <v>1</v>
      </c>
      <c r="D242" s="108">
        <v>12.637766348273329</v>
      </c>
      <c r="E242" s="108">
        <v>8.5598824393828039</v>
      </c>
      <c r="F242" s="108">
        <v>1.6409502816556449</v>
      </c>
      <c r="G242" s="108">
        <v>44.893460690668633</v>
      </c>
      <c r="H242" s="108">
        <v>3.269654665686994</v>
      </c>
      <c r="I242" s="108">
        <v>0</v>
      </c>
      <c r="J242" s="108">
        <v>1</v>
      </c>
      <c r="K242" s="108">
        <v>0</v>
      </c>
      <c r="L242" s="108">
        <v>1</v>
      </c>
      <c r="M242" s="133">
        <v>1</v>
      </c>
      <c r="N242" s="133">
        <v>42</v>
      </c>
      <c r="O242" s="133">
        <v>-99</v>
      </c>
      <c r="P242" s="133">
        <v>0</v>
      </c>
      <c r="Q242" s="133">
        <v>0</v>
      </c>
      <c r="R242" s="133">
        <v>0</v>
      </c>
      <c r="S242" s="133">
        <v>0</v>
      </c>
    </row>
    <row r="243" spans="1:19">
      <c r="A243" s="88" t="s">
        <v>136</v>
      </c>
      <c r="B243" s="108">
        <v>1</v>
      </c>
      <c r="C243" s="108">
        <v>1</v>
      </c>
      <c r="D243" s="108">
        <v>100</v>
      </c>
      <c r="E243" s="108">
        <v>89.891468955073194</v>
      </c>
      <c r="F243" s="108">
        <v>98.447753659767784</v>
      </c>
      <c r="G243" s="108">
        <v>6.2342251388187773</v>
      </c>
      <c r="H243" s="108">
        <v>5.8934881373043924</v>
      </c>
      <c r="I243" s="108">
        <v>1</v>
      </c>
      <c r="J243" s="108">
        <v>0</v>
      </c>
      <c r="K243" s="108">
        <v>1</v>
      </c>
      <c r="L243" s="108">
        <v>1</v>
      </c>
      <c r="M243" s="133">
        <v>1</v>
      </c>
      <c r="N243" s="133">
        <v>66</v>
      </c>
      <c r="O243" s="133">
        <v>42000</v>
      </c>
      <c r="P243" s="133">
        <v>0</v>
      </c>
      <c r="Q243" s="133">
        <v>1</v>
      </c>
      <c r="R243" s="133">
        <v>1</v>
      </c>
      <c r="S243" s="133">
        <v>1</v>
      </c>
    </row>
    <row r="244" spans="1:19">
      <c r="A244" s="88" t="s">
        <v>136</v>
      </c>
      <c r="B244" s="108">
        <v>2</v>
      </c>
      <c r="C244" s="108">
        <v>1</v>
      </c>
      <c r="D244" s="108">
        <v>96.920747097425547</v>
      </c>
      <c r="E244" s="108">
        <v>98.561332660272583</v>
      </c>
      <c r="F244" s="108">
        <v>95.368500757193345</v>
      </c>
      <c r="G244" s="108">
        <v>8.2029278142352329</v>
      </c>
      <c r="H244" s="108">
        <v>1.4386673397274119</v>
      </c>
      <c r="I244" s="108">
        <v>0</v>
      </c>
      <c r="J244" s="108">
        <v>0</v>
      </c>
      <c r="K244" s="108">
        <v>1</v>
      </c>
      <c r="L244" s="108">
        <v>1</v>
      </c>
      <c r="M244" s="133">
        <v>1</v>
      </c>
      <c r="N244" s="133">
        <v>66</v>
      </c>
      <c r="O244" s="133">
        <v>42000</v>
      </c>
      <c r="P244" s="133">
        <v>0</v>
      </c>
      <c r="Q244" s="133">
        <v>1</v>
      </c>
      <c r="R244" s="133">
        <v>1</v>
      </c>
      <c r="S244" s="133">
        <v>1</v>
      </c>
    </row>
    <row r="245" spans="1:19">
      <c r="A245" s="88" t="s">
        <v>136</v>
      </c>
      <c r="B245" s="108">
        <v>3</v>
      </c>
      <c r="C245" s="108">
        <v>1</v>
      </c>
      <c r="D245" s="108">
        <v>94.851085310449264</v>
      </c>
      <c r="E245" s="108">
        <v>97.576981322564365</v>
      </c>
      <c r="F245" s="108">
        <v>95.911155981827363</v>
      </c>
      <c r="G245" s="108">
        <v>10.222110045431601</v>
      </c>
      <c r="H245" s="108">
        <v>18.437657748611809</v>
      </c>
      <c r="I245" s="108">
        <v>0</v>
      </c>
      <c r="J245" s="108">
        <v>0</v>
      </c>
      <c r="K245" s="108">
        <v>1</v>
      </c>
      <c r="L245" s="108">
        <v>1</v>
      </c>
      <c r="M245" s="133">
        <v>1</v>
      </c>
      <c r="N245" s="133">
        <v>66</v>
      </c>
      <c r="O245" s="133">
        <v>42000</v>
      </c>
      <c r="P245" s="133">
        <v>0</v>
      </c>
      <c r="Q245" s="133">
        <v>1</v>
      </c>
      <c r="R245" s="133">
        <v>1</v>
      </c>
      <c r="S245" s="133">
        <v>1</v>
      </c>
    </row>
    <row r="246" spans="1:19">
      <c r="A246" s="88" t="s">
        <v>136</v>
      </c>
      <c r="B246" s="108">
        <v>4</v>
      </c>
      <c r="C246" s="108">
        <v>1</v>
      </c>
      <c r="D246" s="108">
        <v>4.3033821302372548</v>
      </c>
      <c r="E246" s="108">
        <v>21.706208985360931</v>
      </c>
      <c r="F246" s="108">
        <v>10.007571933366989</v>
      </c>
      <c r="G246" s="108">
        <v>2.7385159010600679</v>
      </c>
      <c r="H246" s="108">
        <v>8.3291267036850076</v>
      </c>
      <c r="I246" s="108">
        <v>0</v>
      </c>
      <c r="J246" s="108">
        <v>0</v>
      </c>
      <c r="K246" s="108">
        <v>0</v>
      </c>
      <c r="L246" s="108">
        <v>1</v>
      </c>
      <c r="M246" s="133">
        <v>1</v>
      </c>
      <c r="N246" s="133">
        <v>66</v>
      </c>
      <c r="O246" s="133">
        <v>42000</v>
      </c>
      <c r="P246" s="133">
        <v>0</v>
      </c>
      <c r="Q246" s="133">
        <v>1</v>
      </c>
      <c r="R246" s="133">
        <v>1</v>
      </c>
      <c r="S246" s="133">
        <v>1</v>
      </c>
    </row>
    <row r="247" spans="1:19">
      <c r="A247" s="88" t="s">
        <v>136</v>
      </c>
      <c r="B247" s="108">
        <v>7</v>
      </c>
      <c r="C247" s="108">
        <v>1</v>
      </c>
      <c r="D247" s="108">
        <v>97.791519434628981</v>
      </c>
      <c r="E247" s="108">
        <v>96.769308430085815</v>
      </c>
      <c r="F247" s="108">
        <v>97.539121655729417</v>
      </c>
      <c r="G247" s="108">
        <v>5.1362948006057563</v>
      </c>
      <c r="H247" s="108">
        <v>50</v>
      </c>
      <c r="I247" s="108">
        <v>0</v>
      </c>
      <c r="J247" s="108">
        <v>1</v>
      </c>
      <c r="K247" s="108">
        <v>1</v>
      </c>
      <c r="L247" s="108">
        <v>1</v>
      </c>
      <c r="M247" s="133">
        <v>1</v>
      </c>
      <c r="N247" s="133">
        <v>66</v>
      </c>
      <c r="O247" s="133">
        <v>42000</v>
      </c>
      <c r="P247" s="133">
        <v>0</v>
      </c>
      <c r="Q247" s="133">
        <v>1</v>
      </c>
      <c r="R247" s="133">
        <v>1</v>
      </c>
      <c r="S247" s="133">
        <v>1</v>
      </c>
    </row>
    <row r="248" spans="1:19">
      <c r="A248" s="88" t="s">
        <v>137</v>
      </c>
      <c r="B248" s="108">
        <v>1</v>
      </c>
      <c r="C248" s="108">
        <v>1</v>
      </c>
      <c r="D248" s="108">
        <v>83.539995137369317</v>
      </c>
      <c r="E248" s="108">
        <v>72.769268174082185</v>
      </c>
      <c r="F248" s="108">
        <v>90.566496474592768</v>
      </c>
      <c r="G248" s="108">
        <v>8.9837101872112797</v>
      </c>
      <c r="H248" s="108">
        <v>12.922441040602971</v>
      </c>
      <c r="I248" s="108">
        <v>1</v>
      </c>
      <c r="J248" s="108">
        <v>0</v>
      </c>
      <c r="K248" s="108">
        <v>1</v>
      </c>
      <c r="L248" s="108">
        <v>1</v>
      </c>
      <c r="M248" s="133">
        <v>0</v>
      </c>
      <c r="N248" s="133">
        <v>65</v>
      </c>
      <c r="O248" s="133">
        <v>60000</v>
      </c>
      <c r="P248" s="133">
        <v>0</v>
      </c>
      <c r="Q248" s="133">
        <v>0</v>
      </c>
      <c r="R248" s="133">
        <v>0</v>
      </c>
      <c r="S248" s="133">
        <v>0</v>
      </c>
    </row>
    <row r="249" spans="1:19">
      <c r="A249" s="88" t="s">
        <v>137</v>
      </c>
      <c r="B249" s="108">
        <v>2</v>
      </c>
      <c r="C249" s="108">
        <v>1</v>
      </c>
      <c r="D249" s="108">
        <v>93.095064429856549</v>
      </c>
      <c r="E249" s="108">
        <v>83.090201799173343</v>
      </c>
      <c r="F249" s="108">
        <v>94.675419401896434</v>
      </c>
      <c r="G249" s="108">
        <v>29.576951130561639</v>
      </c>
      <c r="H249" s="108">
        <v>7.9017748601993674</v>
      </c>
      <c r="I249" s="108">
        <v>0</v>
      </c>
      <c r="J249" s="108">
        <v>0</v>
      </c>
      <c r="K249" s="108">
        <v>1</v>
      </c>
      <c r="L249" s="108">
        <v>1</v>
      </c>
      <c r="M249" s="133">
        <v>0</v>
      </c>
      <c r="N249" s="133">
        <v>65</v>
      </c>
      <c r="O249" s="133">
        <v>60000</v>
      </c>
      <c r="P249" s="133">
        <v>0</v>
      </c>
      <c r="Q249" s="133">
        <v>0</v>
      </c>
      <c r="R249" s="133">
        <v>0</v>
      </c>
      <c r="S249" s="133">
        <v>0</v>
      </c>
    </row>
    <row r="250" spans="1:19">
      <c r="A250" s="88" t="s">
        <v>137</v>
      </c>
      <c r="B250" s="108">
        <v>3</v>
      </c>
      <c r="C250" s="108">
        <v>1</v>
      </c>
      <c r="D250" s="108">
        <v>9.7374179431072179</v>
      </c>
      <c r="E250" s="108">
        <v>5.2030148310235838</v>
      </c>
      <c r="F250" s="108">
        <v>32.348650619985413</v>
      </c>
      <c r="G250" s="108">
        <v>6.1876975443715061</v>
      </c>
      <c r="H250" s="108">
        <v>92.292730367128613</v>
      </c>
      <c r="I250" s="108">
        <v>0</v>
      </c>
      <c r="J250" s="108">
        <v>0</v>
      </c>
      <c r="K250" s="108">
        <v>0</v>
      </c>
      <c r="L250" s="108">
        <v>1</v>
      </c>
      <c r="M250" s="133">
        <v>0</v>
      </c>
      <c r="N250" s="133">
        <v>65</v>
      </c>
      <c r="O250" s="133">
        <v>60000</v>
      </c>
      <c r="P250" s="133">
        <v>0</v>
      </c>
      <c r="Q250" s="133">
        <v>0</v>
      </c>
      <c r="R250" s="133">
        <v>0</v>
      </c>
      <c r="S250" s="133">
        <v>0</v>
      </c>
    </row>
    <row r="251" spans="1:19">
      <c r="A251" s="88" t="s">
        <v>137</v>
      </c>
      <c r="B251" s="108">
        <v>4</v>
      </c>
      <c r="C251" s="108">
        <v>1</v>
      </c>
      <c r="D251" s="108">
        <v>85.667396061269145</v>
      </c>
      <c r="E251" s="108">
        <v>90.979820082664716</v>
      </c>
      <c r="F251" s="108">
        <v>93.873085339168497</v>
      </c>
      <c r="G251" s="108">
        <v>18.234865061998541</v>
      </c>
      <c r="H251" s="108">
        <v>50</v>
      </c>
      <c r="I251" s="108">
        <v>0</v>
      </c>
      <c r="J251" s="108">
        <v>0</v>
      </c>
      <c r="K251" s="108">
        <v>1</v>
      </c>
      <c r="L251" s="108">
        <v>1</v>
      </c>
      <c r="M251" s="133">
        <v>0</v>
      </c>
      <c r="N251" s="133">
        <v>65</v>
      </c>
      <c r="O251" s="133">
        <v>60000</v>
      </c>
      <c r="P251" s="133">
        <v>0</v>
      </c>
      <c r="Q251" s="133">
        <v>0</v>
      </c>
      <c r="R251" s="133">
        <v>0</v>
      </c>
      <c r="S251" s="133">
        <v>0</v>
      </c>
    </row>
    <row r="252" spans="1:19">
      <c r="A252" s="88" t="s">
        <v>137</v>
      </c>
      <c r="B252" s="108">
        <v>6</v>
      </c>
      <c r="C252" s="108">
        <v>1</v>
      </c>
      <c r="D252" s="108">
        <v>6.9657184536834453</v>
      </c>
      <c r="E252" s="108">
        <v>27.133479212253832</v>
      </c>
      <c r="F252" s="108">
        <v>11.001701920739119</v>
      </c>
      <c r="G252" s="108">
        <v>7.7923656698273778</v>
      </c>
      <c r="H252" s="108">
        <v>84.828592268417211</v>
      </c>
      <c r="I252" s="108">
        <v>0</v>
      </c>
      <c r="J252" s="108">
        <v>0</v>
      </c>
      <c r="K252" s="108">
        <v>0</v>
      </c>
      <c r="L252" s="108">
        <v>1</v>
      </c>
      <c r="M252" s="133">
        <v>0</v>
      </c>
      <c r="N252" s="133">
        <v>65</v>
      </c>
      <c r="O252" s="133">
        <v>60000</v>
      </c>
      <c r="P252" s="133">
        <v>0</v>
      </c>
      <c r="Q252" s="133">
        <v>0</v>
      </c>
      <c r="R252" s="133">
        <v>0</v>
      </c>
      <c r="S252" s="133">
        <v>0</v>
      </c>
    </row>
    <row r="253" spans="1:19">
      <c r="A253" s="88" t="s">
        <v>138</v>
      </c>
      <c r="B253" s="108">
        <v>1</v>
      </c>
      <c r="C253" s="108">
        <v>1</v>
      </c>
      <c r="D253" s="108">
        <v>18.421052631578949</v>
      </c>
      <c r="E253" s="108">
        <v>50</v>
      </c>
      <c r="F253" s="108">
        <v>29.723684210526319</v>
      </c>
      <c r="G253" s="108">
        <v>16.144736842105271</v>
      </c>
      <c r="H253" s="108">
        <v>28.789473684210531</v>
      </c>
      <c r="I253" s="108">
        <v>1</v>
      </c>
      <c r="J253" s="108">
        <v>0</v>
      </c>
      <c r="K253" s="108">
        <v>0</v>
      </c>
      <c r="L253" s="108">
        <v>1</v>
      </c>
      <c r="M253" s="134">
        <v>0</v>
      </c>
      <c r="N253" s="134">
        <v>69</v>
      </c>
      <c r="O253" s="134">
        <v>16000</v>
      </c>
      <c r="P253" s="133">
        <v>0</v>
      </c>
      <c r="Q253" s="133">
        <v>0</v>
      </c>
      <c r="R253" s="133">
        <v>0</v>
      </c>
      <c r="S253" s="133">
        <v>0</v>
      </c>
    </row>
    <row r="254" spans="1:19">
      <c r="A254" s="88" t="s">
        <v>138</v>
      </c>
      <c r="B254" s="108">
        <v>2</v>
      </c>
      <c r="C254" s="108">
        <v>1</v>
      </c>
      <c r="D254" s="108">
        <v>1.750000000000002</v>
      </c>
      <c r="E254" s="108">
        <v>11.84210526315789</v>
      </c>
      <c r="F254" s="108">
        <v>50</v>
      </c>
      <c r="G254" s="108">
        <v>80.644736842105274</v>
      </c>
      <c r="H254" s="108">
        <v>11.15789473684211</v>
      </c>
      <c r="I254" s="108">
        <v>0</v>
      </c>
      <c r="J254" s="108">
        <v>0</v>
      </c>
      <c r="K254" s="108">
        <v>0</v>
      </c>
      <c r="L254" s="108">
        <v>1</v>
      </c>
      <c r="M254" s="134">
        <v>0</v>
      </c>
      <c r="N254" s="134">
        <v>69</v>
      </c>
      <c r="O254" s="134">
        <v>16000</v>
      </c>
      <c r="P254" s="133">
        <v>0</v>
      </c>
      <c r="Q254" s="133">
        <v>0</v>
      </c>
      <c r="R254" s="133">
        <v>0</v>
      </c>
      <c r="S254" s="133">
        <v>0</v>
      </c>
    </row>
    <row r="255" spans="1:19">
      <c r="A255" s="88" t="s">
        <v>138</v>
      </c>
      <c r="B255" s="108">
        <v>3</v>
      </c>
      <c r="C255" s="108">
        <v>1</v>
      </c>
      <c r="D255" s="108">
        <v>20.35526315789474</v>
      </c>
      <c r="E255" s="108">
        <v>6.7368421052631584</v>
      </c>
      <c r="F255" s="108">
        <v>20.315789473684209</v>
      </c>
      <c r="G255" s="108">
        <v>87.09210526315789</v>
      </c>
      <c r="H255" s="108">
        <v>30.539473684210531</v>
      </c>
      <c r="I255" s="108">
        <v>0</v>
      </c>
      <c r="J255" s="108">
        <v>0</v>
      </c>
      <c r="K255" s="108">
        <v>0</v>
      </c>
      <c r="L255" s="108">
        <v>1</v>
      </c>
      <c r="M255" s="134">
        <v>0</v>
      </c>
      <c r="N255" s="134">
        <v>69</v>
      </c>
      <c r="O255" s="134">
        <v>16000</v>
      </c>
      <c r="P255" s="133">
        <v>0</v>
      </c>
      <c r="Q255" s="133">
        <v>0</v>
      </c>
      <c r="R255" s="133">
        <v>0</v>
      </c>
      <c r="S255" s="133">
        <v>0</v>
      </c>
    </row>
    <row r="256" spans="1:19">
      <c r="A256" s="88" t="s">
        <v>138</v>
      </c>
      <c r="B256" s="108">
        <v>5</v>
      </c>
      <c r="C256" s="108">
        <v>1</v>
      </c>
      <c r="D256" s="108">
        <v>22.578947368421051</v>
      </c>
      <c r="E256" s="108">
        <v>1.1184210526315801</v>
      </c>
      <c r="F256" s="108">
        <v>1.828947368421052</v>
      </c>
      <c r="G256" s="108">
        <v>93.44736842105263</v>
      </c>
      <c r="H256" s="108">
        <v>4.6447368421052628</v>
      </c>
      <c r="I256" s="108">
        <v>0</v>
      </c>
      <c r="J256" s="108">
        <v>0</v>
      </c>
      <c r="K256" s="108">
        <v>0</v>
      </c>
      <c r="L256" s="108">
        <v>1</v>
      </c>
      <c r="M256" s="134">
        <v>0</v>
      </c>
      <c r="N256" s="134">
        <v>69</v>
      </c>
      <c r="O256" s="134">
        <v>16000</v>
      </c>
      <c r="P256" s="133">
        <v>0</v>
      </c>
      <c r="Q256" s="133">
        <v>0</v>
      </c>
      <c r="R256" s="133">
        <v>0</v>
      </c>
      <c r="S256" s="133">
        <v>0</v>
      </c>
    </row>
    <row r="257" spans="1:19">
      <c r="A257" s="88" t="s">
        <v>138</v>
      </c>
      <c r="B257" s="108">
        <v>6</v>
      </c>
      <c r="C257" s="108">
        <v>1</v>
      </c>
      <c r="D257" s="108">
        <v>29.605263157894729</v>
      </c>
      <c r="E257" s="108">
        <v>1.460526315789473</v>
      </c>
      <c r="F257" s="108">
        <v>2.868421052631581</v>
      </c>
      <c r="G257" s="108">
        <v>96.263157894736835</v>
      </c>
      <c r="H257" s="108">
        <v>3.7368421052631611</v>
      </c>
      <c r="I257" s="108">
        <v>0</v>
      </c>
      <c r="J257" s="108">
        <v>0</v>
      </c>
      <c r="K257" s="108">
        <v>0</v>
      </c>
      <c r="L257" s="108">
        <v>1</v>
      </c>
      <c r="M257" s="134">
        <v>0</v>
      </c>
      <c r="N257" s="134">
        <v>69</v>
      </c>
      <c r="O257" s="134">
        <v>16000</v>
      </c>
      <c r="P257" s="133">
        <v>0</v>
      </c>
      <c r="Q257" s="133">
        <v>0</v>
      </c>
      <c r="R257" s="133">
        <v>0</v>
      </c>
      <c r="S257" s="133">
        <v>0</v>
      </c>
    </row>
    <row r="258" spans="1:19">
      <c r="A258" s="88" t="s">
        <v>138</v>
      </c>
      <c r="B258" s="108">
        <v>7</v>
      </c>
      <c r="C258" s="108">
        <v>1</v>
      </c>
      <c r="D258" s="108">
        <v>17.5</v>
      </c>
      <c r="E258" s="108">
        <v>0</v>
      </c>
      <c r="F258" s="108">
        <v>11.368421052631581</v>
      </c>
      <c r="G258" s="108">
        <v>86.776315789473685</v>
      </c>
      <c r="H258" s="108">
        <v>10.94736842105263</v>
      </c>
      <c r="I258" s="108">
        <v>0</v>
      </c>
      <c r="J258" s="108">
        <v>1</v>
      </c>
      <c r="K258" s="108">
        <v>0</v>
      </c>
      <c r="L258" s="108">
        <v>1</v>
      </c>
      <c r="M258" s="134">
        <v>0</v>
      </c>
      <c r="N258" s="134">
        <v>69</v>
      </c>
      <c r="O258" s="134">
        <v>16000</v>
      </c>
      <c r="P258" s="133">
        <v>0</v>
      </c>
      <c r="Q258" s="133">
        <v>0</v>
      </c>
      <c r="R258" s="133">
        <v>0</v>
      </c>
      <c r="S258" s="133">
        <v>0</v>
      </c>
    </row>
    <row r="259" spans="1:19">
      <c r="A259" s="88" t="s">
        <v>139</v>
      </c>
      <c r="B259" s="108">
        <v>1</v>
      </c>
      <c r="C259" s="108">
        <v>1</v>
      </c>
      <c r="D259" s="108">
        <v>91.650499925384281</v>
      </c>
      <c r="E259" s="108">
        <v>99.388151022235476</v>
      </c>
      <c r="F259" s="108">
        <v>90.881957916728837</v>
      </c>
      <c r="G259" s="108">
        <v>3.439785106700493</v>
      </c>
      <c r="H259" s="108">
        <v>2.0071631099835838</v>
      </c>
      <c r="I259" s="108">
        <v>1</v>
      </c>
      <c r="J259" s="108">
        <v>0</v>
      </c>
      <c r="K259" s="108">
        <v>1</v>
      </c>
      <c r="L259" s="108">
        <v>1</v>
      </c>
      <c r="M259" s="134">
        <v>1</v>
      </c>
      <c r="N259" s="134">
        <v>39</v>
      </c>
      <c r="O259" s="134">
        <v>59000</v>
      </c>
      <c r="P259" s="133">
        <v>1</v>
      </c>
      <c r="Q259" s="133">
        <v>1</v>
      </c>
      <c r="R259" s="133">
        <v>1</v>
      </c>
      <c r="S259" s="133">
        <v>1</v>
      </c>
    </row>
    <row r="260" spans="1:19">
      <c r="A260" s="88" t="s">
        <v>139</v>
      </c>
      <c r="B260" s="108">
        <v>2</v>
      </c>
      <c r="C260" s="108">
        <v>1</v>
      </c>
      <c r="D260" s="108">
        <v>97.56006566184152</v>
      </c>
      <c r="E260" s="108">
        <v>98.918071929562743</v>
      </c>
      <c r="F260" s="108">
        <v>99.03745709595583</v>
      </c>
      <c r="G260" s="108">
        <v>7.4466497537680976</v>
      </c>
      <c r="H260" s="108">
        <v>4.4097895836442298</v>
      </c>
      <c r="I260" s="108">
        <v>0</v>
      </c>
      <c r="J260" s="108">
        <v>0</v>
      </c>
      <c r="K260" s="108">
        <v>1</v>
      </c>
      <c r="L260" s="108">
        <v>1</v>
      </c>
      <c r="M260" s="134">
        <v>1</v>
      </c>
      <c r="N260" s="134">
        <v>39</v>
      </c>
      <c r="O260" s="134">
        <v>59000</v>
      </c>
      <c r="P260" s="133">
        <v>1</v>
      </c>
      <c r="Q260" s="133">
        <v>1</v>
      </c>
      <c r="R260" s="133">
        <v>1</v>
      </c>
      <c r="S260" s="133">
        <v>1</v>
      </c>
    </row>
    <row r="261" spans="1:19">
      <c r="A261" s="88" t="s">
        <v>139</v>
      </c>
      <c r="B261" s="108">
        <v>3</v>
      </c>
      <c r="C261" s="108">
        <v>1</v>
      </c>
      <c r="D261" s="108">
        <v>50</v>
      </c>
      <c r="E261" s="108">
        <v>98.222222222222229</v>
      </c>
      <c r="F261" s="108">
        <v>97.473684210526315</v>
      </c>
      <c r="G261" s="108">
        <v>4.432748538011694</v>
      </c>
      <c r="H261" s="108">
        <v>6.0584795321637408</v>
      </c>
      <c r="I261" s="108">
        <v>0</v>
      </c>
      <c r="J261" s="108">
        <v>0</v>
      </c>
      <c r="K261" s="108">
        <v>1</v>
      </c>
      <c r="L261" s="108">
        <v>1</v>
      </c>
      <c r="M261" s="134">
        <v>1</v>
      </c>
      <c r="N261" s="134">
        <v>39</v>
      </c>
      <c r="O261" s="134">
        <v>59000</v>
      </c>
      <c r="P261" s="133">
        <v>1</v>
      </c>
      <c r="Q261" s="133">
        <v>1</v>
      </c>
      <c r="R261" s="133">
        <v>1</v>
      </c>
      <c r="S261" s="133">
        <v>1</v>
      </c>
    </row>
    <row r="262" spans="1:19">
      <c r="A262" s="88" t="s">
        <v>139</v>
      </c>
      <c r="B262" s="108">
        <v>4</v>
      </c>
      <c r="C262" s="108">
        <v>1</v>
      </c>
      <c r="D262" s="108">
        <v>97.181286549707607</v>
      </c>
      <c r="E262" s="108">
        <v>100</v>
      </c>
      <c r="F262" s="108">
        <v>94.853801169590639</v>
      </c>
      <c r="G262" s="108">
        <v>2.8187134502923978</v>
      </c>
      <c r="H262" s="108">
        <v>1.087719298245615</v>
      </c>
      <c r="I262" s="108">
        <v>0</v>
      </c>
      <c r="J262" s="108">
        <v>0</v>
      </c>
      <c r="K262" s="108">
        <v>1</v>
      </c>
      <c r="L262" s="108">
        <v>1</v>
      </c>
      <c r="M262" s="134">
        <v>1</v>
      </c>
      <c r="N262" s="134">
        <v>39</v>
      </c>
      <c r="O262" s="134">
        <v>59000</v>
      </c>
      <c r="P262" s="133">
        <v>1</v>
      </c>
      <c r="Q262" s="133">
        <v>1</v>
      </c>
      <c r="R262" s="133">
        <v>1</v>
      </c>
      <c r="S262" s="133">
        <v>1</v>
      </c>
    </row>
    <row r="263" spans="1:19">
      <c r="A263" s="88" t="s">
        <v>139</v>
      </c>
      <c r="B263" s="108">
        <v>5</v>
      </c>
      <c r="C263" s="108">
        <v>1</v>
      </c>
      <c r="D263" s="108">
        <v>96.409356725146196</v>
      </c>
      <c r="E263" s="108">
        <v>98.023391812865498</v>
      </c>
      <c r="F263" s="108">
        <v>96.385964912280713</v>
      </c>
      <c r="G263" s="108">
        <v>9.6725146198830441</v>
      </c>
      <c r="H263" s="108">
        <v>5.3333333333333339</v>
      </c>
      <c r="I263" s="108">
        <v>0</v>
      </c>
      <c r="J263" s="108">
        <v>0</v>
      </c>
      <c r="K263" s="108">
        <v>1</v>
      </c>
      <c r="L263" s="108">
        <v>1</v>
      </c>
      <c r="M263" s="134">
        <v>1</v>
      </c>
      <c r="N263" s="134">
        <v>39</v>
      </c>
      <c r="O263" s="134">
        <v>59000</v>
      </c>
      <c r="P263" s="133">
        <v>1</v>
      </c>
      <c r="Q263" s="133">
        <v>1</v>
      </c>
      <c r="R263" s="133">
        <v>1</v>
      </c>
      <c r="S263" s="133">
        <v>1</v>
      </c>
    </row>
    <row r="264" spans="1:19">
      <c r="A264" s="88" t="s">
        <v>139</v>
      </c>
      <c r="B264" s="108">
        <v>6</v>
      </c>
      <c r="C264" s="108">
        <v>1</v>
      </c>
      <c r="D264" s="108">
        <v>87.672514619883032</v>
      </c>
      <c r="E264" s="108">
        <v>95.777777777777786</v>
      </c>
      <c r="F264" s="108">
        <v>95.754385964912274</v>
      </c>
      <c r="G264" s="108">
        <v>10.21052631578948</v>
      </c>
      <c r="H264" s="108">
        <v>2.666666666666667</v>
      </c>
      <c r="I264" s="108">
        <v>0</v>
      </c>
      <c r="J264" s="108">
        <v>0</v>
      </c>
      <c r="K264" s="108">
        <v>1</v>
      </c>
      <c r="L264" s="108">
        <v>1</v>
      </c>
      <c r="M264" s="134">
        <v>1</v>
      </c>
      <c r="N264" s="134">
        <v>39</v>
      </c>
      <c r="O264" s="134">
        <v>59000</v>
      </c>
      <c r="P264" s="133">
        <v>1</v>
      </c>
      <c r="Q264" s="133">
        <v>1</v>
      </c>
      <c r="R264" s="133">
        <v>1</v>
      </c>
      <c r="S264" s="133">
        <v>1</v>
      </c>
    </row>
    <row r="265" spans="1:19">
      <c r="A265" s="88" t="s">
        <v>139</v>
      </c>
      <c r="B265" s="108">
        <v>7</v>
      </c>
      <c r="C265" s="108">
        <v>1</v>
      </c>
      <c r="D265" s="108">
        <v>4.432748538011694</v>
      </c>
      <c r="E265" s="108">
        <v>5.7543859649122791</v>
      </c>
      <c r="F265" s="108">
        <v>14.33918128654971</v>
      </c>
      <c r="G265" s="108">
        <v>93.368421052631575</v>
      </c>
      <c r="H265" s="108">
        <v>94.011695906432749</v>
      </c>
      <c r="I265" s="108">
        <v>0</v>
      </c>
      <c r="J265" s="108">
        <v>1</v>
      </c>
      <c r="K265" s="108">
        <v>0</v>
      </c>
      <c r="L265" s="108">
        <v>1</v>
      </c>
      <c r="M265" s="134">
        <v>1</v>
      </c>
      <c r="N265" s="134">
        <v>39</v>
      </c>
      <c r="O265" s="134">
        <v>59000</v>
      </c>
      <c r="P265" s="133">
        <v>1</v>
      </c>
      <c r="Q265" s="133">
        <v>1</v>
      </c>
      <c r="R265" s="133">
        <v>1</v>
      </c>
      <c r="S265" s="133">
        <v>1</v>
      </c>
    </row>
    <row r="266" spans="1:19">
      <c r="A266" s="88" t="s">
        <v>140</v>
      </c>
      <c r="B266" s="108">
        <v>5</v>
      </c>
      <c r="C266" s="108">
        <v>1</v>
      </c>
      <c r="D266" s="108">
        <v>50</v>
      </c>
      <c r="E266" s="108">
        <v>37.936170212765958</v>
      </c>
      <c r="F266" s="108">
        <v>50</v>
      </c>
      <c r="G266" s="108">
        <v>26.957446808510639</v>
      </c>
      <c r="H266" s="108">
        <v>27.702127659574469</v>
      </c>
      <c r="I266" s="108">
        <v>0</v>
      </c>
      <c r="J266" s="108">
        <v>0</v>
      </c>
      <c r="K266" s="108">
        <v>0</v>
      </c>
      <c r="L266" s="108">
        <v>1</v>
      </c>
      <c r="M266" s="134">
        <v>1</v>
      </c>
      <c r="N266" s="134">
        <v>37</v>
      </c>
      <c r="O266" s="134">
        <v>60000</v>
      </c>
      <c r="P266" s="133">
        <v>0</v>
      </c>
      <c r="Q266" s="133">
        <v>0</v>
      </c>
      <c r="R266" s="133">
        <v>1</v>
      </c>
      <c r="S266" s="133">
        <v>1</v>
      </c>
    </row>
    <row r="267" spans="1:19">
      <c r="A267" s="88" t="s">
        <v>141</v>
      </c>
      <c r="B267" s="108">
        <v>1</v>
      </c>
      <c r="C267" s="108">
        <v>1</v>
      </c>
      <c r="D267" s="108">
        <v>98.828956706884313</v>
      </c>
      <c r="E267" s="108">
        <v>99.491365034303286</v>
      </c>
      <c r="F267" s="108">
        <v>93.375916725810271</v>
      </c>
      <c r="G267" s="108">
        <v>8.280104092737167</v>
      </c>
      <c r="H267" s="108">
        <v>2.2592855453039959</v>
      </c>
      <c r="I267" s="108">
        <v>1</v>
      </c>
      <c r="J267" s="108">
        <v>0</v>
      </c>
      <c r="K267" s="108">
        <v>1</v>
      </c>
      <c r="L267" s="108">
        <v>1</v>
      </c>
      <c r="M267" s="134">
        <v>1</v>
      </c>
      <c r="N267" s="134">
        <v>63</v>
      </c>
      <c r="O267" s="134">
        <v>40000</v>
      </c>
      <c r="P267" s="133">
        <v>0</v>
      </c>
      <c r="Q267" s="133">
        <v>0</v>
      </c>
      <c r="R267" s="133">
        <v>0</v>
      </c>
      <c r="S267" s="133">
        <v>0</v>
      </c>
    </row>
    <row r="268" spans="1:19">
      <c r="A268" s="88" t="s">
        <v>141</v>
      </c>
      <c r="B268" s="108">
        <v>2</v>
      </c>
      <c r="C268" s="108">
        <v>1</v>
      </c>
      <c r="D268" s="108">
        <v>91.187603501301169</v>
      </c>
      <c r="E268" s="108">
        <v>95.670688431511707</v>
      </c>
      <c r="F268" s="108">
        <v>89.058433877454462</v>
      </c>
      <c r="G268" s="108">
        <v>1.3129879347054669</v>
      </c>
      <c r="H268" s="108">
        <v>10.149041873669271</v>
      </c>
      <c r="I268" s="108">
        <v>0</v>
      </c>
      <c r="J268" s="108">
        <v>0</v>
      </c>
      <c r="K268" s="108">
        <v>1</v>
      </c>
      <c r="L268" s="108">
        <v>1</v>
      </c>
      <c r="M268" s="134">
        <v>1</v>
      </c>
      <c r="N268" s="134">
        <v>63</v>
      </c>
      <c r="O268" s="134">
        <v>40000</v>
      </c>
      <c r="P268" s="133">
        <v>0</v>
      </c>
      <c r="Q268" s="133">
        <v>0</v>
      </c>
      <c r="R268" s="133">
        <v>0</v>
      </c>
      <c r="S268" s="133">
        <v>0</v>
      </c>
    </row>
    <row r="269" spans="1:19">
      <c r="A269" s="88" t="s">
        <v>141</v>
      </c>
      <c r="B269" s="108">
        <v>3</v>
      </c>
      <c r="C269" s="108">
        <v>1</v>
      </c>
      <c r="D269" s="108">
        <v>96.213692946058089</v>
      </c>
      <c r="E269" s="108">
        <v>97.977178423236523</v>
      </c>
      <c r="F269" s="108">
        <v>50</v>
      </c>
      <c r="G269" s="108">
        <v>8.6618257261410818</v>
      </c>
      <c r="H269" s="108">
        <v>0</v>
      </c>
      <c r="I269" s="108">
        <v>0</v>
      </c>
      <c r="J269" s="108">
        <v>0</v>
      </c>
      <c r="K269" s="108">
        <v>1</v>
      </c>
      <c r="L269" s="108">
        <v>1</v>
      </c>
      <c r="M269" s="134">
        <v>1</v>
      </c>
      <c r="N269" s="134">
        <v>63</v>
      </c>
      <c r="O269" s="134">
        <v>40000</v>
      </c>
      <c r="P269" s="133">
        <v>0</v>
      </c>
      <c r="Q269" s="133">
        <v>0</v>
      </c>
      <c r="R269" s="133">
        <v>0</v>
      </c>
      <c r="S269" s="133">
        <v>0</v>
      </c>
    </row>
    <row r="270" spans="1:19">
      <c r="A270" s="88" t="s">
        <v>141</v>
      </c>
      <c r="B270" s="108">
        <v>4</v>
      </c>
      <c r="C270" s="108">
        <v>1</v>
      </c>
      <c r="D270" s="108">
        <v>5.3682572614107862</v>
      </c>
      <c r="E270" s="108">
        <v>12.824170124481331</v>
      </c>
      <c r="F270" s="108">
        <v>4.745850622406639</v>
      </c>
      <c r="G270" s="108">
        <v>88.316908713692939</v>
      </c>
      <c r="H270" s="108">
        <v>3.915975103734437</v>
      </c>
      <c r="I270" s="108">
        <v>0</v>
      </c>
      <c r="J270" s="108">
        <v>0</v>
      </c>
      <c r="K270" s="108">
        <v>0</v>
      </c>
      <c r="L270" s="108">
        <v>1</v>
      </c>
      <c r="M270" s="134">
        <v>1</v>
      </c>
      <c r="N270" s="134">
        <v>63</v>
      </c>
      <c r="O270" s="134">
        <v>40000</v>
      </c>
      <c r="P270" s="133">
        <v>0</v>
      </c>
      <c r="Q270" s="133">
        <v>0</v>
      </c>
      <c r="R270" s="133">
        <v>0</v>
      </c>
      <c r="S270" s="133">
        <v>0</v>
      </c>
    </row>
    <row r="271" spans="1:19">
      <c r="A271" s="88" t="s">
        <v>141</v>
      </c>
      <c r="B271" s="108">
        <v>5</v>
      </c>
      <c r="C271" s="108">
        <v>1</v>
      </c>
      <c r="D271" s="108">
        <v>21.498962655601659</v>
      </c>
      <c r="E271" s="108">
        <v>4.1364107883817436</v>
      </c>
      <c r="F271" s="108">
        <v>1.167012448132781</v>
      </c>
      <c r="G271" s="108">
        <v>95.474585062240664</v>
      </c>
      <c r="H271" s="108">
        <v>6.2629668049792544</v>
      </c>
      <c r="I271" s="108">
        <v>0</v>
      </c>
      <c r="J271" s="108">
        <v>0</v>
      </c>
      <c r="K271" s="108">
        <v>0</v>
      </c>
      <c r="L271" s="108">
        <v>1</v>
      </c>
      <c r="M271" s="134">
        <v>1</v>
      </c>
      <c r="N271" s="134">
        <v>63</v>
      </c>
      <c r="O271" s="134">
        <v>40000</v>
      </c>
      <c r="P271" s="133">
        <v>0</v>
      </c>
      <c r="Q271" s="133">
        <v>0</v>
      </c>
      <c r="R271" s="133">
        <v>0</v>
      </c>
      <c r="S271" s="133">
        <v>0</v>
      </c>
    </row>
    <row r="272" spans="1:19">
      <c r="A272" s="88" t="s">
        <v>141</v>
      </c>
      <c r="B272" s="108">
        <v>6</v>
      </c>
      <c r="C272" s="108">
        <v>1</v>
      </c>
      <c r="D272" s="108">
        <v>4.1364107883817436</v>
      </c>
      <c r="E272" s="108">
        <v>4.9014522821576758</v>
      </c>
      <c r="F272" s="108">
        <v>4.6161825726141084</v>
      </c>
      <c r="G272" s="108">
        <v>95.383817427385893</v>
      </c>
      <c r="H272" s="108">
        <v>9.1156639004149387</v>
      </c>
      <c r="I272" s="108">
        <v>0</v>
      </c>
      <c r="J272" s="108">
        <v>0</v>
      </c>
      <c r="K272" s="108">
        <v>0</v>
      </c>
      <c r="L272" s="108">
        <v>1</v>
      </c>
      <c r="M272" s="134">
        <v>1</v>
      </c>
      <c r="N272" s="134">
        <v>63</v>
      </c>
      <c r="O272" s="134">
        <v>40000</v>
      </c>
      <c r="P272" s="133">
        <v>0</v>
      </c>
      <c r="Q272" s="133">
        <v>0</v>
      </c>
      <c r="R272" s="133">
        <v>0</v>
      </c>
      <c r="S272" s="133">
        <v>0</v>
      </c>
    </row>
    <row r="273" spans="1:19">
      <c r="A273" s="88" t="s">
        <v>141</v>
      </c>
      <c r="B273" s="108">
        <v>7</v>
      </c>
      <c r="C273" s="108">
        <v>1</v>
      </c>
      <c r="D273" s="108">
        <v>7.2354771784232383</v>
      </c>
      <c r="E273" s="108">
        <v>2.645228215767637</v>
      </c>
      <c r="F273" s="108">
        <v>5.5238589211618283</v>
      </c>
      <c r="G273" s="108">
        <v>94.929979253112037</v>
      </c>
      <c r="H273" s="108">
        <v>14.419087136929461</v>
      </c>
      <c r="I273" s="108">
        <v>0</v>
      </c>
      <c r="J273" s="108">
        <v>1</v>
      </c>
      <c r="K273" s="108">
        <v>0</v>
      </c>
      <c r="L273" s="108">
        <v>1</v>
      </c>
      <c r="M273" s="134">
        <v>1</v>
      </c>
      <c r="N273" s="134">
        <v>63</v>
      </c>
      <c r="O273" s="134">
        <v>40000</v>
      </c>
      <c r="P273" s="133">
        <v>0</v>
      </c>
      <c r="Q273" s="133">
        <v>0</v>
      </c>
      <c r="R273" s="133">
        <v>0</v>
      </c>
      <c r="S273" s="133">
        <v>0</v>
      </c>
    </row>
    <row r="274" spans="1:19">
      <c r="A274" s="88" t="s">
        <v>142</v>
      </c>
      <c r="B274" s="108">
        <v>1</v>
      </c>
      <c r="C274" s="108">
        <v>1</v>
      </c>
      <c r="D274" s="108">
        <v>26.408187658747941</v>
      </c>
      <c r="E274" s="108">
        <v>10.227102943373669</v>
      </c>
      <c r="F274" s="108">
        <v>17.062602719258919</v>
      </c>
      <c r="G274" s="108">
        <v>85.171074256686083</v>
      </c>
      <c r="H274" s="108">
        <v>87.150754519647393</v>
      </c>
      <c r="I274" s="108">
        <v>1</v>
      </c>
      <c r="J274" s="108">
        <v>0</v>
      </c>
      <c r="K274" s="108">
        <v>0</v>
      </c>
      <c r="L274" s="108">
        <v>1</v>
      </c>
      <c r="M274" s="134">
        <v>1</v>
      </c>
      <c r="N274" s="134">
        <v>62</v>
      </c>
      <c r="O274" s="134">
        <v>-99</v>
      </c>
      <c r="P274" s="133">
        <v>0</v>
      </c>
      <c r="Q274" s="133">
        <v>0</v>
      </c>
      <c r="R274" s="133">
        <v>0</v>
      </c>
      <c r="S274" s="133">
        <v>0</v>
      </c>
    </row>
    <row r="275" spans="1:19">
      <c r="A275" s="88" t="s">
        <v>142</v>
      </c>
      <c r="B275" s="108">
        <v>5</v>
      </c>
      <c r="C275" s="108">
        <v>1</v>
      </c>
      <c r="D275" s="108">
        <v>25.85106382978724</v>
      </c>
      <c r="E275" s="108">
        <v>32.042553191489361</v>
      </c>
      <c r="F275" s="108">
        <v>25.85106382978724</v>
      </c>
      <c r="G275" s="108">
        <v>8.3191489361702118</v>
      </c>
      <c r="H275" s="108">
        <v>64.627659574468083</v>
      </c>
      <c r="I275" s="108">
        <v>0</v>
      </c>
      <c r="J275" s="108">
        <v>0</v>
      </c>
      <c r="K275" s="108">
        <v>0</v>
      </c>
      <c r="L275" s="108">
        <v>1</v>
      </c>
      <c r="M275" s="134">
        <v>1</v>
      </c>
      <c r="N275" s="134">
        <v>62</v>
      </c>
      <c r="O275" s="134">
        <v>-99</v>
      </c>
      <c r="P275" s="133">
        <v>0</v>
      </c>
      <c r="Q275" s="133">
        <v>0</v>
      </c>
      <c r="R275" s="133">
        <v>0</v>
      </c>
      <c r="S275" s="133">
        <v>0</v>
      </c>
    </row>
    <row r="276" spans="1:19">
      <c r="A276" s="88" t="s">
        <v>142</v>
      </c>
      <c r="B276" s="108">
        <v>6</v>
      </c>
      <c r="C276" s="108">
        <v>1</v>
      </c>
      <c r="D276" s="108">
        <v>12.042553191489359</v>
      </c>
      <c r="E276" s="108">
        <v>17.712765957446809</v>
      </c>
      <c r="F276" s="108">
        <v>15.30851063829787</v>
      </c>
      <c r="G276" s="108">
        <v>73.351063829787236</v>
      </c>
      <c r="H276" s="108">
        <v>77</v>
      </c>
      <c r="I276" s="108">
        <v>0</v>
      </c>
      <c r="J276" s="108">
        <v>0</v>
      </c>
      <c r="K276" s="108">
        <v>0</v>
      </c>
      <c r="L276" s="108">
        <v>1</v>
      </c>
      <c r="M276" s="134">
        <v>1</v>
      </c>
      <c r="N276" s="134">
        <v>62</v>
      </c>
      <c r="O276" s="134">
        <v>-99</v>
      </c>
      <c r="P276" s="133">
        <v>0</v>
      </c>
      <c r="Q276" s="133">
        <v>0</v>
      </c>
      <c r="R276" s="133">
        <v>0</v>
      </c>
      <c r="S276" s="133">
        <v>0</v>
      </c>
    </row>
    <row r="277" spans="1:19">
      <c r="A277" s="88" t="s">
        <v>142</v>
      </c>
      <c r="B277" s="108">
        <v>7</v>
      </c>
      <c r="C277" s="108">
        <v>1</v>
      </c>
      <c r="D277" s="108">
        <v>100</v>
      </c>
      <c r="E277" s="108">
        <v>100</v>
      </c>
      <c r="F277" s="108">
        <v>94.861702127659569</v>
      </c>
      <c r="G277" s="108">
        <v>10.340425531914891</v>
      </c>
      <c r="H277" s="108">
        <v>100</v>
      </c>
      <c r="I277" s="108">
        <v>0</v>
      </c>
      <c r="J277" s="108">
        <v>1</v>
      </c>
      <c r="K277" s="108">
        <v>1</v>
      </c>
      <c r="L277" s="108">
        <v>1</v>
      </c>
      <c r="M277" s="134">
        <v>1</v>
      </c>
      <c r="N277" s="134">
        <v>62</v>
      </c>
      <c r="O277" s="134">
        <v>-99</v>
      </c>
      <c r="P277" s="133">
        <v>0</v>
      </c>
      <c r="Q277" s="133">
        <v>0</v>
      </c>
      <c r="R277" s="133">
        <v>0</v>
      </c>
      <c r="S277" s="133">
        <v>0</v>
      </c>
    </row>
    <row r="278" spans="1:19">
      <c r="A278" s="88" t="s">
        <v>143</v>
      </c>
      <c r="B278" s="108">
        <v>1</v>
      </c>
      <c r="C278" s="108">
        <v>1</v>
      </c>
      <c r="D278" s="108">
        <v>1.8629657414353571</v>
      </c>
      <c r="E278" s="108">
        <v>50</v>
      </c>
      <c r="F278" s="108">
        <v>28.357089272318081</v>
      </c>
      <c r="G278" s="108">
        <v>74.343585896474124</v>
      </c>
      <c r="H278" s="108">
        <v>50</v>
      </c>
      <c r="I278" s="108">
        <v>1</v>
      </c>
      <c r="J278" s="108">
        <v>0</v>
      </c>
      <c r="K278" s="108">
        <v>0</v>
      </c>
      <c r="L278" s="108">
        <v>1</v>
      </c>
      <c r="M278" s="134">
        <v>1</v>
      </c>
      <c r="N278" s="134">
        <v>19</v>
      </c>
      <c r="O278" s="134">
        <v>-99</v>
      </c>
      <c r="P278" s="133">
        <v>0</v>
      </c>
      <c r="Q278" s="133">
        <v>0</v>
      </c>
      <c r="R278" s="133">
        <v>0</v>
      </c>
      <c r="S278" s="133">
        <v>0</v>
      </c>
    </row>
    <row r="279" spans="1:19">
      <c r="A279" s="88" t="s">
        <v>143</v>
      </c>
      <c r="B279" s="108">
        <v>2</v>
      </c>
      <c r="C279" s="108">
        <v>1</v>
      </c>
      <c r="D279" s="108">
        <v>0.73768442110527799</v>
      </c>
      <c r="E279" s="108">
        <v>0.62515628907227061</v>
      </c>
      <c r="F279" s="108">
        <v>32.108027006751691</v>
      </c>
      <c r="G279" s="108">
        <v>97.911977994498628</v>
      </c>
      <c r="H279" s="108">
        <v>97.499374843710925</v>
      </c>
      <c r="I279" s="108">
        <v>0</v>
      </c>
      <c r="J279" s="108">
        <v>0</v>
      </c>
      <c r="K279" s="108">
        <v>0</v>
      </c>
      <c r="L279" s="108">
        <v>1</v>
      </c>
      <c r="M279" s="134">
        <v>1</v>
      </c>
      <c r="N279" s="134">
        <v>19</v>
      </c>
      <c r="O279" s="134">
        <v>-99</v>
      </c>
      <c r="P279" s="133">
        <v>0</v>
      </c>
      <c r="Q279" s="133">
        <v>0</v>
      </c>
      <c r="R279" s="133">
        <v>0</v>
      </c>
      <c r="S279" s="133">
        <v>0</v>
      </c>
    </row>
    <row r="280" spans="1:19">
      <c r="A280" s="88" t="s">
        <v>143</v>
      </c>
      <c r="B280" s="108">
        <v>3</v>
      </c>
      <c r="C280" s="108">
        <v>1</v>
      </c>
      <c r="D280" s="108">
        <v>2.0880220055013781</v>
      </c>
      <c r="E280" s="108">
        <v>14.053513378344579</v>
      </c>
      <c r="F280" s="108">
        <v>3.7509377344336068</v>
      </c>
      <c r="G280" s="108">
        <v>99.574893723430861</v>
      </c>
      <c r="H280" s="108">
        <v>99.174793698424608</v>
      </c>
      <c r="I280" s="108">
        <v>0</v>
      </c>
      <c r="J280" s="108">
        <v>0</v>
      </c>
      <c r="K280" s="108">
        <v>0</v>
      </c>
      <c r="L280" s="108">
        <v>1</v>
      </c>
      <c r="M280" s="134">
        <v>1</v>
      </c>
      <c r="N280" s="134">
        <v>19</v>
      </c>
      <c r="O280" s="134">
        <v>-99</v>
      </c>
      <c r="P280" s="133">
        <v>0</v>
      </c>
      <c r="Q280" s="133">
        <v>0</v>
      </c>
      <c r="R280" s="133">
        <v>0</v>
      </c>
      <c r="S280" s="133">
        <v>0</v>
      </c>
    </row>
    <row r="281" spans="1:19">
      <c r="A281" s="88" t="s">
        <v>143</v>
      </c>
      <c r="B281" s="108">
        <v>4</v>
      </c>
      <c r="C281" s="108">
        <v>1</v>
      </c>
      <c r="D281" s="108">
        <v>1.450362590647664</v>
      </c>
      <c r="E281" s="108">
        <v>21.267816954238558</v>
      </c>
      <c r="F281" s="108">
        <v>9.3898474618654646</v>
      </c>
      <c r="G281" s="108">
        <v>87.059264816204049</v>
      </c>
      <c r="H281" s="108">
        <v>90.235058764691175</v>
      </c>
      <c r="I281" s="108">
        <v>0</v>
      </c>
      <c r="J281" s="108">
        <v>0</v>
      </c>
      <c r="K281" s="108">
        <v>0</v>
      </c>
      <c r="L281" s="108">
        <v>1</v>
      </c>
      <c r="M281" s="134">
        <v>1</v>
      </c>
      <c r="N281" s="134">
        <v>19</v>
      </c>
      <c r="O281" s="134">
        <v>-99</v>
      </c>
      <c r="P281" s="133">
        <v>0</v>
      </c>
      <c r="Q281" s="133">
        <v>0</v>
      </c>
      <c r="R281" s="133">
        <v>0</v>
      </c>
      <c r="S281" s="133">
        <v>0</v>
      </c>
    </row>
    <row r="282" spans="1:19">
      <c r="A282" s="88" t="s">
        <v>143</v>
      </c>
      <c r="B282" s="108">
        <v>5</v>
      </c>
      <c r="C282" s="108">
        <v>1</v>
      </c>
      <c r="D282" s="108">
        <v>0</v>
      </c>
      <c r="E282" s="108">
        <v>6.4641160290072497</v>
      </c>
      <c r="F282" s="108">
        <v>0.62515628907227061</v>
      </c>
      <c r="G282" s="108">
        <v>90.210052513128275</v>
      </c>
      <c r="H282" s="108">
        <v>93.535883970992757</v>
      </c>
      <c r="I282" s="108">
        <v>0</v>
      </c>
      <c r="J282" s="108">
        <v>0</v>
      </c>
      <c r="K282" s="108">
        <v>0</v>
      </c>
      <c r="L282" s="108">
        <v>1</v>
      </c>
      <c r="M282" s="134">
        <v>1</v>
      </c>
      <c r="N282" s="134">
        <v>19</v>
      </c>
      <c r="O282" s="134">
        <v>-99</v>
      </c>
      <c r="P282" s="133">
        <v>0</v>
      </c>
      <c r="Q282" s="133">
        <v>0</v>
      </c>
      <c r="R282" s="133">
        <v>0</v>
      </c>
      <c r="S282" s="133">
        <v>0</v>
      </c>
    </row>
    <row r="283" spans="1:19">
      <c r="A283" s="88" t="s">
        <v>143</v>
      </c>
      <c r="B283" s="108">
        <v>6</v>
      </c>
      <c r="C283" s="108">
        <v>1</v>
      </c>
      <c r="D283" s="108">
        <v>27.969492373093271</v>
      </c>
      <c r="E283" s="108">
        <v>9.8024506126531623</v>
      </c>
      <c r="F283" s="108">
        <v>1.462865716429107</v>
      </c>
      <c r="G283" s="108">
        <v>93.123280820205039</v>
      </c>
      <c r="H283" s="108">
        <v>97.299324831207798</v>
      </c>
      <c r="I283" s="108">
        <v>0</v>
      </c>
      <c r="J283" s="108">
        <v>0</v>
      </c>
      <c r="K283" s="108">
        <v>0</v>
      </c>
      <c r="L283" s="108">
        <v>1</v>
      </c>
      <c r="M283" s="134">
        <v>1</v>
      </c>
      <c r="N283" s="134">
        <v>19</v>
      </c>
      <c r="O283" s="134">
        <v>-99</v>
      </c>
      <c r="P283" s="133">
        <v>0</v>
      </c>
      <c r="Q283" s="133">
        <v>0</v>
      </c>
      <c r="R283" s="133">
        <v>0</v>
      </c>
      <c r="S283" s="133">
        <v>0</v>
      </c>
    </row>
    <row r="284" spans="1:19">
      <c r="A284" s="88" t="s">
        <v>143</v>
      </c>
      <c r="B284" s="108">
        <v>7</v>
      </c>
      <c r="C284" s="108">
        <v>1</v>
      </c>
      <c r="D284" s="108">
        <v>6.0515128782195564</v>
      </c>
      <c r="E284" s="108">
        <v>7.9269817454363567</v>
      </c>
      <c r="F284" s="108">
        <v>6.8892223055763928</v>
      </c>
      <c r="G284" s="108">
        <v>92.285571392848212</v>
      </c>
      <c r="H284" s="108">
        <v>98.324581145286331</v>
      </c>
      <c r="I284" s="108">
        <v>0</v>
      </c>
      <c r="J284" s="108">
        <v>1</v>
      </c>
      <c r="K284" s="108">
        <v>0</v>
      </c>
      <c r="L284" s="108">
        <v>1</v>
      </c>
      <c r="M284" s="134">
        <v>1</v>
      </c>
      <c r="N284" s="134">
        <v>19</v>
      </c>
      <c r="O284" s="134">
        <v>-99</v>
      </c>
      <c r="P284" s="133">
        <v>0</v>
      </c>
      <c r="Q284" s="133">
        <v>0</v>
      </c>
      <c r="R284" s="133">
        <v>0</v>
      </c>
      <c r="S284" s="133">
        <v>0</v>
      </c>
    </row>
    <row r="285" spans="1:19">
      <c r="A285" s="88" t="s">
        <v>144</v>
      </c>
      <c r="B285" s="108">
        <v>1</v>
      </c>
      <c r="C285" s="108">
        <v>1</v>
      </c>
      <c r="D285" s="108">
        <v>99.933142311365813</v>
      </c>
      <c r="E285" s="108">
        <v>86.609360076408777</v>
      </c>
      <c r="F285" s="108">
        <v>98.57688634192931</v>
      </c>
      <c r="G285" s="108">
        <v>12.20630372492837</v>
      </c>
      <c r="H285" s="108">
        <v>12.74116523400191</v>
      </c>
      <c r="I285" s="108">
        <v>1</v>
      </c>
      <c r="J285" s="108">
        <v>0</v>
      </c>
      <c r="K285" s="108">
        <v>1</v>
      </c>
      <c r="L285" s="108">
        <v>1</v>
      </c>
      <c r="M285" s="134">
        <v>1</v>
      </c>
      <c r="N285" s="134">
        <v>35</v>
      </c>
      <c r="O285" s="134">
        <v>95000</v>
      </c>
      <c r="P285" s="133">
        <v>1</v>
      </c>
      <c r="Q285" s="133">
        <v>1</v>
      </c>
      <c r="R285" s="133">
        <v>1</v>
      </c>
      <c r="S285" s="133">
        <v>1</v>
      </c>
    </row>
    <row r="286" spans="1:19">
      <c r="A286" s="88" t="s">
        <v>144</v>
      </c>
      <c r="B286" s="108">
        <v>2</v>
      </c>
      <c r="C286" s="108">
        <v>1</v>
      </c>
      <c r="D286" s="108">
        <v>4.0496657115568269</v>
      </c>
      <c r="E286" s="108">
        <v>5.5873925501432664</v>
      </c>
      <c r="F286" s="108">
        <v>18.338108882521489</v>
      </c>
      <c r="G286" s="108">
        <v>0.49665711556828862</v>
      </c>
      <c r="H286" s="108">
        <v>0</v>
      </c>
      <c r="I286" s="108">
        <v>0</v>
      </c>
      <c r="J286" s="108">
        <v>0</v>
      </c>
      <c r="K286" s="108">
        <v>0</v>
      </c>
      <c r="L286" s="108">
        <v>1</v>
      </c>
      <c r="M286" s="134">
        <v>1</v>
      </c>
      <c r="N286" s="134">
        <v>35</v>
      </c>
      <c r="O286" s="134">
        <v>95000</v>
      </c>
      <c r="P286" s="133">
        <v>1</v>
      </c>
      <c r="Q286" s="133">
        <v>1</v>
      </c>
      <c r="R286" s="133">
        <v>1</v>
      </c>
      <c r="S286" s="133">
        <v>1</v>
      </c>
    </row>
    <row r="287" spans="1:19">
      <c r="A287" s="88" t="s">
        <v>144</v>
      </c>
      <c r="B287" s="108">
        <v>4</v>
      </c>
      <c r="C287" s="108">
        <v>1</v>
      </c>
      <c r="D287" s="108">
        <v>4.1451766953199627</v>
      </c>
      <c r="E287" s="108">
        <v>97.077363896848141</v>
      </c>
      <c r="F287" s="108">
        <v>4.6131805157593133</v>
      </c>
      <c r="G287" s="108">
        <v>1.7860553963705841</v>
      </c>
      <c r="H287" s="108">
        <v>82.626552053486151</v>
      </c>
      <c r="I287" s="108">
        <v>0</v>
      </c>
      <c r="J287" s="108">
        <v>0</v>
      </c>
      <c r="K287" s="108">
        <v>0</v>
      </c>
      <c r="L287" s="108">
        <v>1</v>
      </c>
      <c r="M287" s="134">
        <v>1</v>
      </c>
      <c r="N287" s="134">
        <v>35</v>
      </c>
      <c r="O287" s="134">
        <v>95000</v>
      </c>
      <c r="P287" s="133">
        <v>1</v>
      </c>
      <c r="Q287" s="133">
        <v>1</v>
      </c>
      <c r="R287" s="133">
        <v>1</v>
      </c>
      <c r="S287" s="133">
        <v>1</v>
      </c>
    </row>
    <row r="288" spans="1:19">
      <c r="A288" s="88" t="s">
        <v>144</v>
      </c>
      <c r="B288" s="108">
        <v>6</v>
      </c>
      <c r="C288" s="108">
        <v>1</v>
      </c>
      <c r="D288" s="108">
        <v>98.185291308500481</v>
      </c>
      <c r="E288" s="108">
        <v>82.760267430754524</v>
      </c>
      <c r="F288" s="108">
        <v>93.782234957020052</v>
      </c>
      <c r="G288" s="108">
        <v>8.8634192932187226</v>
      </c>
      <c r="H288" s="108">
        <v>84.756446991404005</v>
      </c>
      <c r="I288" s="108">
        <v>0</v>
      </c>
      <c r="J288" s="108">
        <v>0</v>
      </c>
      <c r="K288" s="108">
        <v>1</v>
      </c>
      <c r="L288" s="108">
        <v>1</v>
      </c>
      <c r="M288" s="134">
        <v>1</v>
      </c>
      <c r="N288" s="134">
        <v>35</v>
      </c>
      <c r="O288" s="134">
        <v>95000</v>
      </c>
      <c r="P288" s="133">
        <v>1</v>
      </c>
      <c r="Q288" s="133">
        <v>1</v>
      </c>
      <c r="R288" s="133">
        <v>1</v>
      </c>
      <c r="S288" s="133">
        <v>1</v>
      </c>
    </row>
    <row r="289" spans="1:19">
      <c r="A289" s="88" t="s">
        <v>144</v>
      </c>
      <c r="B289" s="108">
        <v>7</v>
      </c>
      <c r="C289" s="108">
        <v>1</v>
      </c>
      <c r="D289" s="108">
        <v>87.678258694020514</v>
      </c>
      <c r="E289" s="108">
        <v>50</v>
      </c>
      <c r="F289" s="108">
        <v>92.857142857142861</v>
      </c>
      <c r="G289" s="108">
        <v>12.872154115586691</v>
      </c>
      <c r="H289" s="108">
        <v>9.8073555166374788</v>
      </c>
      <c r="I289" s="108">
        <v>0</v>
      </c>
      <c r="J289" s="108">
        <v>1</v>
      </c>
      <c r="K289" s="108">
        <v>1</v>
      </c>
      <c r="L289" s="108">
        <v>1</v>
      </c>
      <c r="M289" s="134">
        <v>1</v>
      </c>
      <c r="N289" s="134">
        <v>35</v>
      </c>
      <c r="O289" s="134">
        <v>95000</v>
      </c>
      <c r="P289" s="133">
        <v>1</v>
      </c>
      <c r="Q289" s="133">
        <v>1</v>
      </c>
      <c r="R289" s="133">
        <v>1</v>
      </c>
      <c r="S289" s="133">
        <v>1</v>
      </c>
    </row>
    <row r="290" spans="1:19">
      <c r="A290" s="88" t="s">
        <v>145</v>
      </c>
      <c r="B290" s="108">
        <v>1</v>
      </c>
      <c r="C290" s="108">
        <v>1</v>
      </c>
      <c r="D290" s="108">
        <v>8.5851003940701833</v>
      </c>
      <c r="E290" s="108">
        <v>0.31900919497091512</v>
      </c>
      <c r="F290" s="108">
        <v>4.0532933008069039</v>
      </c>
      <c r="G290" s="108">
        <v>89.810471007693749</v>
      </c>
      <c r="H290" s="108">
        <v>0.14073935072246299</v>
      </c>
      <c r="I290" s="108">
        <v>1</v>
      </c>
      <c r="J290" s="108">
        <v>0</v>
      </c>
      <c r="K290" s="108">
        <v>0</v>
      </c>
      <c r="L290" s="108">
        <v>1</v>
      </c>
      <c r="M290" s="134">
        <v>1</v>
      </c>
      <c r="N290" s="134">
        <v>40</v>
      </c>
      <c r="O290" s="134">
        <v>22000</v>
      </c>
      <c r="P290" s="133">
        <v>0</v>
      </c>
      <c r="Q290" s="133">
        <v>0</v>
      </c>
      <c r="R290" s="133">
        <v>0</v>
      </c>
      <c r="S290" s="133">
        <v>0</v>
      </c>
    </row>
    <row r="291" spans="1:19">
      <c r="A291" s="88" t="s">
        <v>145</v>
      </c>
      <c r="B291" s="108">
        <v>3</v>
      </c>
      <c r="C291" s="108">
        <v>1</v>
      </c>
      <c r="D291" s="108">
        <v>7.3559767310940156</v>
      </c>
      <c r="E291" s="108">
        <v>4.6725464439857367</v>
      </c>
      <c r="F291" s="108">
        <v>11.74704447363483</v>
      </c>
      <c r="G291" s="108">
        <v>94.529930568586991</v>
      </c>
      <c r="H291" s="108">
        <v>94.848939763557894</v>
      </c>
      <c r="I291" s="108">
        <v>0</v>
      </c>
      <c r="J291" s="108">
        <v>0</v>
      </c>
      <c r="K291" s="108">
        <v>0</v>
      </c>
      <c r="L291" s="108">
        <v>1</v>
      </c>
      <c r="M291" s="134">
        <v>1</v>
      </c>
      <c r="N291" s="134">
        <v>40</v>
      </c>
      <c r="O291" s="134">
        <v>22000</v>
      </c>
      <c r="P291" s="133">
        <v>0</v>
      </c>
      <c r="Q291" s="133">
        <v>0</v>
      </c>
      <c r="R291" s="133">
        <v>0</v>
      </c>
      <c r="S291" s="133">
        <v>0</v>
      </c>
    </row>
    <row r="292" spans="1:19">
      <c r="A292" s="88" t="s">
        <v>145</v>
      </c>
      <c r="B292" s="108">
        <v>4</v>
      </c>
      <c r="C292" s="108">
        <v>1</v>
      </c>
      <c r="D292" s="108">
        <v>8.4443610433477208</v>
      </c>
      <c r="E292" s="108">
        <v>3.7530493525989859</v>
      </c>
      <c r="F292" s="108">
        <v>12.19741039594671</v>
      </c>
      <c r="G292" s="108">
        <v>94.529930568586991</v>
      </c>
      <c r="H292" s="108">
        <v>91.246012385062869</v>
      </c>
      <c r="I292" s="108">
        <v>0</v>
      </c>
      <c r="J292" s="108">
        <v>0</v>
      </c>
      <c r="K292" s="108">
        <v>0</v>
      </c>
      <c r="L292" s="108">
        <v>1</v>
      </c>
      <c r="M292" s="134">
        <v>1</v>
      </c>
      <c r="N292" s="134">
        <v>40</v>
      </c>
      <c r="O292" s="134">
        <v>22000</v>
      </c>
      <c r="P292" s="133">
        <v>0</v>
      </c>
      <c r="Q292" s="133">
        <v>0</v>
      </c>
      <c r="R292" s="133">
        <v>0</v>
      </c>
      <c r="S292" s="133">
        <v>0</v>
      </c>
    </row>
    <row r="293" spans="1:19">
      <c r="A293" s="88" t="s">
        <v>145</v>
      </c>
      <c r="B293" s="108">
        <v>6</v>
      </c>
      <c r="C293" s="108">
        <v>1</v>
      </c>
      <c r="D293" s="108">
        <v>12.023460410557179</v>
      </c>
      <c r="E293" s="108">
        <v>15.41845251522671</v>
      </c>
      <c r="F293" s="108">
        <v>6.1921949018723224</v>
      </c>
      <c r="G293" s="108">
        <v>93.988269794721418</v>
      </c>
      <c r="H293" s="108">
        <v>94.743965711707645</v>
      </c>
      <c r="I293" s="108">
        <v>0</v>
      </c>
      <c r="J293" s="108">
        <v>0</v>
      </c>
      <c r="K293" s="108">
        <v>0</v>
      </c>
      <c r="L293" s="108">
        <v>1</v>
      </c>
      <c r="M293" s="134">
        <v>1</v>
      </c>
      <c r="N293" s="134">
        <v>40</v>
      </c>
      <c r="O293" s="134">
        <v>22000</v>
      </c>
      <c r="P293" s="133">
        <v>0</v>
      </c>
      <c r="Q293" s="133">
        <v>0</v>
      </c>
      <c r="R293" s="133">
        <v>0</v>
      </c>
      <c r="S293" s="133">
        <v>0</v>
      </c>
    </row>
    <row r="294" spans="1:19">
      <c r="A294" s="88" t="s">
        <v>145</v>
      </c>
      <c r="B294" s="108">
        <v>7</v>
      </c>
      <c r="C294" s="108">
        <v>1</v>
      </c>
      <c r="D294" s="108">
        <v>8.2562598691630953</v>
      </c>
      <c r="E294" s="108">
        <v>23.990525603428829</v>
      </c>
      <c r="F294" s="108">
        <v>8.2562598691630953</v>
      </c>
      <c r="G294" s="108">
        <v>5.143243852921275</v>
      </c>
      <c r="H294" s="108">
        <v>93.43559666140311</v>
      </c>
      <c r="I294" s="108">
        <v>0</v>
      </c>
      <c r="J294" s="108">
        <v>1</v>
      </c>
      <c r="K294" s="108">
        <v>0</v>
      </c>
      <c r="L294" s="108">
        <v>1</v>
      </c>
      <c r="M294" s="134">
        <v>1</v>
      </c>
      <c r="N294" s="134">
        <v>40</v>
      </c>
      <c r="O294" s="134">
        <v>22000</v>
      </c>
      <c r="P294" s="133">
        <v>0</v>
      </c>
      <c r="Q294" s="133">
        <v>0</v>
      </c>
      <c r="R294" s="133">
        <v>0</v>
      </c>
      <c r="S294" s="133">
        <v>0</v>
      </c>
    </row>
    <row r="295" spans="1:19">
      <c r="A295" s="88" t="s">
        <v>146</v>
      </c>
      <c r="B295" s="108">
        <v>1</v>
      </c>
      <c r="C295" s="108">
        <v>1</v>
      </c>
      <c r="D295" s="108">
        <v>2.9039812646370011</v>
      </c>
      <c r="E295" s="108">
        <v>6.3856362217017963</v>
      </c>
      <c r="F295" s="108">
        <v>11.6783762685402</v>
      </c>
      <c r="G295" s="108">
        <v>80.195160031225598</v>
      </c>
      <c r="H295" s="108">
        <v>98.469945355191257</v>
      </c>
      <c r="I295" s="108">
        <v>1</v>
      </c>
      <c r="J295" s="108">
        <v>0</v>
      </c>
      <c r="K295" s="108">
        <v>0</v>
      </c>
      <c r="L295" s="108">
        <v>1</v>
      </c>
      <c r="M295" s="134">
        <v>1</v>
      </c>
      <c r="N295" s="134">
        <v>39</v>
      </c>
      <c r="O295" s="134">
        <v>35000</v>
      </c>
      <c r="P295" s="133">
        <v>1</v>
      </c>
      <c r="Q295" s="133">
        <v>1</v>
      </c>
      <c r="R295" s="133">
        <v>1</v>
      </c>
      <c r="S295" s="133">
        <v>1</v>
      </c>
    </row>
    <row r="296" spans="1:19">
      <c r="A296" s="88" t="s">
        <v>146</v>
      </c>
      <c r="B296" s="108">
        <v>2</v>
      </c>
      <c r="C296" s="108">
        <v>1</v>
      </c>
      <c r="D296" s="108">
        <v>2.3932253313696639</v>
      </c>
      <c r="E296" s="108">
        <v>50</v>
      </c>
      <c r="F296" s="108">
        <v>14.23662248404516</v>
      </c>
      <c r="G296" s="108">
        <v>50</v>
      </c>
      <c r="H296" s="108">
        <v>50</v>
      </c>
      <c r="I296" s="108">
        <v>0</v>
      </c>
      <c r="J296" s="108">
        <v>0</v>
      </c>
      <c r="K296" s="108">
        <v>0</v>
      </c>
      <c r="L296" s="108">
        <v>1</v>
      </c>
      <c r="M296" s="134">
        <v>1</v>
      </c>
      <c r="N296" s="134">
        <v>39</v>
      </c>
      <c r="O296" s="134">
        <v>35000</v>
      </c>
      <c r="P296" s="133">
        <v>1</v>
      </c>
      <c r="Q296" s="133">
        <v>1</v>
      </c>
      <c r="R296" s="133">
        <v>1</v>
      </c>
      <c r="S296" s="133">
        <v>1</v>
      </c>
    </row>
    <row r="297" spans="1:19">
      <c r="A297" s="88" t="s">
        <v>146</v>
      </c>
      <c r="B297" s="108">
        <v>3</v>
      </c>
      <c r="C297" s="108">
        <v>1</v>
      </c>
      <c r="D297" s="108">
        <v>1.9636720667648491</v>
      </c>
      <c r="E297" s="108">
        <v>45.287187039764362</v>
      </c>
      <c r="F297" s="108">
        <v>5.4614629356897426</v>
      </c>
      <c r="G297" s="108">
        <v>89.077074128620509</v>
      </c>
      <c r="H297" s="108">
        <v>86.929307805596466</v>
      </c>
      <c r="I297" s="108">
        <v>0</v>
      </c>
      <c r="J297" s="108">
        <v>0</v>
      </c>
      <c r="K297" s="108">
        <v>0</v>
      </c>
      <c r="L297" s="108">
        <v>1</v>
      </c>
      <c r="M297" s="134">
        <v>1</v>
      </c>
      <c r="N297" s="134">
        <v>39</v>
      </c>
      <c r="O297" s="134">
        <v>35000</v>
      </c>
      <c r="P297" s="133">
        <v>1</v>
      </c>
      <c r="Q297" s="133">
        <v>1</v>
      </c>
      <c r="R297" s="133">
        <v>1</v>
      </c>
      <c r="S297" s="133">
        <v>1</v>
      </c>
    </row>
    <row r="298" spans="1:19">
      <c r="A298" s="88" t="s">
        <v>146</v>
      </c>
      <c r="B298" s="108">
        <v>4</v>
      </c>
      <c r="C298" s="108">
        <v>1</v>
      </c>
      <c r="D298" s="108">
        <v>50</v>
      </c>
      <c r="E298" s="108">
        <v>19.280805105547369</v>
      </c>
      <c r="F298" s="108">
        <v>7.020127638684337</v>
      </c>
      <c r="G298" s="108">
        <v>88.905252822778593</v>
      </c>
      <c r="H298" s="108">
        <v>10.77565046637212</v>
      </c>
      <c r="I298" s="108">
        <v>0</v>
      </c>
      <c r="J298" s="108">
        <v>0</v>
      </c>
      <c r="K298" s="108">
        <v>0</v>
      </c>
      <c r="L298" s="108">
        <v>1</v>
      </c>
      <c r="M298" s="134">
        <v>1</v>
      </c>
      <c r="N298" s="134">
        <v>39</v>
      </c>
      <c r="O298" s="134">
        <v>35000</v>
      </c>
      <c r="P298" s="133">
        <v>1</v>
      </c>
      <c r="Q298" s="133">
        <v>1</v>
      </c>
      <c r="R298" s="133">
        <v>1</v>
      </c>
      <c r="S298" s="133">
        <v>1</v>
      </c>
    </row>
    <row r="299" spans="1:19">
      <c r="A299" s="88" t="s">
        <v>146</v>
      </c>
      <c r="B299" s="108">
        <v>5</v>
      </c>
      <c r="C299" s="108">
        <v>1</v>
      </c>
      <c r="D299" s="108">
        <v>3.0682376043200792</v>
      </c>
      <c r="E299" s="108">
        <v>12.87432498772705</v>
      </c>
      <c r="F299" s="108">
        <v>4.1973490427098694</v>
      </c>
      <c r="G299" s="108">
        <v>84.572901325478639</v>
      </c>
      <c r="H299" s="108">
        <v>3.4364261168384869</v>
      </c>
      <c r="I299" s="108">
        <v>0</v>
      </c>
      <c r="J299" s="108">
        <v>0</v>
      </c>
      <c r="K299" s="108">
        <v>0</v>
      </c>
      <c r="L299" s="108">
        <v>1</v>
      </c>
      <c r="M299" s="134">
        <v>1</v>
      </c>
      <c r="N299" s="134">
        <v>39</v>
      </c>
      <c r="O299" s="134">
        <v>35000</v>
      </c>
      <c r="P299" s="133">
        <v>1</v>
      </c>
      <c r="Q299" s="133">
        <v>1</v>
      </c>
      <c r="R299" s="133">
        <v>1</v>
      </c>
      <c r="S299" s="133">
        <v>1</v>
      </c>
    </row>
    <row r="300" spans="1:19">
      <c r="A300" s="88" t="s">
        <v>146</v>
      </c>
      <c r="B300" s="108">
        <v>6</v>
      </c>
      <c r="C300" s="108">
        <v>1</v>
      </c>
      <c r="D300" s="108">
        <v>5.5351006381934242</v>
      </c>
      <c r="E300" s="108">
        <v>2.896416298478155</v>
      </c>
      <c r="F300" s="108">
        <v>2.896416298478155</v>
      </c>
      <c r="G300" s="108">
        <v>18.667157584683359</v>
      </c>
      <c r="H300" s="108">
        <v>50</v>
      </c>
      <c r="I300" s="108">
        <v>0</v>
      </c>
      <c r="J300" s="108">
        <v>0</v>
      </c>
      <c r="K300" s="108">
        <v>0</v>
      </c>
      <c r="L300" s="108">
        <v>1</v>
      </c>
      <c r="M300" s="134">
        <v>1</v>
      </c>
      <c r="N300" s="134">
        <v>39</v>
      </c>
      <c r="O300" s="134">
        <v>35000</v>
      </c>
      <c r="P300" s="133">
        <v>1</v>
      </c>
      <c r="Q300" s="133">
        <v>1</v>
      </c>
      <c r="R300" s="133">
        <v>1</v>
      </c>
      <c r="S300" s="133">
        <v>1</v>
      </c>
    </row>
    <row r="301" spans="1:19">
      <c r="A301" s="88" t="s">
        <v>147</v>
      </c>
      <c r="B301" s="108">
        <v>7</v>
      </c>
      <c r="C301" s="108">
        <v>1</v>
      </c>
      <c r="D301" s="108">
        <v>7.8730231492092573</v>
      </c>
      <c r="E301" s="108">
        <v>50</v>
      </c>
      <c r="F301" s="108">
        <v>7.9647031858812722</v>
      </c>
      <c r="G301" s="108">
        <v>88.574375429750177</v>
      </c>
      <c r="H301" s="108">
        <v>10.142104056841619</v>
      </c>
      <c r="I301" s="108">
        <v>0</v>
      </c>
      <c r="J301" s="108">
        <v>1</v>
      </c>
      <c r="K301" s="108">
        <v>0</v>
      </c>
      <c r="L301" s="108">
        <v>1</v>
      </c>
      <c r="M301" s="134">
        <v>0</v>
      </c>
      <c r="N301" s="134">
        <v>56</v>
      </c>
      <c r="O301" s="134">
        <v>20000</v>
      </c>
      <c r="P301" s="133">
        <v>0</v>
      </c>
      <c r="Q301" s="133">
        <v>0</v>
      </c>
      <c r="R301" s="133">
        <v>0</v>
      </c>
      <c r="S301" s="133">
        <v>0</v>
      </c>
    </row>
    <row r="302" spans="1:19">
      <c r="A302" s="88" t="s">
        <v>148</v>
      </c>
      <c r="B302" s="108">
        <v>1</v>
      </c>
      <c r="C302" s="108">
        <v>1</v>
      </c>
      <c r="D302" s="108">
        <v>93.940081706763507</v>
      </c>
      <c r="E302" s="108">
        <v>95.392646391284615</v>
      </c>
      <c r="F302" s="108">
        <v>95.835224693599642</v>
      </c>
      <c r="G302" s="108">
        <v>19.291874716295961</v>
      </c>
      <c r="H302" s="108">
        <v>6.0599182932364926</v>
      </c>
      <c r="I302" s="108">
        <v>1</v>
      </c>
      <c r="J302" s="108">
        <v>0</v>
      </c>
      <c r="K302" s="108">
        <v>1</v>
      </c>
      <c r="L302" s="108">
        <v>1</v>
      </c>
      <c r="M302" s="134">
        <v>0</v>
      </c>
      <c r="N302" s="134">
        <v>37</v>
      </c>
      <c r="O302" s="134">
        <v>90000</v>
      </c>
      <c r="P302" s="133">
        <v>0</v>
      </c>
      <c r="Q302" s="133">
        <v>1</v>
      </c>
      <c r="R302" s="133">
        <v>1</v>
      </c>
      <c r="S302" s="133">
        <v>1</v>
      </c>
    </row>
    <row r="303" spans="1:19">
      <c r="A303" s="88" t="s">
        <v>148</v>
      </c>
      <c r="B303" s="108">
        <v>2</v>
      </c>
      <c r="C303" s="108">
        <v>1</v>
      </c>
      <c r="D303" s="108">
        <v>1.747616886064457</v>
      </c>
      <c r="E303" s="108">
        <v>32.03586019064911</v>
      </c>
      <c r="F303" s="108">
        <v>3.8583749432591912</v>
      </c>
      <c r="G303" s="108">
        <v>74.761688606445759</v>
      </c>
      <c r="H303" s="108">
        <v>92.30594643667726</v>
      </c>
      <c r="I303" s="108">
        <v>0</v>
      </c>
      <c r="J303" s="108">
        <v>0</v>
      </c>
      <c r="K303" s="108">
        <v>0</v>
      </c>
      <c r="L303" s="108">
        <v>1</v>
      </c>
      <c r="M303" s="134">
        <v>0</v>
      </c>
      <c r="N303" s="134">
        <v>37</v>
      </c>
      <c r="O303" s="134">
        <v>90000</v>
      </c>
      <c r="P303" s="133">
        <v>0</v>
      </c>
      <c r="Q303" s="133">
        <v>1</v>
      </c>
      <c r="R303" s="133">
        <v>1</v>
      </c>
      <c r="S303" s="133">
        <v>1</v>
      </c>
    </row>
    <row r="304" spans="1:19">
      <c r="A304" s="88" t="s">
        <v>148</v>
      </c>
      <c r="B304" s="108">
        <v>3</v>
      </c>
      <c r="C304" s="108">
        <v>1</v>
      </c>
      <c r="D304" s="108">
        <v>8.9310031774852465</v>
      </c>
      <c r="E304" s="108">
        <v>0.69223785746709288</v>
      </c>
      <c r="F304" s="108">
        <v>13.24330458465729</v>
      </c>
      <c r="G304" s="108">
        <v>90.671811166591013</v>
      </c>
      <c r="H304" s="108">
        <v>93.349977303676795</v>
      </c>
      <c r="I304" s="108">
        <v>0</v>
      </c>
      <c r="J304" s="108">
        <v>0</v>
      </c>
      <c r="K304" s="108">
        <v>0</v>
      </c>
      <c r="L304" s="108">
        <v>1</v>
      </c>
      <c r="M304" s="134">
        <v>0</v>
      </c>
      <c r="N304" s="134">
        <v>37</v>
      </c>
      <c r="O304" s="134">
        <v>90000</v>
      </c>
      <c r="P304" s="133">
        <v>0</v>
      </c>
      <c r="Q304" s="133">
        <v>1</v>
      </c>
      <c r="R304" s="133">
        <v>1</v>
      </c>
      <c r="S304" s="133">
        <v>1</v>
      </c>
    </row>
    <row r="305" spans="1:19">
      <c r="A305" s="88" t="s">
        <v>148</v>
      </c>
      <c r="B305" s="108">
        <v>4</v>
      </c>
      <c r="C305" s="108">
        <v>1</v>
      </c>
      <c r="D305" s="108">
        <v>9.4076259645937359</v>
      </c>
      <c r="E305" s="108">
        <v>6.4344076259645941</v>
      </c>
      <c r="F305" s="108">
        <v>4.0626418520199712</v>
      </c>
      <c r="G305" s="108">
        <v>96.345891965501579</v>
      </c>
      <c r="H305" s="108">
        <v>97.571493418066282</v>
      </c>
      <c r="I305" s="108">
        <v>0</v>
      </c>
      <c r="J305" s="108">
        <v>0</v>
      </c>
      <c r="K305" s="108">
        <v>0</v>
      </c>
      <c r="L305" s="108">
        <v>1</v>
      </c>
      <c r="M305" s="134">
        <v>0</v>
      </c>
      <c r="N305" s="134">
        <v>37</v>
      </c>
      <c r="O305" s="134">
        <v>90000</v>
      </c>
      <c r="P305" s="133">
        <v>0</v>
      </c>
      <c r="Q305" s="133">
        <v>1</v>
      </c>
      <c r="R305" s="133">
        <v>1</v>
      </c>
      <c r="S305" s="133">
        <v>1</v>
      </c>
    </row>
    <row r="306" spans="1:19">
      <c r="A306" s="88" t="s">
        <v>148</v>
      </c>
      <c r="B306" s="108">
        <v>5</v>
      </c>
      <c r="C306" s="108">
        <v>1</v>
      </c>
      <c r="D306" s="108">
        <v>4.8854961832061061</v>
      </c>
      <c r="E306" s="108">
        <v>3.244274809160308</v>
      </c>
      <c r="F306" s="108">
        <v>19.580152671755719</v>
      </c>
      <c r="G306" s="108">
        <v>90.521628498727736</v>
      </c>
      <c r="H306" s="108">
        <v>50</v>
      </c>
      <c r="I306" s="108">
        <v>0</v>
      </c>
      <c r="J306" s="108">
        <v>0</v>
      </c>
      <c r="K306" s="108">
        <v>0</v>
      </c>
      <c r="L306" s="108">
        <v>1</v>
      </c>
      <c r="M306" s="134">
        <v>0</v>
      </c>
      <c r="N306" s="134">
        <v>37</v>
      </c>
      <c r="O306" s="134">
        <v>90000</v>
      </c>
      <c r="P306" s="133">
        <v>0</v>
      </c>
      <c r="Q306" s="133">
        <v>1</v>
      </c>
      <c r="R306" s="133">
        <v>1</v>
      </c>
      <c r="S306" s="133">
        <v>1</v>
      </c>
    </row>
    <row r="307" spans="1:19">
      <c r="A307" s="88" t="s">
        <v>148</v>
      </c>
      <c r="B307" s="108">
        <v>6</v>
      </c>
      <c r="C307" s="108">
        <v>1</v>
      </c>
      <c r="D307" s="108">
        <v>8.1552162849872758</v>
      </c>
      <c r="E307" s="108">
        <v>0</v>
      </c>
      <c r="F307" s="108">
        <v>4.7837150127226451</v>
      </c>
      <c r="G307" s="108">
        <v>97.608142493638667</v>
      </c>
      <c r="H307" s="108">
        <v>95.572519083969468</v>
      </c>
      <c r="I307" s="108">
        <v>0</v>
      </c>
      <c r="J307" s="108">
        <v>0</v>
      </c>
      <c r="K307" s="108">
        <v>0</v>
      </c>
      <c r="L307" s="108">
        <v>1</v>
      </c>
      <c r="M307" s="134">
        <v>0</v>
      </c>
      <c r="N307" s="134">
        <v>37</v>
      </c>
      <c r="O307" s="134">
        <v>90000</v>
      </c>
      <c r="P307" s="133">
        <v>0</v>
      </c>
      <c r="Q307" s="133">
        <v>1</v>
      </c>
      <c r="R307" s="133">
        <v>1</v>
      </c>
      <c r="S307" s="133">
        <v>1</v>
      </c>
    </row>
    <row r="308" spans="1:19">
      <c r="A308" s="88" t="s">
        <v>148</v>
      </c>
      <c r="B308" s="108">
        <v>7</v>
      </c>
      <c r="C308" s="108">
        <v>1</v>
      </c>
      <c r="D308" s="108">
        <v>11.69211195928753</v>
      </c>
      <c r="E308" s="108">
        <v>0.2417302798982168</v>
      </c>
      <c r="F308" s="108">
        <v>1.3104325699745569</v>
      </c>
      <c r="G308" s="108">
        <v>94.465648854961827</v>
      </c>
      <c r="H308" s="108">
        <v>97.21374045801528</v>
      </c>
      <c r="I308" s="108">
        <v>0</v>
      </c>
      <c r="J308" s="108">
        <v>1</v>
      </c>
      <c r="K308" s="108">
        <v>0</v>
      </c>
      <c r="L308" s="108">
        <v>1</v>
      </c>
      <c r="M308" s="134">
        <v>0</v>
      </c>
      <c r="N308" s="134">
        <v>37</v>
      </c>
      <c r="O308" s="134">
        <v>90000</v>
      </c>
      <c r="P308" s="133">
        <v>0</v>
      </c>
      <c r="Q308" s="133">
        <v>1</v>
      </c>
      <c r="R308" s="133">
        <v>1</v>
      </c>
      <c r="S308" s="133">
        <v>1</v>
      </c>
    </row>
    <row r="309" spans="1:19">
      <c r="A309" s="88" t="s">
        <v>149</v>
      </c>
      <c r="B309" s="108">
        <v>2</v>
      </c>
      <c r="C309" s="108">
        <v>1</v>
      </c>
      <c r="D309" s="108">
        <v>16.713954088212539</v>
      </c>
      <c r="E309" s="108">
        <v>2.785659014702091</v>
      </c>
      <c r="F309" s="108">
        <v>23.53623936033015</v>
      </c>
      <c r="G309" s="108">
        <v>76.760381738457568</v>
      </c>
      <c r="H309" s="108">
        <v>95.911787464534441</v>
      </c>
      <c r="I309" s="108">
        <v>0</v>
      </c>
      <c r="J309" s="108">
        <v>0</v>
      </c>
      <c r="K309" s="108">
        <v>0</v>
      </c>
      <c r="L309" s="108">
        <v>1</v>
      </c>
      <c r="M309" s="134">
        <v>0</v>
      </c>
      <c r="N309" s="134">
        <v>67</v>
      </c>
      <c r="O309" s="134">
        <v>55000</v>
      </c>
      <c r="P309" s="133">
        <v>0</v>
      </c>
      <c r="Q309" s="133">
        <v>0</v>
      </c>
      <c r="R309" s="133">
        <v>0</v>
      </c>
      <c r="S309" s="133">
        <v>0</v>
      </c>
    </row>
    <row r="310" spans="1:19">
      <c r="A310" s="88" t="s">
        <v>149</v>
      </c>
      <c r="B310" s="108">
        <v>3</v>
      </c>
      <c r="C310" s="108">
        <v>1</v>
      </c>
      <c r="D310" s="108">
        <v>2.0505545524890372</v>
      </c>
      <c r="E310" s="108">
        <v>2.9791075573897321</v>
      </c>
      <c r="F310" s="108">
        <v>3.4820737683776142</v>
      </c>
      <c r="G310" s="108">
        <v>95.434614392571575</v>
      </c>
      <c r="H310" s="108">
        <v>72.543203507866906</v>
      </c>
      <c r="I310" s="108">
        <v>0</v>
      </c>
      <c r="J310" s="108">
        <v>0</v>
      </c>
      <c r="K310" s="108">
        <v>0</v>
      </c>
      <c r="L310" s="108">
        <v>1</v>
      </c>
      <c r="M310" s="134">
        <v>0</v>
      </c>
      <c r="N310" s="134">
        <v>67</v>
      </c>
      <c r="O310" s="134">
        <v>55000</v>
      </c>
      <c r="P310" s="133">
        <v>0</v>
      </c>
      <c r="Q310" s="133">
        <v>0</v>
      </c>
      <c r="R310" s="133">
        <v>0</v>
      </c>
      <c r="S310" s="133">
        <v>0</v>
      </c>
    </row>
    <row r="311" spans="1:19">
      <c r="A311" s="88" t="s">
        <v>149</v>
      </c>
      <c r="B311" s="108">
        <v>4</v>
      </c>
      <c r="C311" s="108">
        <v>1</v>
      </c>
      <c r="D311" s="108">
        <v>50</v>
      </c>
      <c r="E311" s="108">
        <v>36.123291204539591</v>
      </c>
      <c r="F311" s="108">
        <v>2.6824864586020118</v>
      </c>
      <c r="G311" s="108">
        <v>2.4503482073768401</v>
      </c>
      <c r="H311" s="108">
        <v>92.558679391281913</v>
      </c>
      <c r="I311" s="108">
        <v>0</v>
      </c>
      <c r="J311" s="108">
        <v>0</v>
      </c>
      <c r="K311" s="108">
        <v>0</v>
      </c>
      <c r="L311" s="108">
        <v>1</v>
      </c>
      <c r="M311" s="134">
        <v>0</v>
      </c>
      <c r="N311" s="134">
        <v>67</v>
      </c>
      <c r="O311" s="134">
        <v>55000</v>
      </c>
      <c r="P311" s="133">
        <v>0</v>
      </c>
      <c r="Q311" s="133">
        <v>0</v>
      </c>
      <c r="R311" s="133">
        <v>0</v>
      </c>
      <c r="S311" s="133">
        <v>0</v>
      </c>
    </row>
    <row r="312" spans="1:19">
      <c r="A312" s="88" t="s">
        <v>149</v>
      </c>
      <c r="B312" s="108">
        <v>5</v>
      </c>
      <c r="C312" s="108">
        <v>1</v>
      </c>
      <c r="D312" s="108">
        <v>8.0345628062935273</v>
      </c>
      <c r="E312" s="108">
        <v>1.315450090275988</v>
      </c>
      <c r="F312" s="108">
        <v>17.977817900438492</v>
      </c>
      <c r="G312" s="108">
        <v>84.12432293010059</v>
      </c>
      <c r="H312" s="108">
        <v>91.965437193706464</v>
      </c>
      <c r="I312" s="108">
        <v>0</v>
      </c>
      <c r="J312" s="108">
        <v>0</v>
      </c>
      <c r="K312" s="108">
        <v>0</v>
      </c>
      <c r="L312" s="108">
        <v>1</v>
      </c>
      <c r="M312" s="134">
        <v>0</v>
      </c>
      <c r="N312" s="134">
        <v>67</v>
      </c>
      <c r="O312" s="134">
        <v>55000</v>
      </c>
      <c r="P312" s="133">
        <v>0</v>
      </c>
      <c r="Q312" s="133">
        <v>0</v>
      </c>
      <c r="R312" s="133">
        <v>0</v>
      </c>
      <c r="S312" s="133">
        <v>0</v>
      </c>
    </row>
    <row r="313" spans="1:19">
      <c r="A313" s="88" t="s">
        <v>149</v>
      </c>
      <c r="B313" s="108">
        <v>7</v>
      </c>
      <c r="C313" s="108">
        <v>1</v>
      </c>
      <c r="D313" s="108">
        <v>2.0634511220015468</v>
      </c>
      <c r="E313" s="108">
        <v>0</v>
      </c>
      <c r="F313" s="108">
        <v>3.8818674232654118</v>
      </c>
      <c r="G313" s="108">
        <v>32.086664947124063</v>
      </c>
      <c r="H313" s="108">
        <v>94.867165334021152</v>
      </c>
      <c r="I313" s="108">
        <v>0</v>
      </c>
      <c r="J313" s="108">
        <v>1</v>
      </c>
      <c r="K313" s="108">
        <v>0</v>
      </c>
      <c r="L313" s="108">
        <v>1</v>
      </c>
      <c r="M313" s="134">
        <v>0</v>
      </c>
      <c r="N313" s="134">
        <v>67</v>
      </c>
      <c r="O313" s="134">
        <v>55000</v>
      </c>
      <c r="P313" s="133">
        <v>0</v>
      </c>
      <c r="Q313" s="133">
        <v>0</v>
      </c>
      <c r="R313" s="133">
        <v>0</v>
      </c>
      <c r="S313" s="133">
        <v>0</v>
      </c>
    </row>
    <row r="314" spans="1:19">
      <c r="A314" s="88" t="s">
        <v>150</v>
      </c>
      <c r="B314" s="108">
        <v>1</v>
      </c>
      <c r="C314" s="108">
        <v>1</v>
      </c>
      <c r="D314" s="108">
        <v>92.983852626790991</v>
      </c>
      <c r="E314" s="108">
        <v>100</v>
      </c>
      <c r="F314" s="108">
        <v>96.201955879008409</v>
      </c>
      <c r="G314" s="108">
        <v>72.185581078007729</v>
      </c>
      <c r="H314" s="108">
        <v>11.54196042756425</v>
      </c>
      <c r="I314" s="108">
        <v>1</v>
      </c>
      <c r="J314" s="108">
        <v>0</v>
      </c>
      <c r="K314" s="108">
        <v>1</v>
      </c>
      <c r="L314" s="108">
        <v>1</v>
      </c>
      <c r="M314" s="134">
        <v>1</v>
      </c>
      <c r="N314" s="134">
        <v>40</v>
      </c>
      <c r="O314" s="134">
        <v>-99</v>
      </c>
      <c r="P314" s="133">
        <v>1</v>
      </c>
      <c r="Q314" s="133">
        <v>1</v>
      </c>
      <c r="R314" s="133">
        <v>1</v>
      </c>
      <c r="S314" s="133">
        <v>1</v>
      </c>
    </row>
    <row r="315" spans="1:19">
      <c r="A315" s="88" t="s">
        <v>150</v>
      </c>
      <c r="B315" s="108">
        <v>5</v>
      </c>
      <c r="C315" s="108">
        <v>1</v>
      </c>
      <c r="D315" s="108">
        <v>2.1544209215442089</v>
      </c>
      <c r="E315" s="108">
        <v>9.8132004981320016</v>
      </c>
      <c r="F315" s="108">
        <v>1.6189290161892911</v>
      </c>
      <c r="G315" s="108">
        <v>79.041095890410958</v>
      </c>
      <c r="H315" s="108">
        <v>97.048567870485684</v>
      </c>
      <c r="I315" s="108">
        <v>0</v>
      </c>
      <c r="J315" s="108">
        <v>0</v>
      </c>
      <c r="K315" s="108">
        <v>0</v>
      </c>
      <c r="L315" s="108">
        <v>1</v>
      </c>
      <c r="M315" s="134">
        <v>1</v>
      </c>
      <c r="N315" s="134">
        <v>40</v>
      </c>
      <c r="O315" s="134">
        <v>-99</v>
      </c>
      <c r="P315" s="133">
        <v>1</v>
      </c>
      <c r="Q315" s="133">
        <v>1</v>
      </c>
      <c r="R315" s="133">
        <v>1</v>
      </c>
      <c r="S315" s="133">
        <v>1</v>
      </c>
    </row>
    <row r="316" spans="1:19">
      <c r="A316" s="88" t="s">
        <v>150</v>
      </c>
      <c r="B316" s="108">
        <v>6</v>
      </c>
      <c r="C316" s="108">
        <v>1</v>
      </c>
      <c r="D316" s="108">
        <v>19.975093399750929</v>
      </c>
      <c r="E316" s="108">
        <v>9.9999999999999982</v>
      </c>
      <c r="F316" s="108">
        <v>2.9514321295143202</v>
      </c>
      <c r="G316" s="108">
        <v>80.024906600249068</v>
      </c>
      <c r="H316" s="108">
        <v>96.699875466998748</v>
      </c>
      <c r="I316" s="108">
        <v>0</v>
      </c>
      <c r="J316" s="108">
        <v>0</v>
      </c>
      <c r="K316" s="108">
        <v>0</v>
      </c>
      <c r="L316" s="108">
        <v>1</v>
      </c>
      <c r="M316" s="134">
        <v>1</v>
      </c>
      <c r="N316" s="134">
        <v>40</v>
      </c>
      <c r="O316" s="134">
        <v>-99</v>
      </c>
      <c r="P316" s="133">
        <v>1</v>
      </c>
      <c r="Q316" s="133">
        <v>1</v>
      </c>
      <c r="R316" s="133">
        <v>1</v>
      </c>
      <c r="S316" s="133">
        <v>1</v>
      </c>
    </row>
    <row r="317" spans="1:19">
      <c r="A317" s="88" t="s">
        <v>150</v>
      </c>
      <c r="B317" s="108">
        <v>7</v>
      </c>
      <c r="C317" s="108">
        <v>1</v>
      </c>
      <c r="D317" s="108">
        <v>6.6998754669987557</v>
      </c>
      <c r="E317" s="108">
        <v>1.830635118306351</v>
      </c>
      <c r="F317" s="108">
        <v>2.5653798256537961</v>
      </c>
      <c r="G317" s="108">
        <v>59.47696139476961</v>
      </c>
      <c r="H317" s="108">
        <v>93.997509339975096</v>
      </c>
      <c r="I317" s="108">
        <v>0</v>
      </c>
      <c r="J317" s="108">
        <v>1</v>
      </c>
      <c r="K317" s="108">
        <v>0</v>
      </c>
      <c r="L317" s="108">
        <v>1</v>
      </c>
      <c r="M317" s="134">
        <v>1</v>
      </c>
      <c r="N317" s="134">
        <v>40</v>
      </c>
      <c r="O317" s="134">
        <v>-99</v>
      </c>
      <c r="P317" s="133">
        <v>1</v>
      </c>
      <c r="Q317" s="133">
        <v>1</v>
      </c>
      <c r="R317" s="133">
        <v>1</v>
      </c>
      <c r="S317" s="133">
        <v>1</v>
      </c>
    </row>
    <row r="318" spans="1:19">
      <c r="A318" s="88" t="s">
        <v>151</v>
      </c>
      <c r="B318" s="108">
        <v>1</v>
      </c>
      <c r="C318" s="108">
        <v>1</v>
      </c>
      <c r="D318" s="108">
        <v>0.2743598270701697</v>
      </c>
      <c r="E318" s="108">
        <v>66.203857665447302</v>
      </c>
      <c r="F318" s="108">
        <v>95.294313269038909</v>
      </c>
      <c r="G318" s="108">
        <v>93.473561689391431</v>
      </c>
      <c r="H318" s="108">
        <v>93.756235450615236</v>
      </c>
      <c r="I318" s="108">
        <v>1</v>
      </c>
      <c r="J318" s="108">
        <v>0</v>
      </c>
      <c r="K318" s="108">
        <v>0</v>
      </c>
      <c r="L318" s="108">
        <v>1</v>
      </c>
      <c r="M318" s="134">
        <v>0</v>
      </c>
      <c r="N318" s="134">
        <v>49</v>
      </c>
      <c r="O318" s="134">
        <v>55000</v>
      </c>
      <c r="P318" s="133">
        <v>1</v>
      </c>
      <c r="Q318" s="133">
        <v>0</v>
      </c>
      <c r="R318" s="133">
        <v>0</v>
      </c>
      <c r="S318" s="133">
        <v>0</v>
      </c>
    </row>
    <row r="319" spans="1:19">
      <c r="A319" s="88" t="s">
        <v>151</v>
      </c>
      <c r="B319" s="108">
        <v>7</v>
      </c>
      <c r="C319" s="108">
        <v>1</v>
      </c>
      <c r="D319" s="108">
        <v>30.578059995620759</v>
      </c>
      <c r="E319" s="108">
        <v>71.534924458068744</v>
      </c>
      <c r="F319" s="108">
        <v>0</v>
      </c>
      <c r="G319" s="108">
        <v>12.38230786074009</v>
      </c>
      <c r="H319" s="108">
        <v>0.93058900810160106</v>
      </c>
      <c r="I319" s="108">
        <v>0</v>
      </c>
      <c r="J319" s="108">
        <v>1</v>
      </c>
      <c r="K319" s="108">
        <v>0</v>
      </c>
      <c r="L319" s="108">
        <v>1</v>
      </c>
      <c r="M319" s="134">
        <v>0</v>
      </c>
      <c r="N319" s="134">
        <v>49</v>
      </c>
      <c r="O319" s="134">
        <v>55000</v>
      </c>
      <c r="P319" s="133">
        <v>1</v>
      </c>
      <c r="Q319" s="133">
        <v>0</v>
      </c>
      <c r="R319" s="133">
        <v>0</v>
      </c>
      <c r="S319" s="133">
        <v>0</v>
      </c>
    </row>
    <row r="320" spans="1:19">
      <c r="A320" s="88" t="s">
        <v>152</v>
      </c>
      <c r="B320" s="108">
        <v>1</v>
      </c>
      <c r="C320" s="108">
        <v>1</v>
      </c>
      <c r="D320" s="108">
        <v>51.700606585788563</v>
      </c>
      <c r="E320" s="108">
        <v>96.718716269698504</v>
      </c>
      <c r="F320" s="108">
        <v>97.067712455925744</v>
      </c>
      <c r="G320" s="108">
        <v>50</v>
      </c>
      <c r="H320" s="108">
        <v>0</v>
      </c>
      <c r="I320" s="108">
        <v>1</v>
      </c>
      <c r="J320" s="108">
        <v>0</v>
      </c>
      <c r="K320" s="108">
        <v>1</v>
      </c>
      <c r="L320" s="108">
        <v>1</v>
      </c>
      <c r="M320" s="134">
        <v>0</v>
      </c>
      <c r="N320" s="134">
        <v>68</v>
      </c>
      <c r="O320" s="134">
        <v>-99</v>
      </c>
      <c r="P320" s="133">
        <v>0</v>
      </c>
      <c r="Q320" s="133">
        <v>0</v>
      </c>
      <c r="R320" s="133">
        <v>0</v>
      </c>
      <c r="S320" s="133">
        <v>0</v>
      </c>
    </row>
    <row r="321" spans="1:19">
      <c r="A321" s="88" t="s">
        <v>152</v>
      </c>
      <c r="B321" s="108">
        <v>2</v>
      </c>
      <c r="C321" s="108">
        <v>1</v>
      </c>
      <c r="D321" s="108">
        <v>67.179376083188913</v>
      </c>
      <c r="E321" s="108">
        <v>50</v>
      </c>
      <c r="F321" s="108">
        <v>69.074956672443676</v>
      </c>
      <c r="G321" s="108">
        <v>19.36741767764298</v>
      </c>
      <c r="H321" s="108">
        <v>36.41681109185442</v>
      </c>
      <c r="I321" s="108">
        <v>0</v>
      </c>
      <c r="J321" s="108">
        <v>0</v>
      </c>
      <c r="K321" s="108">
        <v>1</v>
      </c>
      <c r="L321" s="108">
        <v>1</v>
      </c>
      <c r="M321" s="134">
        <v>0</v>
      </c>
      <c r="N321" s="134">
        <v>68</v>
      </c>
      <c r="O321" s="134">
        <v>-99</v>
      </c>
      <c r="P321" s="133">
        <v>0</v>
      </c>
      <c r="Q321" s="133">
        <v>0</v>
      </c>
      <c r="R321" s="133">
        <v>0</v>
      </c>
      <c r="S321" s="133">
        <v>0</v>
      </c>
    </row>
    <row r="322" spans="1:19">
      <c r="A322" s="88" t="s">
        <v>152</v>
      </c>
      <c r="B322" s="108">
        <v>6</v>
      </c>
      <c r="C322" s="108">
        <v>1</v>
      </c>
      <c r="D322" s="108">
        <v>39.438908145580577</v>
      </c>
      <c r="E322" s="108">
        <v>25.888214904679369</v>
      </c>
      <c r="F322" s="108">
        <v>26.418977469670711</v>
      </c>
      <c r="G322" s="108">
        <v>11.41681109185442</v>
      </c>
      <c r="H322" s="108">
        <v>20.071490467937611</v>
      </c>
      <c r="I322" s="108">
        <v>0</v>
      </c>
      <c r="J322" s="108">
        <v>0</v>
      </c>
      <c r="K322" s="108">
        <v>0</v>
      </c>
      <c r="L322" s="108">
        <v>1</v>
      </c>
      <c r="M322" s="134">
        <v>0</v>
      </c>
      <c r="N322" s="134">
        <v>68</v>
      </c>
      <c r="O322" s="134">
        <v>-99</v>
      </c>
      <c r="P322" s="133">
        <v>0</v>
      </c>
      <c r="Q322" s="133">
        <v>0</v>
      </c>
      <c r="R322" s="133">
        <v>0</v>
      </c>
      <c r="S322" s="133">
        <v>0</v>
      </c>
    </row>
    <row r="323" spans="1:19">
      <c r="A323" s="88" t="s">
        <v>152</v>
      </c>
      <c r="B323" s="108">
        <v>7</v>
      </c>
      <c r="C323" s="108">
        <v>1</v>
      </c>
      <c r="D323" s="108">
        <v>21.230502599653381</v>
      </c>
      <c r="E323" s="108">
        <v>20.504766031195839</v>
      </c>
      <c r="F323" s="108">
        <v>38.929809358752173</v>
      </c>
      <c r="G323" s="108">
        <v>63.713171577123049</v>
      </c>
      <c r="H323" s="108">
        <v>36.286828422876951</v>
      </c>
      <c r="I323" s="108">
        <v>0</v>
      </c>
      <c r="J323" s="108">
        <v>1</v>
      </c>
      <c r="K323" s="108">
        <v>0</v>
      </c>
      <c r="L323" s="108">
        <v>1</v>
      </c>
      <c r="M323" s="134">
        <v>0</v>
      </c>
      <c r="N323" s="134">
        <v>68</v>
      </c>
      <c r="O323" s="134">
        <v>-99</v>
      </c>
      <c r="P323" s="133">
        <v>0</v>
      </c>
      <c r="Q323" s="133">
        <v>0</v>
      </c>
      <c r="R323" s="133">
        <v>0</v>
      </c>
      <c r="S323" s="133">
        <v>0</v>
      </c>
    </row>
    <row r="324" spans="1:19">
      <c r="A324" s="88" t="s">
        <v>153</v>
      </c>
      <c r="B324" s="108">
        <v>1</v>
      </c>
      <c r="C324" s="108">
        <v>1</v>
      </c>
      <c r="D324" s="108">
        <v>98.11715481171548</v>
      </c>
      <c r="E324" s="108">
        <v>77.748193229364787</v>
      </c>
      <c r="F324" s="108">
        <v>85.954735640928106</v>
      </c>
      <c r="G324" s="108">
        <v>6.3332065424115616</v>
      </c>
      <c r="H324" s="108">
        <v>2.1395968048687708</v>
      </c>
      <c r="I324" s="108">
        <v>1</v>
      </c>
      <c r="J324" s="108">
        <v>0</v>
      </c>
      <c r="K324" s="108">
        <v>1</v>
      </c>
      <c r="L324" s="108">
        <v>1</v>
      </c>
      <c r="M324" s="134">
        <v>0</v>
      </c>
      <c r="N324" s="134">
        <v>72</v>
      </c>
      <c r="O324" s="134">
        <v>25000</v>
      </c>
      <c r="P324" s="133">
        <v>0</v>
      </c>
      <c r="Q324" s="133">
        <v>0</v>
      </c>
      <c r="R324" s="133">
        <v>0</v>
      </c>
      <c r="S324" s="133">
        <v>0</v>
      </c>
    </row>
    <row r="325" spans="1:19">
      <c r="A325" s="88" t="s">
        <v>153</v>
      </c>
      <c r="B325" s="108">
        <v>2</v>
      </c>
      <c r="C325" s="108">
        <v>1</v>
      </c>
      <c r="D325" s="108">
        <v>12.538526197814511</v>
      </c>
      <c r="E325" s="108">
        <v>50</v>
      </c>
      <c r="F325" s="108">
        <v>90.487531521434576</v>
      </c>
      <c r="G325" s="108">
        <v>7.4530680862986856</v>
      </c>
      <c r="H325" s="108">
        <v>64.219669375175116</v>
      </c>
      <c r="I325" s="108">
        <v>0</v>
      </c>
      <c r="J325" s="108">
        <v>0</v>
      </c>
      <c r="K325" s="108">
        <v>0</v>
      </c>
      <c r="L325" s="108">
        <v>1</v>
      </c>
      <c r="M325" s="134">
        <v>0</v>
      </c>
      <c r="N325" s="134">
        <v>72</v>
      </c>
      <c r="O325" s="134">
        <v>25000</v>
      </c>
      <c r="P325" s="133">
        <v>0</v>
      </c>
      <c r="Q325" s="133">
        <v>0</v>
      </c>
      <c r="R325" s="133">
        <v>0</v>
      </c>
      <c r="S325" s="133">
        <v>0</v>
      </c>
    </row>
    <row r="326" spans="1:19">
      <c r="A326" s="88" t="s">
        <v>153</v>
      </c>
      <c r="B326" s="108">
        <v>3</v>
      </c>
      <c r="C326" s="108">
        <v>1</v>
      </c>
      <c r="D326" s="108">
        <v>9.1762398430933025</v>
      </c>
      <c r="E326" s="108">
        <v>86.088540207340998</v>
      </c>
      <c r="F326" s="108">
        <v>14.1776407957411</v>
      </c>
      <c r="G326" s="108">
        <v>86.901092743065277</v>
      </c>
      <c r="H326" s="108">
        <v>7.8033062482488091</v>
      </c>
      <c r="I326" s="108">
        <v>0</v>
      </c>
      <c r="J326" s="108">
        <v>0</v>
      </c>
      <c r="K326" s="108">
        <v>0</v>
      </c>
      <c r="L326" s="108">
        <v>1</v>
      </c>
      <c r="M326" s="134">
        <v>0</v>
      </c>
      <c r="N326" s="134">
        <v>72</v>
      </c>
      <c r="O326" s="134">
        <v>25000</v>
      </c>
      <c r="P326" s="133">
        <v>0</v>
      </c>
      <c r="Q326" s="133">
        <v>0</v>
      </c>
      <c r="R326" s="133">
        <v>0</v>
      </c>
      <c r="S326" s="133">
        <v>0</v>
      </c>
    </row>
    <row r="327" spans="1:19">
      <c r="A327" s="88" t="s">
        <v>153</v>
      </c>
      <c r="B327" s="108">
        <v>4</v>
      </c>
      <c r="C327" s="108">
        <v>1</v>
      </c>
      <c r="D327" s="108">
        <v>29.321938918464561</v>
      </c>
      <c r="E327" s="108">
        <v>26.492014569907539</v>
      </c>
      <c r="F327" s="108">
        <v>4.5390865788736354</v>
      </c>
      <c r="G327" s="108">
        <v>94.64836088540207</v>
      </c>
      <c r="H327" s="108">
        <v>15.32642196693752</v>
      </c>
      <c r="I327" s="108">
        <v>0</v>
      </c>
      <c r="J327" s="108">
        <v>0</v>
      </c>
      <c r="K327" s="108">
        <v>0</v>
      </c>
      <c r="L327" s="108">
        <v>1</v>
      </c>
      <c r="M327" s="134">
        <v>0</v>
      </c>
      <c r="N327" s="134">
        <v>72</v>
      </c>
      <c r="O327" s="134">
        <v>25000</v>
      </c>
      <c r="P327" s="133">
        <v>0</v>
      </c>
      <c r="Q327" s="133">
        <v>0</v>
      </c>
      <c r="R327" s="133">
        <v>0</v>
      </c>
      <c r="S327" s="133">
        <v>0</v>
      </c>
    </row>
    <row r="328" spans="1:19">
      <c r="A328" s="88" t="s">
        <v>153</v>
      </c>
      <c r="B328" s="108">
        <v>5</v>
      </c>
      <c r="C328" s="108">
        <v>1</v>
      </c>
      <c r="D328" s="108">
        <v>8.3776968338470148</v>
      </c>
      <c r="E328" s="108">
        <v>15.340431493415521</v>
      </c>
      <c r="F328" s="108">
        <v>9.8907256934715591</v>
      </c>
      <c r="G328" s="108">
        <v>86.270664051555059</v>
      </c>
      <c r="H328" s="108">
        <v>4.3149341552255516</v>
      </c>
      <c r="I328" s="108">
        <v>0</v>
      </c>
      <c r="J328" s="108">
        <v>0</v>
      </c>
      <c r="K328" s="108">
        <v>0</v>
      </c>
      <c r="L328" s="108">
        <v>1</v>
      </c>
      <c r="M328" s="134">
        <v>0</v>
      </c>
      <c r="N328" s="134">
        <v>72</v>
      </c>
      <c r="O328" s="134">
        <v>25000</v>
      </c>
      <c r="P328" s="133">
        <v>0</v>
      </c>
      <c r="Q328" s="133">
        <v>0</v>
      </c>
      <c r="R328" s="133">
        <v>0</v>
      </c>
      <c r="S328" s="133">
        <v>0</v>
      </c>
    </row>
    <row r="329" spans="1:19">
      <c r="A329" s="88" t="s">
        <v>153</v>
      </c>
      <c r="B329" s="108">
        <v>6</v>
      </c>
      <c r="C329" s="108">
        <v>1</v>
      </c>
      <c r="D329" s="108">
        <v>0</v>
      </c>
      <c r="E329" s="108">
        <v>11.75399271504623</v>
      </c>
      <c r="F329" s="108">
        <v>17.904174838890452</v>
      </c>
      <c r="G329" s="108">
        <v>90.263379097786498</v>
      </c>
      <c r="H329" s="108">
        <v>84.477444662370416</v>
      </c>
      <c r="I329" s="108">
        <v>0</v>
      </c>
      <c r="J329" s="108">
        <v>0</v>
      </c>
      <c r="K329" s="108">
        <v>0</v>
      </c>
      <c r="L329" s="108">
        <v>1</v>
      </c>
      <c r="M329" s="134">
        <v>0</v>
      </c>
      <c r="N329" s="134">
        <v>72</v>
      </c>
      <c r="O329" s="134">
        <v>25000</v>
      </c>
      <c r="P329" s="133">
        <v>0</v>
      </c>
      <c r="Q329" s="133">
        <v>0</v>
      </c>
      <c r="R329" s="133">
        <v>0</v>
      </c>
      <c r="S329" s="133">
        <v>0</v>
      </c>
    </row>
    <row r="330" spans="1:19">
      <c r="A330" s="88" t="s">
        <v>153</v>
      </c>
      <c r="B330" s="108">
        <v>7</v>
      </c>
      <c r="C330" s="108">
        <v>1</v>
      </c>
      <c r="D330" s="108">
        <v>99.117399831885677</v>
      </c>
      <c r="E330" s="108">
        <v>5.239562902773887</v>
      </c>
      <c r="F330" s="108">
        <v>16.60128887643598</v>
      </c>
      <c r="G330" s="108">
        <v>83.048472961613896</v>
      </c>
      <c r="H330" s="108">
        <v>94.760437097226117</v>
      </c>
      <c r="I330" s="108">
        <v>0</v>
      </c>
      <c r="J330" s="108">
        <v>1</v>
      </c>
      <c r="K330" s="108">
        <v>1</v>
      </c>
      <c r="L330" s="108">
        <v>1</v>
      </c>
      <c r="M330" s="134">
        <v>0</v>
      </c>
      <c r="N330" s="134">
        <v>72</v>
      </c>
      <c r="O330" s="134">
        <v>25000</v>
      </c>
      <c r="P330" s="133">
        <v>0</v>
      </c>
      <c r="Q330" s="133">
        <v>0</v>
      </c>
      <c r="R330" s="133">
        <v>0</v>
      </c>
      <c r="S330" s="133">
        <v>0</v>
      </c>
    </row>
    <row r="331" spans="1:19">
      <c r="A331" s="88" t="s">
        <v>154</v>
      </c>
      <c r="B331" s="108">
        <v>1</v>
      </c>
      <c r="C331" s="108">
        <v>1</v>
      </c>
      <c r="D331" s="108">
        <v>3.8432473280794581</v>
      </c>
      <c r="E331" s="108">
        <v>20.576487099211921</v>
      </c>
      <c r="F331" s="108">
        <v>1.975601856849835</v>
      </c>
      <c r="G331" s="108">
        <v>96.680341142178563</v>
      </c>
      <c r="H331" s="108">
        <v>97.230918708841628</v>
      </c>
      <c r="I331" s="108">
        <v>1</v>
      </c>
      <c r="J331" s="108">
        <v>0</v>
      </c>
      <c r="K331" s="108">
        <v>0</v>
      </c>
      <c r="L331" s="108">
        <v>1</v>
      </c>
      <c r="M331" s="134">
        <v>0</v>
      </c>
      <c r="N331" s="134">
        <v>45</v>
      </c>
      <c r="O331" s="134">
        <v>5000</v>
      </c>
      <c r="P331" s="133">
        <v>0</v>
      </c>
      <c r="Q331" s="133">
        <v>0</v>
      </c>
      <c r="R331" s="133">
        <v>0</v>
      </c>
      <c r="S331" s="133">
        <v>0</v>
      </c>
    </row>
    <row r="332" spans="1:19">
      <c r="A332" s="88" t="s">
        <v>154</v>
      </c>
      <c r="B332" s="108">
        <v>2</v>
      </c>
      <c r="C332" s="108">
        <v>1</v>
      </c>
      <c r="D332" s="108">
        <v>13.348807081938901</v>
      </c>
      <c r="E332" s="108">
        <v>2.0708582834331359</v>
      </c>
      <c r="F332" s="108">
        <v>5.5763473053892234</v>
      </c>
      <c r="G332" s="108">
        <v>94.685628742514965</v>
      </c>
      <c r="H332" s="108">
        <v>50</v>
      </c>
      <c r="I332" s="108">
        <v>0</v>
      </c>
      <c r="J332" s="108">
        <v>0</v>
      </c>
      <c r="K332" s="108">
        <v>0</v>
      </c>
      <c r="L332" s="108">
        <v>1</v>
      </c>
      <c r="M332" s="134">
        <v>0</v>
      </c>
      <c r="N332" s="134">
        <v>45</v>
      </c>
      <c r="O332" s="134">
        <v>5000</v>
      </c>
      <c r="P332" s="133">
        <v>0</v>
      </c>
      <c r="Q332" s="133">
        <v>0</v>
      </c>
      <c r="R332" s="133">
        <v>0</v>
      </c>
      <c r="S332" s="133">
        <v>0</v>
      </c>
    </row>
    <row r="333" spans="1:19">
      <c r="A333" s="88" t="s">
        <v>154</v>
      </c>
      <c r="B333" s="108">
        <v>4</v>
      </c>
      <c r="C333" s="108">
        <v>1</v>
      </c>
      <c r="D333" s="108">
        <v>50</v>
      </c>
      <c r="E333" s="108">
        <v>8.7325349301397246</v>
      </c>
      <c r="F333" s="108">
        <v>8.6826347305389238</v>
      </c>
      <c r="G333" s="108">
        <v>77.794411177644704</v>
      </c>
      <c r="H333" s="108">
        <v>50</v>
      </c>
      <c r="I333" s="108">
        <v>0</v>
      </c>
      <c r="J333" s="108">
        <v>0</v>
      </c>
      <c r="K333" s="108">
        <v>0</v>
      </c>
      <c r="L333" s="108">
        <v>1</v>
      </c>
      <c r="M333" s="134">
        <v>0</v>
      </c>
      <c r="N333" s="134">
        <v>45</v>
      </c>
      <c r="O333" s="134">
        <v>5000</v>
      </c>
      <c r="P333" s="133">
        <v>0</v>
      </c>
      <c r="Q333" s="133">
        <v>0</v>
      </c>
      <c r="R333" s="133">
        <v>0</v>
      </c>
      <c r="S333" s="133">
        <v>0</v>
      </c>
    </row>
    <row r="334" spans="1:19">
      <c r="A334" s="88" t="s">
        <v>154</v>
      </c>
      <c r="B334" s="108">
        <v>5</v>
      </c>
      <c r="C334" s="108">
        <v>1</v>
      </c>
      <c r="D334" s="108">
        <v>3.1187624750499019</v>
      </c>
      <c r="E334" s="108">
        <v>3.9545908183632741</v>
      </c>
      <c r="F334" s="108">
        <v>12.799401197604791</v>
      </c>
      <c r="G334" s="108">
        <v>50</v>
      </c>
      <c r="H334" s="108">
        <v>95.047405189620761</v>
      </c>
      <c r="I334" s="108">
        <v>0</v>
      </c>
      <c r="J334" s="108">
        <v>0</v>
      </c>
      <c r="K334" s="108">
        <v>0</v>
      </c>
      <c r="L334" s="108">
        <v>1</v>
      </c>
      <c r="M334" s="134">
        <v>0</v>
      </c>
      <c r="N334" s="134">
        <v>45</v>
      </c>
      <c r="O334" s="134">
        <v>5000</v>
      </c>
      <c r="P334" s="133">
        <v>0</v>
      </c>
      <c r="Q334" s="133">
        <v>0</v>
      </c>
      <c r="R334" s="133">
        <v>0</v>
      </c>
      <c r="S334" s="133">
        <v>0</v>
      </c>
    </row>
    <row r="335" spans="1:19">
      <c r="A335" s="88" t="s">
        <v>154</v>
      </c>
      <c r="B335" s="108">
        <v>6</v>
      </c>
      <c r="C335" s="108">
        <v>1</v>
      </c>
      <c r="D335" s="108">
        <v>5.5763473053892234</v>
      </c>
      <c r="E335" s="108">
        <v>5.7509980039920139</v>
      </c>
      <c r="F335" s="108">
        <v>4.3163672654690624</v>
      </c>
      <c r="G335" s="108">
        <v>79.653193612774459</v>
      </c>
      <c r="H335" s="108">
        <v>60.703592814371262</v>
      </c>
      <c r="I335" s="108">
        <v>0</v>
      </c>
      <c r="J335" s="108">
        <v>0</v>
      </c>
      <c r="K335" s="108">
        <v>0</v>
      </c>
      <c r="L335" s="108">
        <v>1</v>
      </c>
      <c r="M335" s="134">
        <v>0</v>
      </c>
      <c r="N335" s="134">
        <v>45</v>
      </c>
      <c r="O335" s="134">
        <v>5000</v>
      </c>
      <c r="P335" s="133">
        <v>0</v>
      </c>
      <c r="Q335" s="133">
        <v>0</v>
      </c>
      <c r="R335" s="133">
        <v>0</v>
      </c>
      <c r="S335" s="133">
        <v>0</v>
      </c>
    </row>
    <row r="336" spans="1:19">
      <c r="A336" s="88" t="s">
        <v>154</v>
      </c>
      <c r="B336" s="108">
        <v>7</v>
      </c>
      <c r="C336" s="108">
        <v>1</v>
      </c>
      <c r="D336" s="108">
        <v>42.240518962075853</v>
      </c>
      <c r="E336" s="108">
        <v>0</v>
      </c>
      <c r="F336" s="108">
        <v>2.6322355289421169</v>
      </c>
      <c r="G336" s="108">
        <v>100</v>
      </c>
      <c r="H336" s="108">
        <v>90.968063872255485</v>
      </c>
      <c r="I336" s="108">
        <v>0</v>
      </c>
      <c r="J336" s="108">
        <v>1</v>
      </c>
      <c r="K336" s="108">
        <v>0</v>
      </c>
      <c r="L336" s="108">
        <v>1</v>
      </c>
      <c r="M336" s="134">
        <v>0</v>
      </c>
      <c r="N336" s="134">
        <v>45</v>
      </c>
      <c r="O336" s="134">
        <v>5000</v>
      </c>
      <c r="P336" s="133">
        <v>0</v>
      </c>
      <c r="Q336" s="133">
        <v>0</v>
      </c>
      <c r="R336" s="133">
        <v>0</v>
      </c>
      <c r="S336" s="133">
        <v>0</v>
      </c>
    </row>
    <row r="337" spans="1:19">
      <c r="A337" s="88" t="s">
        <v>155</v>
      </c>
      <c r="B337" s="108">
        <v>1</v>
      </c>
      <c r="C337" s="108">
        <v>1</v>
      </c>
      <c r="D337" s="108">
        <v>83.967136150234751</v>
      </c>
      <c r="E337" s="108">
        <v>98.920187793427232</v>
      </c>
      <c r="F337" s="108">
        <v>95.938967136150239</v>
      </c>
      <c r="G337" s="108">
        <v>5.4812206572769977</v>
      </c>
      <c r="H337" s="108">
        <v>9.7887323943661961</v>
      </c>
      <c r="I337" s="108">
        <v>1</v>
      </c>
      <c r="J337" s="108">
        <v>0</v>
      </c>
      <c r="K337" s="108">
        <v>1</v>
      </c>
      <c r="L337" s="108">
        <v>1</v>
      </c>
      <c r="M337" s="134">
        <v>0</v>
      </c>
      <c r="N337" s="134">
        <v>34</v>
      </c>
      <c r="O337" s="134">
        <v>35000</v>
      </c>
      <c r="P337" s="133">
        <v>1</v>
      </c>
      <c r="Q337" s="133">
        <v>0</v>
      </c>
      <c r="R337" s="133">
        <v>1</v>
      </c>
      <c r="S337" s="133">
        <v>0</v>
      </c>
    </row>
    <row r="338" spans="1:19">
      <c r="A338" s="88" t="s">
        <v>155</v>
      </c>
      <c r="B338" s="108">
        <v>2</v>
      </c>
      <c r="C338" s="108">
        <v>1</v>
      </c>
      <c r="D338" s="108">
        <v>89.072769953051647</v>
      </c>
      <c r="E338" s="108">
        <v>99.77699530516432</v>
      </c>
      <c r="F338" s="108">
        <v>97.124413145539904</v>
      </c>
      <c r="G338" s="108">
        <v>9.4600938967136177</v>
      </c>
      <c r="H338" s="108">
        <v>3.2746478873239449</v>
      </c>
      <c r="I338" s="108">
        <v>0</v>
      </c>
      <c r="J338" s="108">
        <v>0</v>
      </c>
      <c r="K338" s="108">
        <v>1</v>
      </c>
      <c r="L338" s="108">
        <v>1</v>
      </c>
      <c r="M338" s="134">
        <v>0</v>
      </c>
      <c r="N338" s="134">
        <v>34</v>
      </c>
      <c r="O338" s="134">
        <v>35000</v>
      </c>
      <c r="P338" s="133">
        <v>1</v>
      </c>
      <c r="Q338" s="133">
        <v>0</v>
      </c>
      <c r="R338" s="133">
        <v>1</v>
      </c>
      <c r="S338" s="133">
        <v>0</v>
      </c>
    </row>
    <row r="339" spans="1:19">
      <c r="A339" s="88" t="s">
        <v>155</v>
      </c>
      <c r="B339" s="108">
        <v>4</v>
      </c>
      <c r="C339" s="108">
        <v>1</v>
      </c>
      <c r="D339" s="108">
        <v>98.263057019645416</v>
      </c>
      <c r="E339" s="108">
        <v>96.550071873502645</v>
      </c>
      <c r="F339" s="108">
        <v>94.166267369429804</v>
      </c>
      <c r="G339" s="108">
        <v>11.044561571633929</v>
      </c>
      <c r="H339" s="108">
        <v>50</v>
      </c>
      <c r="I339" s="108">
        <v>0</v>
      </c>
      <c r="J339" s="108">
        <v>0</v>
      </c>
      <c r="K339" s="108">
        <v>1</v>
      </c>
      <c r="L339" s="108">
        <v>1</v>
      </c>
      <c r="M339" s="134">
        <v>0</v>
      </c>
      <c r="N339" s="134">
        <v>34</v>
      </c>
      <c r="O339" s="134">
        <v>35000</v>
      </c>
      <c r="P339" s="133">
        <v>1</v>
      </c>
      <c r="Q339" s="133">
        <v>0</v>
      </c>
      <c r="R339" s="133">
        <v>1</v>
      </c>
      <c r="S339" s="133">
        <v>0</v>
      </c>
    </row>
    <row r="340" spans="1:19">
      <c r="A340" s="88" t="s">
        <v>155</v>
      </c>
      <c r="B340" s="108">
        <v>5</v>
      </c>
      <c r="C340" s="108">
        <v>1</v>
      </c>
      <c r="D340" s="108">
        <v>5.9535218016291358</v>
      </c>
      <c r="E340" s="108">
        <v>3.8811691423095369</v>
      </c>
      <c r="F340" s="108">
        <v>5.3066602779108791</v>
      </c>
      <c r="G340" s="108">
        <v>85.026353617632964</v>
      </c>
      <c r="H340" s="108">
        <v>5.9415428845232379</v>
      </c>
      <c r="I340" s="108">
        <v>0</v>
      </c>
      <c r="J340" s="108">
        <v>0</v>
      </c>
      <c r="K340" s="108">
        <v>0</v>
      </c>
      <c r="L340" s="108">
        <v>1</v>
      </c>
      <c r="M340" s="134">
        <v>0</v>
      </c>
      <c r="N340" s="134">
        <v>34</v>
      </c>
      <c r="O340" s="134">
        <v>35000</v>
      </c>
      <c r="P340" s="133">
        <v>1</v>
      </c>
      <c r="Q340" s="133">
        <v>0</v>
      </c>
      <c r="R340" s="133">
        <v>1</v>
      </c>
      <c r="S340" s="133">
        <v>0</v>
      </c>
    </row>
    <row r="341" spans="1:19">
      <c r="A341" s="88" t="s">
        <v>155</v>
      </c>
      <c r="B341" s="108">
        <v>6</v>
      </c>
      <c r="C341" s="108">
        <v>1</v>
      </c>
      <c r="D341" s="108">
        <v>0</v>
      </c>
      <c r="E341" s="108">
        <v>2.0483948251078079</v>
      </c>
      <c r="F341" s="108">
        <v>1.2098706276952591</v>
      </c>
      <c r="G341" s="108">
        <v>77.994729276473407</v>
      </c>
      <c r="H341" s="108">
        <v>0</v>
      </c>
      <c r="I341" s="108">
        <v>0</v>
      </c>
      <c r="J341" s="108">
        <v>0</v>
      </c>
      <c r="K341" s="108">
        <v>0</v>
      </c>
      <c r="L341" s="108">
        <v>1</v>
      </c>
      <c r="M341" s="134">
        <v>0</v>
      </c>
      <c r="N341" s="134">
        <v>34</v>
      </c>
      <c r="O341" s="134">
        <v>35000</v>
      </c>
      <c r="P341" s="133">
        <v>1</v>
      </c>
      <c r="Q341" s="133">
        <v>0</v>
      </c>
      <c r="R341" s="133">
        <v>1</v>
      </c>
      <c r="S341" s="133">
        <v>0</v>
      </c>
    </row>
    <row r="342" spans="1:19">
      <c r="A342" s="88" t="s">
        <v>156</v>
      </c>
      <c r="B342" s="108">
        <v>1</v>
      </c>
      <c r="C342" s="108">
        <v>1</v>
      </c>
      <c r="D342" s="108">
        <v>3.7201554691837888</v>
      </c>
      <c r="E342" s="108">
        <v>4.7196002220988351</v>
      </c>
      <c r="F342" s="108">
        <v>5.0712567092356107</v>
      </c>
      <c r="G342" s="108">
        <v>97.501388117712381</v>
      </c>
      <c r="H342" s="108">
        <v>11.73422172866926</v>
      </c>
      <c r="I342" s="108">
        <v>1</v>
      </c>
      <c r="J342" s="108">
        <v>0</v>
      </c>
      <c r="K342" s="108">
        <v>0</v>
      </c>
      <c r="L342" s="108">
        <v>1</v>
      </c>
      <c r="M342" s="134">
        <v>0</v>
      </c>
      <c r="N342" s="134">
        <v>30</v>
      </c>
      <c r="O342" s="134">
        <v>50000</v>
      </c>
      <c r="P342" s="133">
        <v>0</v>
      </c>
      <c r="Q342" s="133">
        <v>0</v>
      </c>
      <c r="R342" s="133">
        <v>0</v>
      </c>
      <c r="S342" s="133">
        <v>1</v>
      </c>
    </row>
    <row r="343" spans="1:19">
      <c r="A343" s="88" t="s">
        <v>156</v>
      </c>
      <c r="B343" s="108">
        <v>2</v>
      </c>
      <c r="C343" s="108">
        <v>1</v>
      </c>
      <c r="D343" s="108">
        <v>81.195632056265026</v>
      </c>
      <c r="E343" s="108">
        <v>2.0173977419951861</v>
      </c>
      <c r="F343" s="108">
        <v>90.560799555802333</v>
      </c>
      <c r="G343" s="108">
        <v>8.3657227466222448</v>
      </c>
      <c r="H343" s="108">
        <v>4.96020729224505</v>
      </c>
      <c r="I343" s="108">
        <v>0</v>
      </c>
      <c r="J343" s="108">
        <v>0</v>
      </c>
      <c r="K343" s="108">
        <v>1</v>
      </c>
      <c r="L343" s="108">
        <v>1</v>
      </c>
      <c r="M343" s="134">
        <v>0</v>
      </c>
      <c r="N343" s="134">
        <v>30</v>
      </c>
      <c r="O343" s="134">
        <v>50000</v>
      </c>
      <c r="P343" s="133">
        <v>0</v>
      </c>
      <c r="Q343" s="133">
        <v>0</v>
      </c>
      <c r="R343" s="133">
        <v>0</v>
      </c>
      <c r="S343" s="133">
        <v>1</v>
      </c>
    </row>
    <row r="344" spans="1:19">
      <c r="A344" s="88" t="s">
        <v>156</v>
      </c>
      <c r="B344" s="108">
        <v>3</v>
      </c>
      <c r="C344" s="108">
        <v>1</v>
      </c>
      <c r="D344" s="108">
        <v>9.0920038535645453</v>
      </c>
      <c r="E344" s="108">
        <v>5.7201348747591529</v>
      </c>
      <c r="F344" s="108">
        <v>4.383429672447015</v>
      </c>
      <c r="G344" s="108">
        <v>85.910404624277461</v>
      </c>
      <c r="H344" s="108">
        <v>50</v>
      </c>
      <c r="I344" s="108">
        <v>0</v>
      </c>
      <c r="J344" s="108">
        <v>0</v>
      </c>
      <c r="K344" s="108">
        <v>0</v>
      </c>
      <c r="L344" s="108">
        <v>1</v>
      </c>
      <c r="M344" s="134">
        <v>0</v>
      </c>
      <c r="N344" s="134">
        <v>30</v>
      </c>
      <c r="O344" s="134">
        <v>50000</v>
      </c>
      <c r="P344" s="133">
        <v>0</v>
      </c>
      <c r="Q344" s="133">
        <v>0</v>
      </c>
      <c r="R344" s="133">
        <v>0</v>
      </c>
      <c r="S344" s="133">
        <v>1</v>
      </c>
    </row>
    <row r="345" spans="1:19">
      <c r="A345" s="88" t="s">
        <v>156</v>
      </c>
      <c r="B345" s="108">
        <v>4</v>
      </c>
      <c r="C345" s="108">
        <v>1</v>
      </c>
      <c r="D345" s="108">
        <v>2.793834296724468</v>
      </c>
      <c r="E345" s="108">
        <v>6.6353564547206147</v>
      </c>
      <c r="F345" s="108">
        <v>14.8723506743738</v>
      </c>
      <c r="G345" s="108">
        <v>97.206165703275531</v>
      </c>
      <c r="H345" s="108">
        <v>96.0019267822736</v>
      </c>
      <c r="I345" s="108">
        <v>0</v>
      </c>
      <c r="J345" s="108">
        <v>0</v>
      </c>
      <c r="K345" s="108">
        <v>0</v>
      </c>
      <c r="L345" s="108">
        <v>1</v>
      </c>
      <c r="M345" s="134">
        <v>0</v>
      </c>
      <c r="N345" s="134">
        <v>30</v>
      </c>
      <c r="O345" s="134">
        <v>50000</v>
      </c>
      <c r="P345" s="133">
        <v>0</v>
      </c>
      <c r="Q345" s="133">
        <v>0</v>
      </c>
      <c r="R345" s="133">
        <v>0</v>
      </c>
      <c r="S345" s="133">
        <v>1</v>
      </c>
    </row>
    <row r="346" spans="1:19">
      <c r="A346" s="88" t="s">
        <v>156</v>
      </c>
      <c r="B346" s="108">
        <v>6</v>
      </c>
      <c r="C346" s="108">
        <v>1</v>
      </c>
      <c r="D346" s="108">
        <v>8.3092485549132959</v>
      </c>
      <c r="E346" s="108">
        <v>7.4421965317919057</v>
      </c>
      <c r="F346" s="108">
        <v>14.08959537572254</v>
      </c>
      <c r="G346" s="108">
        <v>96.748554913294797</v>
      </c>
      <c r="H346" s="108">
        <v>93.400770712909448</v>
      </c>
      <c r="I346" s="108">
        <v>0</v>
      </c>
      <c r="J346" s="108">
        <v>0</v>
      </c>
      <c r="K346" s="108">
        <v>0</v>
      </c>
      <c r="L346" s="108">
        <v>1</v>
      </c>
      <c r="M346" s="134">
        <v>0</v>
      </c>
      <c r="N346" s="134">
        <v>30</v>
      </c>
      <c r="O346" s="134">
        <v>50000</v>
      </c>
      <c r="P346" s="133">
        <v>0</v>
      </c>
      <c r="Q346" s="133">
        <v>0</v>
      </c>
      <c r="R346" s="133">
        <v>0</v>
      </c>
      <c r="S346" s="133">
        <v>1</v>
      </c>
    </row>
    <row r="347" spans="1:19">
      <c r="A347" s="88" t="s">
        <v>156</v>
      </c>
      <c r="B347" s="108">
        <v>7</v>
      </c>
      <c r="C347" s="108">
        <v>1</v>
      </c>
      <c r="D347" s="108">
        <v>3.588631984585744</v>
      </c>
      <c r="E347" s="108">
        <v>4.1064547206165702</v>
      </c>
      <c r="F347" s="108">
        <v>5.4311175337186874</v>
      </c>
      <c r="G347" s="108">
        <v>86.644990366088635</v>
      </c>
      <c r="H347" s="108">
        <v>75.373314065510598</v>
      </c>
      <c r="I347" s="108">
        <v>0</v>
      </c>
      <c r="J347" s="108">
        <v>1</v>
      </c>
      <c r="K347" s="108">
        <v>0</v>
      </c>
      <c r="L347" s="108">
        <v>1</v>
      </c>
      <c r="M347" s="134">
        <v>0</v>
      </c>
      <c r="N347" s="134">
        <v>30</v>
      </c>
      <c r="O347" s="134">
        <v>50000</v>
      </c>
      <c r="P347" s="133">
        <v>0</v>
      </c>
      <c r="Q347" s="133">
        <v>0</v>
      </c>
      <c r="R347" s="133">
        <v>0</v>
      </c>
      <c r="S347" s="133">
        <v>1</v>
      </c>
    </row>
    <row r="348" spans="1:19">
      <c r="A348" s="88" t="s">
        <v>157</v>
      </c>
      <c r="B348" s="108">
        <v>1</v>
      </c>
      <c r="C348" s="108">
        <v>1</v>
      </c>
      <c r="D348" s="108">
        <v>100</v>
      </c>
      <c r="E348" s="108">
        <v>0</v>
      </c>
      <c r="F348" s="108">
        <v>100</v>
      </c>
      <c r="G348" s="108">
        <v>0</v>
      </c>
      <c r="H348" s="108">
        <v>0</v>
      </c>
      <c r="I348" s="108">
        <v>1</v>
      </c>
      <c r="J348" s="108">
        <v>0</v>
      </c>
      <c r="K348" s="108">
        <v>1</v>
      </c>
      <c r="L348" s="108">
        <v>1</v>
      </c>
      <c r="M348" s="134">
        <v>0</v>
      </c>
      <c r="N348" s="134">
        <v>32</v>
      </c>
      <c r="O348" s="134">
        <v>-99</v>
      </c>
      <c r="P348" s="133">
        <v>0</v>
      </c>
      <c r="Q348" s="133">
        <v>0</v>
      </c>
      <c r="R348" s="133">
        <v>0</v>
      </c>
      <c r="S348" s="133">
        <v>1</v>
      </c>
    </row>
    <row r="349" spans="1:19">
      <c r="A349" s="88" t="s">
        <v>157</v>
      </c>
      <c r="B349" s="108">
        <v>3</v>
      </c>
      <c r="C349" s="108">
        <v>1</v>
      </c>
      <c r="D349" s="108">
        <v>100</v>
      </c>
      <c r="E349" s="108">
        <v>100</v>
      </c>
      <c r="F349" s="108">
        <v>100</v>
      </c>
      <c r="G349" s="108">
        <v>0</v>
      </c>
      <c r="H349" s="108">
        <v>0</v>
      </c>
      <c r="I349" s="108">
        <v>0</v>
      </c>
      <c r="J349" s="108">
        <v>0</v>
      </c>
      <c r="K349" s="108">
        <v>1</v>
      </c>
      <c r="L349" s="108">
        <v>1</v>
      </c>
      <c r="M349" s="134">
        <v>0</v>
      </c>
      <c r="N349" s="134">
        <v>32</v>
      </c>
      <c r="O349" s="134">
        <v>-99</v>
      </c>
      <c r="P349" s="133">
        <v>0</v>
      </c>
      <c r="Q349" s="133">
        <v>0</v>
      </c>
      <c r="R349" s="133">
        <v>0</v>
      </c>
      <c r="S349" s="133">
        <v>1</v>
      </c>
    </row>
    <row r="350" spans="1:19">
      <c r="A350" s="88" t="s">
        <v>157</v>
      </c>
      <c r="B350" s="108">
        <v>4</v>
      </c>
      <c r="C350" s="108">
        <v>1</v>
      </c>
      <c r="D350" s="108">
        <v>0</v>
      </c>
      <c r="E350" s="108">
        <v>100</v>
      </c>
      <c r="F350" s="108">
        <v>100</v>
      </c>
      <c r="G350" s="108">
        <v>0</v>
      </c>
      <c r="H350" s="108">
        <v>0</v>
      </c>
      <c r="I350" s="108">
        <v>0</v>
      </c>
      <c r="J350" s="108">
        <v>0</v>
      </c>
      <c r="K350" s="108">
        <v>0</v>
      </c>
      <c r="L350" s="108">
        <v>1</v>
      </c>
      <c r="M350" s="134">
        <v>0</v>
      </c>
      <c r="N350" s="134">
        <v>32</v>
      </c>
      <c r="O350" s="134">
        <v>-99</v>
      </c>
      <c r="P350" s="133">
        <v>0</v>
      </c>
      <c r="Q350" s="133">
        <v>0</v>
      </c>
      <c r="R350" s="133">
        <v>0</v>
      </c>
      <c r="S350" s="133">
        <v>1</v>
      </c>
    </row>
    <row r="351" spans="1:19">
      <c r="A351" s="88" t="s">
        <v>157</v>
      </c>
      <c r="B351" s="108">
        <v>5</v>
      </c>
      <c r="C351" s="108">
        <v>1</v>
      </c>
      <c r="D351" s="108">
        <v>0</v>
      </c>
      <c r="E351" s="108">
        <v>100</v>
      </c>
      <c r="F351" s="108">
        <v>100</v>
      </c>
      <c r="G351" s="108">
        <v>0</v>
      </c>
      <c r="H351" s="108">
        <v>0</v>
      </c>
      <c r="I351" s="108">
        <v>0</v>
      </c>
      <c r="J351" s="108">
        <v>0</v>
      </c>
      <c r="K351" s="108">
        <v>0</v>
      </c>
      <c r="L351" s="108">
        <v>1</v>
      </c>
      <c r="M351" s="134">
        <v>0</v>
      </c>
      <c r="N351" s="134">
        <v>32</v>
      </c>
      <c r="O351" s="134">
        <v>-99</v>
      </c>
      <c r="P351" s="133">
        <v>0</v>
      </c>
      <c r="Q351" s="133">
        <v>0</v>
      </c>
      <c r="R351" s="133">
        <v>0</v>
      </c>
      <c r="S351" s="133">
        <v>1</v>
      </c>
    </row>
    <row r="352" spans="1:19">
      <c r="A352" s="88" t="s">
        <v>157</v>
      </c>
      <c r="B352" s="108">
        <v>6</v>
      </c>
      <c r="C352" s="108">
        <v>1</v>
      </c>
      <c r="D352" s="108">
        <v>99.851063829787236</v>
      </c>
      <c r="E352" s="108">
        <v>0.14893617021276559</v>
      </c>
      <c r="F352" s="108">
        <v>99.829787234042556</v>
      </c>
      <c r="G352" s="108">
        <v>0.14893617021276559</v>
      </c>
      <c r="H352" s="108">
        <v>99.893617021276597</v>
      </c>
      <c r="I352" s="108">
        <v>0</v>
      </c>
      <c r="J352" s="108">
        <v>0</v>
      </c>
      <c r="K352" s="108">
        <v>1</v>
      </c>
      <c r="L352" s="108">
        <v>1</v>
      </c>
      <c r="M352" s="134">
        <v>0</v>
      </c>
      <c r="N352" s="134">
        <v>32</v>
      </c>
      <c r="O352" s="134">
        <v>-99</v>
      </c>
      <c r="P352" s="133">
        <v>0</v>
      </c>
      <c r="Q352" s="133">
        <v>0</v>
      </c>
      <c r="R352" s="133">
        <v>0</v>
      </c>
      <c r="S352" s="133">
        <v>1</v>
      </c>
    </row>
    <row r="353" spans="1:19">
      <c r="A353" s="88" t="s">
        <v>157</v>
      </c>
      <c r="B353" s="108">
        <v>7</v>
      </c>
      <c r="C353" s="108">
        <v>1</v>
      </c>
      <c r="D353" s="108">
        <v>0</v>
      </c>
      <c r="E353" s="108">
        <v>100</v>
      </c>
      <c r="F353" s="108">
        <v>0</v>
      </c>
      <c r="G353" s="108">
        <v>0</v>
      </c>
      <c r="H353" s="108">
        <v>100</v>
      </c>
      <c r="I353" s="108">
        <v>0</v>
      </c>
      <c r="J353" s="108">
        <v>1</v>
      </c>
      <c r="K353" s="108">
        <v>0</v>
      </c>
      <c r="L353" s="108">
        <v>1</v>
      </c>
      <c r="M353" s="134">
        <v>0</v>
      </c>
      <c r="N353" s="134">
        <v>32</v>
      </c>
      <c r="O353" s="134">
        <v>-99</v>
      </c>
      <c r="P353" s="133">
        <v>0</v>
      </c>
      <c r="Q353" s="133">
        <v>0</v>
      </c>
      <c r="R353" s="133">
        <v>0</v>
      </c>
      <c r="S353" s="133">
        <v>1</v>
      </c>
    </row>
    <row r="354" spans="1:19">
      <c r="A354" s="88" t="s">
        <v>158</v>
      </c>
      <c r="B354" s="108">
        <v>1</v>
      </c>
      <c r="C354" s="108">
        <v>1</v>
      </c>
      <c r="D354" s="108">
        <v>87.67725722491474</v>
      </c>
      <c r="E354" s="108">
        <v>90.899299946149696</v>
      </c>
      <c r="F354" s="108">
        <v>94.507269789983852</v>
      </c>
      <c r="G354" s="108">
        <v>12.76252019386107</v>
      </c>
      <c r="H354" s="108">
        <v>89.642793035361692</v>
      </c>
      <c r="I354" s="108">
        <v>1</v>
      </c>
      <c r="J354" s="108">
        <v>0</v>
      </c>
      <c r="K354" s="108">
        <v>1</v>
      </c>
      <c r="L354" s="108">
        <v>1</v>
      </c>
      <c r="M354" s="134">
        <v>1</v>
      </c>
      <c r="N354" s="134">
        <v>37</v>
      </c>
      <c r="O354" s="134">
        <v>37000</v>
      </c>
      <c r="P354" s="133">
        <v>0</v>
      </c>
      <c r="Q354" s="133">
        <v>1</v>
      </c>
      <c r="R354" s="133">
        <v>0</v>
      </c>
      <c r="S354" s="133">
        <v>0</v>
      </c>
    </row>
    <row r="355" spans="1:19">
      <c r="A355" s="88" t="s">
        <v>158</v>
      </c>
      <c r="B355" s="108">
        <v>2</v>
      </c>
      <c r="C355" s="108">
        <v>1</v>
      </c>
      <c r="D355" s="108">
        <v>92.460958535271942</v>
      </c>
      <c r="E355" s="108">
        <v>92.640459522527379</v>
      </c>
      <c r="F355" s="108">
        <v>91.841680129240714</v>
      </c>
      <c r="G355" s="108">
        <v>7.1890145395799676</v>
      </c>
      <c r="H355" s="108">
        <v>98.106264584455218</v>
      </c>
      <c r="I355" s="108">
        <v>0</v>
      </c>
      <c r="J355" s="108">
        <v>0</v>
      </c>
      <c r="K355" s="108">
        <v>1</v>
      </c>
      <c r="L355" s="108">
        <v>1</v>
      </c>
      <c r="M355" s="134">
        <v>1</v>
      </c>
      <c r="N355" s="134">
        <v>37</v>
      </c>
      <c r="O355" s="134">
        <v>37000</v>
      </c>
      <c r="P355" s="133">
        <v>0</v>
      </c>
      <c r="Q355" s="133">
        <v>1</v>
      </c>
      <c r="R355" s="133">
        <v>0</v>
      </c>
      <c r="S355" s="133">
        <v>0</v>
      </c>
    </row>
    <row r="356" spans="1:19">
      <c r="A356" s="88" t="s">
        <v>158</v>
      </c>
      <c r="B356" s="108">
        <v>6</v>
      </c>
      <c r="C356" s="108">
        <v>1</v>
      </c>
      <c r="D356" s="108">
        <v>50</v>
      </c>
      <c r="E356" s="108">
        <v>5.095744680851066</v>
      </c>
      <c r="F356" s="108">
        <v>85.372340425531917</v>
      </c>
      <c r="G356" s="108">
        <v>10.797872340425529</v>
      </c>
      <c r="H356" s="108">
        <v>15.276595744680851</v>
      </c>
      <c r="I356" s="108">
        <v>0</v>
      </c>
      <c r="J356" s="108">
        <v>0</v>
      </c>
      <c r="K356" s="108">
        <v>1</v>
      </c>
      <c r="L356" s="108">
        <v>1</v>
      </c>
      <c r="M356" s="134">
        <v>1</v>
      </c>
      <c r="N356" s="134">
        <v>37</v>
      </c>
      <c r="O356" s="134">
        <v>37000</v>
      </c>
      <c r="P356" s="133">
        <v>0</v>
      </c>
      <c r="Q356" s="133">
        <v>1</v>
      </c>
      <c r="R356" s="133">
        <v>0</v>
      </c>
      <c r="S356" s="133">
        <v>0</v>
      </c>
    </row>
    <row r="357" spans="1:19">
      <c r="A357" s="88" t="s">
        <v>159</v>
      </c>
      <c r="B357" s="108">
        <v>1</v>
      </c>
      <c r="C357" s="108">
        <v>1</v>
      </c>
      <c r="D357" s="108">
        <v>27.46907321030217</v>
      </c>
      <c r="E357" s="108">
        <v>50</v>
      </c>
      <c r="F357" s="108">
        <v>42.384911782599879</v>
      </c>
      <c r="G357" s="108">
        <v>31.819103630095309</v>
      </c>
      <c r="H357" s="108">
        <v>18.789292232812819</v>
      </c>
      <c r="I357" s="108">
        <v>1</v>
      </c>
      <c r="J357" s="108">
        <v>0</v>
      </c>
      <c r="K357" s="108">
        <v>0</v>
      </c>
      <c r="L357" s="108">
        <v>1</v>
      </c>
      <c r="M357" s="134">
        <v>0</v>
      </c>
      <c r="N357" s="134">
        <v>49</v>
      </c>
      <c r="O357" s="134">
        <v>-99</v>
      </c>
      <c r="P357" s="133">
        <v>1</v>
      </c>
      <c r="Q357" s="133">
        <v>0</v>
      </c>
      <c r="R357" s="133">
        <v>0</v>
      </c>
      <c r="S357" s="133">
        <v>0</v>
      </c>
    </row>
    <row r="358" spans="1:19">
      <c r="A358" s="88" t="s">
        <v>159</v>
      </c>
      <c r="B358" s="108">
        <v>2</v>
      </c>
      <c r="C358" s="108">
        <v>1</v>
      </c>
      <c r="D358" s="108">
        <v>20.431961062664769</v>
      </c>
      <c r="E358" s="108">
        <v>50</v>
      </c>
      <c r="F358" s="108">
        <v>19.712025958223489</v>
      </c>
      <c r="G358" s="108">
        <v>18.515514094504159</v>
      </c>
      <c r="H358" s="108">
        <v>13.871425674305421</v>
      </c>
      <c r="I358" s="108">
        <v>0</v>
      </c>
      <c r="J358" s="108">
        <v>0</v>
      </c>
      <c r="K358" s="108">
        <v>0</v>
      </c>
      <c r="L358" s="108">
        <v>1</v>
      </c>
      <c r="M358" s="134">
        <v>0</v>
      </c>
      <c r="N358" s="134">
        <v>49</v>
      </c>
      <c r="O358" s="134">
        <v>-99</v>
      </c>
      <c r="P358" s="133">
        <v>1</v>
      </c>
      <c r="Q358" s="133">
        <v>0</v>
      </c>
      <c r="R358" s="133">
        <v>0</v>
      </c>
      <c r="S358" s="133">
        <v>0</v>
      </c>
    </row>
    <row r="359" spans="1:19">
      <c r="A359" s="88" t="s">
        <v>159</v>
      </c>
      <c r="B359" s="108">
        <v>3</v>
      </c>
      <c r="C359" s="108">
        <v>1</v>
      </c>
      <c r="D359" s="108">
        <v>67.927398093692972</v>
      </c>
      <c r="E359" s="108">
        <v>77.428513486108301</v>
      </c>
      <c r="F359" s="108">
        <v>87.548164672480226</v>
      </c>
      <c r="G359" s="108">
        <v>38.592577570472521</v>
      </c>
      <c r="H359" s="108">
        <v>86.382072601906316</v>
      </c>
      <c r="I359" s="108">
        <v>0</v>
      </c>
      <c r="J359" s="108">
        <v>0</v>
      </c>
      <c r="K359" s="108">
        <v>1</v>
      </c>
      <c r="L359" s="108">
        <v>1</v>
      </c>
      <c r="M359" s="134">
        <v>0</v>
      </c>
      <c r="N359" s="134">
        <v>49</v>
      </c>
      <c r="O359" s="134">
        <v>-99</v>
      </c>
      <c r="P359" s="133">
        <v>1</v>
      </c>
      <c r="Q359" s="133">
        <v>0</v>
      </c>
      <c r="R359" s="133">
        <v>0</v>
      </c>
      <c r="S359" s="133">
        <v>0</v>
      </c>
    </row>
    <row r="360" spans="1:19">
      <c r="A360" s="88" t="s">
        <v>159</v>
      </c>
      <c r="B360" s="108">
        <v>5</v>
      </c>
      <c r="C360" s="108">
        <v>1</v>
      </c>
      <c r="D360" s="108">
        <v>6.1489361702127656</v>
      </c>
      <c r="E360" s="108">
        <v>28</v>
      </c>
      <c r="F360" s="108">
        <v>100</v>
      </c>
      <c r="G360" s="108">
        <v>7.7553191489361684</v>
      </c>
      <c r="H360" s="108">
        <v>7.9574468085106371</v>
      </c>
      <c r="I360" s="108">
        <v>0</v>
      </c>
      <c r="J360" s="108">
        <v>0</v>
      </c>
      <c r="K360" s="108">
        <v>0</v>
      </c>
      <c r="L360" s="108">
        <v>1</v>
      </c>
      <c r="M360" s="134">
        <v>0</v>
      </c>
      <c r="N360" s="134">
        <v>49</v>
      </c>
      <c r="O360" s="134">
        <v>-99</v>
      </c>
      <c r="P360" s="133">
        <v>1</v>
      </c>
      <c r="Q360" s="133">
        <v>0</v>
      </c>
      <c r="R360" s="133">
        <v>0</v>
      </c>
      <c r="S360" s="133">
        <v>0</v>
      </c>
    </row>
    <row r="361" spans="1:19">
      <c r="A361" s="88" t="s">
        <v>159</v>
      </c>
      <c r="B361" s="108">
        <v>7</v>
      </c>
      <c r="C361" s="108">
        <v>1</v>
      </c>
      <c r="D361" s="108">
        <v>79.404255319148945</v>
      </c>
      <c r="E361" s="108">
        <v>91.553191489361694</v>
      </c>
      <c r="F361" s="108">
        <v>60.39361702127659</v>
      </c>
      <c r="G361" s="108">
        <v>21.042553191489361</v>
      </c>
      <c r="H361" s="108">
        <v>17.840425531914899</v>
      </c>
      <c r="I361" s="108">
        <v>0</v>
      </c>
      <c r="J361" s="108">
        <v>1</v>
      </c>
      <c r="K361" s="108">
        <v>1</v>
      </c>
      <c r="L361" s="108">
        <v>1</v>
      </c>
      <c r="M361" s="134">
        <v>0</v>
      </c>
      <c r="N361" s="134">
        <v>49</v>
      </c>
      <c r="O361" s="134">
        <v>-99</v>
      </c>
      <c r="P361" s="133">
        <v>1</v>
      </c>
      <c r="Q361" s="133">
        <v>0</v>
      </c>
      <c r="R361" s="133">
        <v>0</v>
      </c>
      <c r="S361" s="133">
        <v>0</v>
      </c>
    </row>
    <row r="362" spans="1:19">
      <c r="A362" s="88" t="s">
        <v>160</v>
      </c>
      <c r="B362" s="108">
        <v>1</v>
      </c>
      <c r="C362" s="108">
        <v>1</v>
      </c>
      <c r="D362" s="108">
        <v>0.35565177052729319</v>
      </c>
      <c r="E362" s="108">
        <v>94.038692261547681</v>
      </c>
      <c r="F362" s="108">
        <v>96.373898252667388</v>
      </c>
      <c r="G362" s="108">
        <v>0.17009432503479191</v>
      </c>
      <c r="H362" s="108">
        <v>100</v>
      </c>
      <c r="I362" s="108">
        <v>1</v>
      </c>
      <c r="J362" s="108">
        <v>0</v>
      </c>
      <c r="K362" s="108">
        <v>0</v>
      </c>
      <c r="L362" s="108">
        <v>1</v>
      </c>
      <c r="M362" s="134">
        <v>0</v>
      </c>
      <c r="N362" s="134">
        <v>38</v>
      </c>
      <c r="O362" s="134">
        <v>30000</v>
      </c>
      <c r="P362" s="133">
        <v>0</v>
      </c>
      <c r="Q362" s="133">
        <v>0</v>
      </c>
      <c r="R362" s="133">
        <v>1</v>
      </c>
      <c r="S362" s="133">
        <v>1</v>
      </c>
    </row>
    <row r="363" spans="1:19">
      <c r="A363" s="88" t="s">
        <v>160</v>
      </c>
      <c r="B363" s="108">
        <v>3</v>
      </c>
      <c r="C363" s="108">
        <v>1</v>
      </c>
      <c r="D363" s="108">
        <v>50</v>
      </c>
      <c r="E363" s="108">
        <v>14.74468085106383</v>
      </c>
      <c r="F363" s="108">
        <v>82.829787234042556</v>
      </c>
      <c r="G363" s="108">
        <v>13.042553191489359</v>
      </c>
      <c r="H363" s="108">
        <v>11.021276595744681</v>
      </c>
      <c r="I363" s="108">
        <v>0</v>
      </c>
      <c r="J363" s="108">
        <v>0</v>
      </c>
      <c r="K363" s="108">
        <v>1</v>
      </c>
      <c r="L363" s="108">
        <v>1</v>
      </c>
      <c r="M363" s="134">
        <v>0</v>
      </c>
      <c r="N363" s="134">
        <v>38</v>
      </c>
      <c r="O363" s="134">
        <v>30000</v>
      </c>
      <c r="P363" s="133">
        <v>0</v>
      </c>
      <c r="Q363" s="133">
        <v>0</v>
      </c>
      <c r="R363" s="133">
        <v>1</v>
      </c>
      <c r="S363" s="133">
        <v>1</v>
      </c>
    </row>
    <row r="364" spans="1:19">
      <c r="A364" s="88" t="s">
        <v>160</v>
      </c>
      <c r="B364" s="108">
        <v>7</v>
      </c>
      <c r="C364" s="108">
        <v>1</v>
      </c>
      <c r="D364" s="108">
        <v>0</v>
      </c>
      <c r="E364" s="108">
        <v>100</v>
      </c>
      <c r="F364" s="108">
        <v>0</v>
      </c>
      <c r="G364" s="108">
        <v>100</v>
      </c>
      <c r="H364" s="108">
        <v>0</v>
      </c>
      <c r="I364" s="108">
        <v>0</v>
      </c>
      <c r="J364" s="108">
        <v>1</v>
      </c>
      <c r="K364" s="108">
        <v>0</v>
      </c>
      <c r="L364" s="108">
        <v>1</v>
      </c>
      <c r="M364" s="134">
        <v>0</v>
      </c>
      <c r="N364" s="134">
        <v>38</v>
      </c>
      <c r="O364" s="134">
        <v>30000</v>
      </c>
      <c r="P364" s="133">
        <v>0</v>
      </c>
      <c r="Q364" s="133">
        <v>0</v>
      </c>
      <c r="R364" s="133">
        <v>1</v>
      </c>
      <c r="S364" s="133">
        <v>1</v>
      </c>
    </row>
    <row r="365" spans="1:19">
      <c r="A365" s="88" t="s">
        <v>161</v>
      </c>
      <c r="B365" s="108">
        <v>1</v>
      </c>
      <c r="C365" s="108">
        <v>1</v>
      </c>
      <c r="D365" s="108">
        <v>79.990485252140815</v>
      </c>
      <c r="E365" s="108">
        <v>10.818268315889631</v>
      </c>
      <c r="F365" s="108">
        <v>84.90960989533778</v>
      </c>
      <c r="G365" s="108">
        <v>16.679352997145571</v>
      </c>
      <c r="H365" s="108">
        <v>8.9153187440532804</v>
      </c>
      <c r="I365" s="108">
        <v>1</v>
      </c>
      <c r="J365" s="108">
        <v>0</v>
      </c>
      <c r="K365" s="108">
        <v>1</v>
      </c>
      <c r="L365" s="108">
        <v>1</v>
      </c>
      <c r="M365" s="134">
        <v>1</v>
      </c>
      <c r="N365" s="134">
        <v>24</v>
      </c>
      <c r="O365" s="134">
        <v>-99</v>
      </c>
      <c r="P365" s="133">
        <v>0</v>
      </c>
      <c r="Q365" s="133">
        <v>0</v>
      </c>
      <c r="R365" s="133">
        <v>0</v>
      </c>
      <c r="S365" s="133">
        <v>0</v>
      </c>
    </row>
    <row r="366" spans="1:19">
      <c r="A366" s="88" t="s">
        <v>161</v>
      </c>
      <c r="B366" s="108">
        <v>5</v>
      </c>
      <c r="C366" s="108">
        <v>1</v>
      </c>
      <c r="D366" s="108">
        <v>93.125870877844875</v>
      </c>
      <c r="E366" s="108">
        <v>18.810961449140731</v>
      </c>
      <c r="F366" s="108">
        <v>82.176033441709237</v>
      </c>
      <c r="G366" s="108">
        <v>8.1281932187645118</v>
      </c>
      <c r="H366" s="108">
        <v>14.352066883418489</v>
      </c>
      <c r="I366" s="108">
        <v>0</v>
      </c>
      <c r="J366" s="108">
        <v>0</v>
      </c>
      <c r="K366" s="108">
        <v>1</v>
      </c>
      <c r="L366" s="108">
        <v>1</v>
      </c>
      <c r="M366" s="134">
        <v>1</v>
      </c>
      <c r="N366" s="134">
        <v>24</v>
      </c>
      <c r="O366" s="134">
        <v>-99</v>
      </c>
      <c r="P366" s="133">
        <v>0</v>
      </c>
      <c r="Q366" s="133">
        <v>0</v>
      </c>
      <c r="R366" s="133">
        <v>0</v>
      </c>
      <c r="S366" s="133">
        <v>0</v>
      </c>
    </row>
    <row r="367" spans="1:19">
      <c r="A367" s="88" t="s">
        <v>161</v>
      </c>
      <c r="B367" s="108">
        <v>7</v>
      </c>
      <c r="C367" s="108">
        <v>1</v>
      </c>
      <c r="D367" s="108">
        <v>7.0134695773339528</v>
      </c>
      <c r="E367" s="108">
        <v>10.485369252206221</v>
      </c>
      <c r="F367" s="108">
        <v>10.88016720854622</v>
      </c>
      <c r="G367" s="108">
        <v>81.978634463539251</v>
      </c>
      <c r="H367" s="108">
        <v>90.861588481189031</v>
      </c>
      <c r="I367" s="108">
        <v>0</v>
      </c>
      <c r="J367" s="108">
        <v>1</v>
      </c>
      <c r="K367" s="108">
        <v>0</v>
      </c>
      <c r="L367" s="108">
        <v>1</v>
      </c>
      <c r="M367" s="134">
        <v>1</v>
      </c>
      <c r="N367" s="134">
        <v>24</v>
      </c>
      <c r="O367" s="134">
        <v>-99</v>
      </c>
      <c r="P367" s="133">
        <v>0</v>
      </c>
      <c r="Q367" s="133">
        <v>0</v>
      </c>
      <c r="R367" s="133">
        <v>0</v>
      </c>
      <c r="S367" s="133">
        <v>0</v>
      </c>
    </row>
    <row r="368" spans="1:19">
      <c r="A368" s="88" t="s">
        <v>162</v>
      </c>
      <c r="B368" s="108">
        <v>1</v>
      </c>
      <c r="C368" s="108">
        <v>1</v>
      </c>
      <c r="D368" s="108">
        <v>16.066714662826971</v>
      </c>
      <c r="E368" s="108">
        <v>32.193424526037923</v>
      </c>
      <c r="F368" s="108">
        <v>12.251019918406531</v>
      </c>
      <c r="G368" s="108">
        <v>50</v>
      </c>
      <c r="H368" s="108">
        <v>28.029757619390448</v>
      </c>
      <c r="I368" s="108">
        <v>1</v>
      </c>
      <c r="J368" s="108">
        <v>0</v>
      </c>
      <c r="K368" s="108">
        <v>0</v>
      </c>
      <c r="L368" s="108">
        <v>1</v>
      </c>
      <c r="M368" s="134">
        <v>1</v>
      </c>
      <c r="N368" s="134">
        <v>63</v>
      </c>
      <c r="O368" s="134">
        <v>-99</v>
      </c>
      <c r="P368" s="133">
        <v>0</v>
      </c>
      <c r="Q368" s="133">
        <v>0</v>
      </c>
      <c r="R368" s="133">
        <v>0</v>
      </c>
      <c r="S368" s="133">
        <v>0</v>
      </c>
    </row>
    <row r="369" spans="1:19">
      <c r="A369" s="88" t="s">
        <v>162</v>
      </c>
      <c r="B369" s="108">
        <v>3</v>
      </c>
      <c r="C369" s="108">
        <v>1</v>
      </c>
      <c r="D369" s="108">
        <v>15.37077033837293</v>
      </c>
      <c r="E369" s="108">
        <v>50</v>
      </c>
      <c r="F369" s="108">
        <v>0</v>
      </c>
      <c r="G369" s="108">
        <v>0.19198464122870409</v>
      </c>
      <c r="H369" s="108">
        <v>4.4036477081833443</v>
      </c>
      <c r="I369" s="108">
        <v>0</v>
      </c>
      <c r="J369" s="108">
        <v>0</v>
      </c>
      <c r="K369" s="108">
        <v>0</v>
      </c>
      <c r="L369" s="108">
        <v>1</v>
      </c>
      <c r="M369" s="134">
        <v>1</v>
      </c>
      <c r="N369" s="134">
        <v>63</v>
      </c>
      <c r="O369" s="134">
        <v>-99</v>
      </c>
      <c r="P369" s="133">
        <v>0</v>
      </c>
      <c r="Q369" s="133">
        <v>0</v>
      </c>
      <c r="R369" s="133">
        <v>0</v>
      </c>
      <c r="S369" s="133">
        <v>0</v>
      </c>
    </row>
    <row r="370" spans="1:19">
      <c r="A370" s="88" t="s">
        <v>162</v>
      </c>
      <c r="B370" s="108">
        <v>4</v>
      </c>
      <c r="C370" s="108">
        <v>1</v>
      </c>
      <c r="D370" s="108">
        <v>11.67506599472042</v>
      </c>
      <c r="E370" s="108">
        <v>5.6755459563234911</v>
      </c>
      <c r="F370" s="108">
        <v>6.8634509239260844</v>
      </c>
      <c r="G370" s="108">
        <v>94.780417566594679</v>
      </c>
      <c r="H370" s="108">
        <v>0.65994720422365982</v>
      </c>
      <c r="I370" s="108">
        <v>0</v>
      </c>
      <c r="J370" s="108">
        <v>0</v>
      </c>
      <c r="K370" s="108">
        <v>0</v>
      </c>
      <c r="L370" s="108">
        <v>1</v>
      </c>
      <c r="M370" s="134">
        <v>1</v>
      </c>
      <c r="N370" s="134">
        <v>63</v>
      </c>
      <c r="O370" s="134">
        <v>-99</v>
      </c>
      <c r="P370" s="133">
        <v>0</v>
      </c>
      <c r="Q370" s="133">
        <v>0</v>
      </c>
      <c r="R370" s="133">
        <v>0</v>
      </c>
      <c r="S370" s="133">
        <v>0</v>
      </c>
    </row>
    <row r="371" spans="1:19">
      <c r="A371" s="88" t="s">
        <v>162</v>
      </c>
      <c r="B371" s="108">
        <v>5</v>
      </c>
      <c r="C371" s="108">
        <v>1</v>
      </c>
      <c r="D371" s="108">
        <v>7.63138948884089</v>
      </c>
      <c r="E371" s="108">
        <v>5.4955603551715857</v>
      </c>
      <c r="F371" s="108">
        <v>6.527477801775861</v>
      </c>
      <c r="G371" s="108">
        <v>94.780417566594679</v>
      </c>
      <c r="H371" s="108">
        <v>50</v>
      </c>
      <c r="I371" s="108">
        <v>0</v>
      </c>
      <c r="J371" s="108">
        <v>0</v>
      </c>
      <c r="K371" s="108">
        <v>0</v>
      </c>
      <c r="L371" s="108">
        <v>1</v>
      </c>
      <c r="M371" s="134">
        <v>1</v>
      </c>
      <c r="N371" s="134">
        <v>63</v>
      </c>
      <c r="O371" s="134">
        <v>-99</v>
      </c>
      <c r="P371" s="133">
        <v>0</v>
      </c>
      <c r="Q371" s="133">
        <v>0</v>
      </c>
      <c r="R371" s="133">
        <v>0</v>
      </c>
      <c r="S371" s="133">
        <v>0</v>
      </c>
    </row>
    <row r="372" spans="1:19">
      <c r="A372" s="88" t="s">
        <v>162</v>
      </c>
      <c r="B372" s="108">
        <v>6</v>
      </c>
      <c r="C372" s="108">
        <v>1</v>
      </c>
      <c r="D372" s="108">
        <v>5.8675305975521947</v>
      </c>
      <c r="E372" s="108">
        <v>12.27501799856012</v>
      </c>
      <c r="F372" s="108">
        <v>5.2195824334053276</v>
      </c>
      <c r="G372" s="108">
        <v>93.448524118070551</v>
      </c>
      <c r="H372" s="108">
        <v>7.4154067674586042</v>
      </c>
      <c r="I372" s="108">
        <v>0</v>
      </c>
      <c r="J372" s="108">
        <v>0</v>
      </c>
      <c r="K372" s="108">
        <v>0</v>
      </c>
      <c r="L372" s="108">
        <v>1</v>
      </c>
      <c r="M372" s="134">
        <v>1</v>
      </c>
      <c r="N372" s="134">
        <v>63</v>
      </c>
      <c r="O372" s="134">
        <v>-99</v>
      </c>
      <c r="P372" s="133">
        <v>0</v>
      </c>
      <c r="Q372" s="133">
        <v>0</v>
      </c>
      <c r="R372" s="133">
        <v>0</v>
      </c>
      <c r="S372" s="133">
        <v>0</v>
      </c>
    </row>
    <row r="373" spans="1:19">
      <c r="A373" s="88" t="s">
        <v>162</v>
      </c>
      <c r="B373" s="108">
        <v>7</v>
      </c>
      <c r="C373" s="108">
        <v>1</v>
      </c>
      <c r="D373" s="108">
        <v>8.3993280537557009</v>
      </c>
      <c r="E373" s="108">
        <v>4.5116390688744898</v>
      </c>
      <c r="F373" s="108">
        <v>3.707703383729299</v>
      </c>
      <c r="G373" s="108">
        <v>95.488360931125513</v>
      </c>
      <c r="H373" s="108">
        <v>7.1994240460763139</v>
      </c>
      <c r="I373" s="108">
        <v>0</v>
      </c>
      <c r="J373" s="108">
        <v>1</v>
      </c>
      <c r="K373" s="108">
        <v>0</v>
      </c>
      <c r="L373" s="108">
        <v>1</v>
      </c>
      <c r="M373" s="134">
        <v>1</v>
      </c>
      <c r="N373" s="134">
        <v>63</v>
      </c>
      <c r="O373" s="134">
        <v>-99</v>
      </c>
      <c r="P373" s="133">
        <v>0</v>
      </c>
      <c r="Q373" s="133">
        <v>0</v>
      </c>
      <c r="R373" s="133">
        <v>0</v>
      </c>
      <c r="S373" s="133">
        <v>0</v>
      </c>
    </row>
    <row r="374" spans="1:19">
      <c r="A374" s="88" t="s">
        <v>163</v>
      </c>
      <c r="B374" s="108">
        <v>1</v>
      </c>
      <c r="C374" s="108">
        <v>1</v>
      </c>
      <c r="D374" s="108">
        <v>95.643810816926901</v>
      </c>
      <c r="E374" s="108">
        <v>96.498076487893186</v>
      </c>
      <c r="F374" s="108">
        <v>97.550350758090062</v>
      </c>
      <c r="G374" s="108">
        <v>1.8839103869653759</v>
      </c>
      <c r="H374" s="108">
        <v>18.488345779588141</v>
      </c>
      <c r="I374" s="108">
        <v>1</v>
      </c>
      <c r="J374" s="108">
        <v>0</v>
      </c>
      <c r="K374" s="108">
        <v>1</v>
      </c>
      <c r="L374" s="108">
        <v>1</v>
      </c>
      <c r="M374" s="134">
        <v>0</v>
      </c>
      <c r="N374" s="134">
        <v>35</v>
      </c>
      <c r="O374" s="134">
        <v>35000</v>
      </c>
      <c r="P374" s="133">
        <v>0</v>
      </c>
      <c r="Q374" s="133">
        <v>0</v>
      </c>
      <c r="R374" s="133">
        <v>0</v>
      </c>
      <c r="S374" s="133">
        <v>0</v>
      </c>
    </row>
    <row r="375" spans="1:19">
      <c r="A375" s="88" t="s">
        <v>163</v>
      </c>
      <c r="B375" s="108">
        <v>2</v>
      </c>
      <c r="C375" s="108">
        <v>1</v>
      </c>
      <c r="D375" s="108">
        <v>6.5059968318624151</v>
      </c>
      <c r="E375" s="108">
        <v>8.0165195745643789</v>
      </c>
      <c r="F375" s="108">
        <v>2.6533152296899729</v>
      </c>
      <c r="G375" s="108">
        <v>93.295994568906991</v>
      </c>
      <c r="H375" s="108">
        <v>91.98348042543563</v>
      </c>
      <c r="I375" s="108">
        <v>0</v>
      </c>
      <c r="J375" s="108">
        <v>0</v>
      </c>
      <c r="K375" s="108">
        <v>0</v>
      </c>
      <c r="L375" s="108">
        <v>1</v>
      </c>
      <c r="M375" s="134">
        <v>0</v>
      </c>
      <c r="N375" s="134">
        <v>35</v>
      </c>
      <c r="O375" s="134">
        <v>35000</v>
      </c>
      <c r="P375" s="133">
        <v>0</v>
      </c>
      <c r="Q375" s="133">
        <v>0</v>
      </c>
      <c r="R375" s="133">
        <v>0</v>
      </c>
      <c r="S375" s="133">
        <v>0</v>
      </c>
    </row>
    <row r="376" spans="1:19">
      <c r="A376" s="88" t="s">
        <v>163</v>
      </c>
      <c r="B376" s="108">
        <v>3</v>
      </c>
      <c r="C376" s="108">
        <v>1</v>
      </c>
      <c r="D376" s="108">
        <v>20.323876475018832</v>
      </c>
      <c r="E376" s="108">
        <v>37.484308310318852</v>
      </c>
      <c r="F376" s="108">
        <v>25.608837559628419</v>
      </c>
      <c r="G376" s="108">
        <v>45.003766005523467</v>
      </c>
      <c r="H376" s="108">
        <v>50</v>
      </c>
      <c r="I376" s="108">
        <v>0</v>
      </c>
      <c r="J376" s="108">
        <v>0</v>
      </c>
      <c r="K376" s="108">
        <v>0</v>
      </c>
      <c r="L376" s="108">
        <v>1</v>
      </c>
      <c r="M376" s="134">
        <v>0</v>
      </c>
      <c r="N376" s="134">
        <v>35</v>
      </c>
      <c r="O376" s="134">
        <v>35000</v>
      </c>
      <c r="P376" s="133">
        <v>0</v>
      </c>
      <c r="Q376" s="133">
        <v>0</v>
      </c>
      <c r="R376" s="133">
        <v>0</v>
      </c>
      <c r="S376" s="133">
        <v>0</v>
      </c>
    </row>
    <row r="377" spans="1:19">
      <c r="A377" s="88" t="s">
        <v>163</v>
      </c>
      <c r="B377" s="108">
        <v>4</v>
      </c>
      <c r="C377" s="108">
        <v>1</v>
      </c>
      <c r="D377" s="108">
        <v>13.406979663570169</v>
      </c>
      <c r="E377" s="108">
        <v>21.340697966357009</v>
      </c>
      <c r="F377" s="108">
        <v>1.908109465227215</v>
      </c>
      <c r="G377" s="108">
        <v>0</v>
      </c>
      <c r="H377" s="108">
        <v>21.993472257092641</v>
      </c>
      <c r="I377" s="108">
        <v>0</v>
      </c>
      <c r="J377" s="108">
        <v>0</v>
      </c>
      <c r="K377" s="108">
        <v>0</v>
      </c>
      <c r="L377" s="108">
        <v>1</v>
      </c>
      <c r="M377" s="134">
        <v>0</v>
      </c>
      <c r="N377" s="134">
        <v>35</v>
      </c>
      <c r="O377" s="134">
        <v>35000</v>
      </c>
      <c r="P377" s="133">
        <v>0</v>
      </c>
      <c r="Q377" s="133">
        <v>0</v>
      </c>
      <c r="R377" s="133">
        <v>0</v>
      </c>
      <c r="S377" s="133">
        <v>0</v>
      </c>
    </row>
    <row r="378" spans="1:19">
      <c r="A378" s="88" t="s">
        <v>163</v>
      </c>
      <c r="B378" s="108">
        <v>5</v>
      </c>
      <c r="C378" s="108">
        <v>1</v>
      </c>
      <c r="D378" s="108">
        <v>8.7998995731860425</v>
      </c>
      <c r="E378" s="108">
        <v>3.5651518955561121</v>
      </c>
      <c r="F378" s="108">
        <v>11.724830529751451</v>
      </c>
      <c r="G378" s="108">
        <v>42.75671604318353</v>
      </c>
      <c r="H378" s="108">
        <v>11.724830529751451</v>
      </c>
      <c r="I378" s="108">
        <v>0</v>
      </c>
      <c r="J378" s="108">
        <v>0</v>
      </c>
      <c r="K378" s="108">
        <v>0</v>
      </c>
      <c r="L378" s="108">
        <v>1</v>
      </c>
      <c r="M378" s="134">
        <v>0</v>
      </c>
      <c r="N378" s="134">
        <v>35</v>
      </c>
      <c r="O378" s="134">
        <v>35000</v>
      </c>
      <c r="P378" s="133">
        <v>0</v>
      </c>
      <c r="Q378" s="133">
        <v>0</v>
      </c>
      <c r="R378" s="133">
        <v>0</v>
      </c>
      <c r="S378" s="133">
        <v>0</v>
      </c>
    </row>
    <row r="379" spans="1:19">
      <c r="A379" s="88" t="s">
        <v>163</v>
      </c>
      <c r="B379" s="108">
        <v>6</v>
      </c>
      <c r="C379" s="108">
        <v>1</v>
      </c>
      <c r="D379" s="108">
        <v>19.055987948782331</v>
      </c>
      <c r="E379" s="108">
        <v>13.005272407732869</v>
      </c>
      <c r="F379" s="108">
        <v>11.73738388149636</v>
      </c>
      <c r="G379" s="108">
        <v>71.93070549836807</v>
      </c>
      <c r="H379" s="108">
        <v>1.908109465227215</v>
      </c>
      <c r="I379" s="108">
        <v>0</v>
      </c>
      <c r="J379" s="108">
        <v>0</v>
      </c>
      <c r="K379" s="108">
        <v>0</v>
      </c>
      <c r="L379" s="108">
        <v>1</v>
      </c>
      <c r="M379" s="134">
        <v>0</v>
      </c>
      <c r="N379" s="134">
        <v>35</v>
      </c>
      <c r="O379" s="134">
        <v>35000</v>
      </c>
      <c r="P379" s="133">
        <v>0</v>
      </c>
      <c r="Q379" s="133">
        <v>0</v>
      </c>
      <c r="R379" s="133">
        <v>0</v>
      </c>
      <c r="S379" s="133">
        <v>0</v>
      </c>
    </row>
    <row r="380" spans="1:19">
      <c r="A380" s="88" t="s">
        <v>163</v>
      </c>
      <c r="B380" s="108">
        <v>7</v>
      </c>
      <c r="C380" s="108">
        <v>1</v>
      </c>
      <c r="D380" s="108">
        <v>1.87044940999247</v>
      </c>
      <c r="E380" s="108">
        <v>22.847100175746931</v>
      </c>
      <c r="F380" s="108">
        <v>3.9919658548832562</v>
      </c>
      <c r="G380" s="108">
        <v>89.743911624403722</v>
      </c>
      <c r="H380" s="108">
        <v>83.228722068792365</v>
      </c>
      <c r="I380" s="108">
        <v>0</v>
      </c>
      <c r="J380" s="108">
        <v>1</v>
      </c>
      <c r="K380" s="108">
        <v>0</v>
      </c>
      <c r="L380" s="108">
        <v>1</v>
      </c>
      <c r="M380" s="134">
        <v>0</v>
      </c>
      <c r="N380" s="134">
        <v>35</v>
      </c>
      <c r="O380" s="134">
        <v>35000</v>
      </c>
      <c r="P380" s="133">
        <v>0</v>
      </c>
      <c r="Q380" s="133">
        <v>0</v>
      </c>
      <c r="R380" s="133">
        <v>0</v>
      </c>
      <c r="S380" s="133">
        <v>0</v>
      </c>
    </row>
    <row r="381" spans="1:19">
      <c r="A381" s="88" t="s">
        <v>164</v>
      </c>
      <c r="B381" s="108">
        <v>7</v>
      </c>
      <c r="C381" s="108">
        <v>1</v>
      </c>
      <c r="D381" s="108">
        <v>18.51063829787234</v>
      </c>
      <c r="E381" s="108">
        <v>11.4468085106383</v>
      </c>
      <c r="F381" s="108">
        <v>12.9468085106383</v>
      </c>
      <c r="G381" s="108">
        <v>33.244680851063833</v>
      </c>
      <c r="H381" s="108">
        <v>50</v>
      </c>
      <c r="I381" s="108">
        <v>0</v>
      </c>
      <c r="J381" s="108">
        <v>1</v>
      </c>
      <c r="K381" s="108">
        <v>0</v>
      </c>
      <c r="L381" s="108">
        <v>1</v>
      </c>
      <c r="M381" s="134">
        <v>1</v>
      </c>
      <c r="N381" s="134">
        <v>50</v>
      </c>
      <c r="O381" s="134">
        <v>-99</v>
      </c>
      <c r="P381" s="133">
        <v>0</v>
      </c>
      <c r="Q381" s="133">
        <v>0</v>
      </c>
      <c r="R381" s="133">
        <v>1</v>
      </c>
      <c r="S381" s="133">
        <v>1</v>
      </c>
    </row>
    <row r="382" spans="1:19">
      <c r="A382" s="88" t="s">
        <v>165</v>
      </c>
      <c r="B382" s="108">
        <v>1</v>
      </c>
      <c r="C382" s="108">
        <v>1</v>
      </c>
      <c r="D382" s="108">
        <v>95.855064507274221</v>
      </c>
      <c r="E382" s="108">
        <v>99.149052978314572</v>
      </c>
      <c r="F382" s="108">
        <v>98.229481196815811</v>
      </c>
      <c r="G382" s="108">
        <v>3.060664287674991</v>
      </c>
      <c r="H382" s="108">
        <v>4.1449354927257769</v>
      </c>
      <c r="I382" s="108">
        <v>1</v>
      </c>
      <c r="J382" s="108">
        <v>0</v>
      </c>
      <c r="K382" s="108">
        <v>1</v>
      </c>
      <c r="L382" s="108">
        <v>1</v>
      </c>
      <c r="M382" s="134">
        <v>1</v>
      </c>
      <c r="N382" s="134">
        <v>30</v>
      </c>
      <c r="O382" s="134">
        <v>75000</v>
      </c>
      <c r="P382" s="133">
        <v>1</v>
      </c>
      <c r="Q382" s="133">
        <v>1</v>
      </c>
      <c r="R382" s="133">
        <v>1</v>
      </c>
      <c r="S382" s="133">
        <v>1</v>
      </c>
    </row>
    <row r="383" spans="1:19">
      <c r="A383" s="88" t="s">
        <v>165</v>
      </c>
      <c r="B383" s="108">
        <v>2</v>
      </c>
      <c r="C383" s="108">
        <v>1</v>
      </c>
      <c r="D383" s="108">
        <v>97.255009607466377</v>
      </c>
      <c r="E383" s="108">
        <v>92.698325555860549</v>
      </c>
      <c r="F383" s="108">
        <v>94.359044743343404</v>
      </c>
      <c r="G383" s="108">
        <v>0.87839692561075822</v>
      </c>
      <c r="H383" s="108">
        <v>1.4548449080428241</v>
      </c>
      <c r="I383" s="108">
        <v>0</v>
      </c>
      <c r="J383" s="108">
        <v>0</v>
      </c>
      <c r="K383" s="108">
        <v>1</v>
      </c>
      <c r="L383" s="108">
        <v>1</v>
      </c>
      <c r="M383" s="134">
        <v>1</v>
      </c>
      <c r="N383" s="134">
        <v>30</v>
      </c>
      <c r="O383" s="134">
        <v>75000</v>
      </c>
      <c r="P383" s="133">
        <v>1</v>
      </c>
      <c r="Q383" s="133">
        <v>1</v>
      </c>
      <c r="R383" s="133">
        <v>1</v>
      </c>
      <c r="S383" s="133">
        <v>1</v>
      </c>
    </row>
    <row r="384" spans="1:19">
      <c r="A384" s="88" t="s">
        <v>165</v>
      </c>
      <c r="B384" s="108">
        <v>3</v>
      </c>
      <c r="C384" s="108">
        <v>1</v>
      </c>
      <c r="D384" s="108">
        <v>84.257480098819656</v>
      </c>
      <c r="E384" s="108">
        <v>50</v>
      </c>
      <c r="F384" s="108">
        <v>63.752401866593473</v>
      </c>
      <c r="G384" s="108">
        <v>5.640955256656599</v>
      </c>
      <c r="H384" s="108">
        <v>17.183639857260498</v>
      </c>
      <c r="I384" s="108">
        <v>0</v>
      </c>
      <c r="J384" s="108">
        <v>0</v>
      </c>
      <c r="K384" s="108">
        <v>1</v>
      </c>
      <c r="L384" s="108">
        <v>1</v>
      </c>
      <c r="M384" s="134">
        <v>1</v>
      </c>
      <c r="N384" s="134">
        <v>30</v>
      </c>
      <c r="O384" s="134">
        <v>75000</v>
      </c>
      <c r="P384" s="133">
        <v>1</v>
      </c>
      <c r="Q384" s="133">
        <v>1</v>
      </c>
      <c r="R384" s="133">
        <v>1</v>
      </c>
      <c r="S384" s="133">
        <v>1</v>
      </c>
    </row>
    <row r="385" spans="1:19">
      <c r="A385" s="88" t="s">
        <v>165</v>
      </c>
      <c r="B385" s="108">
        <v>4</v>
      </c>
      <c r="C385" s="108">
        <v>1</v>
      </c>
      <c r="D385" s="108">
        <v>96.11583859456492</v>
      </c>
      <c r="E385" s="108">
        <v>93.466922865769959</v>
      </c>
      <c r="F385" s="108">
        <v>95.264891572879492</v>
      </c>
      <c r="G385" s="108">
        <v>4.2959099643151264</v>
      </c>
      <c r="H385" s="108">
        <v>100</v>
      </c>
      <c r="I385" s="108">
        <v>0</v>
      </c>
      <c r="J385" s="108">
        <v>0</v>
      </c>
      <c r="K385" s="108">
        <v>1</v>
      </c>
      <c r="L385" s="108">
        <v>1</v>
      </c>
      <c r="M385" s="134">
        <v>1</v>
      </c>
      <c r="N385" s="134">
        <v>30</v>
      </c>
      <c r="O385" s="134">
        <v>75000</v>
      </c>
      <c r="P385" s="133">
        <v>1</v>
      </c>
      <c r="Q385" s="133">
        <v>1</v>
      </c>
      <c r="R385" s="133">
        <v>1</v>
      </c>
      <c r="S385" s="133">
        <v>1</v>
      </c>
    </row>
    <row r="386" spans="1:19">
      <c r="A386" s="88" t="s">
        <v>165</v>
      </c>
      <c r="B386" s="108">
        <v>5</v>
      </c>
      <c r="C386" s="108">
        <v>1</v>
      </c>
      <c r="D386" s="108">
        <v>97.474608838869074</v>
      </c>
      <c r="E386" s="108">
        <v>98.421630524293164</v>
      </c>
      <c r="F386" s="108">
        <v>97.680483118309084</v>
      </c>
      <c r="G386" s="108">
        <v>1.1117211089761161</v>
      </c>
      <c r="H386" s="108">
        <v>4.007685973099095</v>
      </c>
      <c r="I386" s="108">
        <v>0</v>
      </c>
      <c r="J386" s="108">
        <v>0</v>
      </c>
      <c r="K386" s="108">
        <v>1</v>
      </c>
      <c r="L386" s="108">
        <v>1</v>
      </c>
      <c r="M386" s="134">
        <v>1</v>
      </c>
      <c r="N386" s="134">
        <v>30</v>
      </c>
      <c r="O386" s="134">
        <v>75000</v>
      </c>
      <c r="P386" s="133">
        <v>1</v>
      </c>
      <c r="Q386" s="133">
        <v>1</v>
      </c>
      <c r="R386" s="133">
        <v>1</v>
      </c>
      <c r="S386" s="133">
        <v>1</v>
      </c>
    </row>
    <row r="387" spans="1:19">
      <c r="A387" s="88" t="s">
        <v>165</v>
      </c>
      <c r="B387" s="108">
        <v>6</v>
      </c>
      <c r="C387" s="108">
        <v>1</v>
      </c>
      <c r="D387" s="108">
        <v>97.790282734010418</v>
      </c>
      <c r="E387" s="108">
        <v>94.043370848202017</v>
      </c>
      <c r="F387" s="108">
        <v>96.802086192698326</v>
      </c>
      <c r="G387" s="108">
        <v>5.2017567938512199</v>
      </c>
      <c r="H387" s="108">
        <v>95.690365083722213</v>
      </c>
      <c r="I387" s="108">
        <v>0</v>
      </c>
      <c r="J387" s="108">
        <v>0</v>
      </c>
      <c r="K387" s="108">
        <v>1</v>
      </c>
      <c r="L387" s="108">
        <v>1</v>
      </c>
      <c r="M387" s="134">
        <v>1</v>
      </c>
      <c r="N387" s="134">
        <v>30</v>
      </c>
      <c r="O387" s="134">
        <v>75000</v>
      </c>
      <c r="P387" s="133">
        <v>1</v>
      </c>
      <c r="Q387" s="133">
        <v>1</v>
      </c>
      <c r="R387" s="133">
        <v>1</v>
      </c>
      <c r="S387" s="133">
        <v>1</v>
      </c>
    </row>
    <row r="388" spans="1:19">
      <c r="A388" s="88" t="s">
        <v>165</v>
      </c>
      <c r="B388" s="108">
        <v>7</v>
      </c>
      <c r="C388" s="108">
        <v>1</v>
      </c>
      <c r="D388" s="108">
        <v>96.225638210266268</v>
      </c>
      <c r="E388" s="108">
        <v>97.00796047213835</v>
      </c>
      <c r="F388" s="108">
        <v>96.060938786714246</v>
      </c>
      <c r="G388" s="108">
        <v>2.3057919297282461</v>
      </c>
      <c r="H388" s="108">
        <v>3.060664287674991</v>
      </c>
      <c r="I388" s="108">
        <v>0</v>
      </c>
      <c r="J388" s="108">
        <v>1</v>
      </c>
      <c r="K388" s="108">
        <v>1</v>
      </c>
      <c r="L388" s="108">
        <v>1</v>
      </c>
      <c r="M388" s="134">
        <v>1</v>
      </c>
      <c r="N388" s="134">
        <v>30</v>
      </c>
      <c r="O388" s="134">
        <v>75000</v>
      </c>
      <c r="P388" s="133">
        <v>1</v>
      </c>
      <c r="Q388" s="133">
        <v>1</v>
      </c>
      <c r="R388" s="133">
        <v>1</v>
      </c>
      <c r="S388" s="133">
        <v>1</v>
      </c>
    </row>
    <row r="389" spans="1:19">
      <c r="A389" s="88" t="s">
        <v>166</v>
      </c>
      <c r="B389" s="108">
        <v>1</v>
      </c>
      <c r="C389" s="108">
        <v>1</v>
      </c>
      <c r="D389" s="108">
        <v>94.805414551607441</v>
      </c>
      <c r="E389" s="108">
        <v>98.891708967851102</v>
      </c>
      <c r="F389" s="108">
        <v>99.33164128595601</v>
      </c>
      <c r="G389" s="108">
        <v>6.3028764805414532</v>
      </c>
      <c r="H389" s="108">
        <v>16.920473773265659</v>
      </c>
      <c r="I389" s="108">
        <v>1</v>
      </c>
      <c r="J389" s="108">
        <v>0</v>
      </c>
      <c r="K389" s="108">
        <v>1</v>
      </c>
      <c r="L389" s="108">
        <v>1</v>
      </c>
      <c r="M389" s="134">
        <v>0</v>
      </c>
      <c r="N389" s="134">
        <v>28</v>
      </c>
      <c r="O389" s="134">
        <v>25000</v>
      </c>
      <c r="P389" s="133">
        <v>0</v>
      </c>
      <c r="Q389" s="133">
        <v>1</v>
      </c>
      <c r="R389" s="133">
        <v>1</v>
      </c>
      <c r="S389" s="133">
        <v>1</v>
      </c>
    </row>
    <row r="390" spans="1:19">
      <c r="A390" s="88" t="s">
        <v>166</v>
      </c>
      <c r="B390" s="108">
        <v>2</v>
      </c>
      <c r="C390" s="108">
        <v>1</v>
      </c>
      <c r="D390" s="108">
        <v>99.323181049069376</v>
      </c>
      <c r="E390" s="108">
        <v>84.086294416243661</v>
      </c>
      <c r="F390" s="108">
        <v>99.737732656514382</v>
      </c>
      <c r="G390" s="108">
        <v>4.7800338409475449</v>
      </c>
      <c r="H390" s="108">
        <v>0.54991539763113439</v>
      </c>
      <c r="I390" s="108">
        <v>0</v>
      </c>
      <c r="J390" s="108">
        <v>0</v>
      </c>
      <c r="K390" s="108">
        <v>1</v>
      </c>
      <c r="L390" s="108">
        <v>1</v>
      </c>
      <c r="M390" s="134">
        <v>0</v>
      </c>
      <c r="N390" s="134">
        <v>28</v>
      </c>
      <c r="O390" s="134">
        <v>25000</v>
      </c>
      <c r="P390" s="133">
        <v>0</v>
      </c>
      <c r="Q390" s="133">
        <v>1</v>
      </c>
      <c r="R390" s="133">
        <v>1</v>
      </c>
      <c r="S390" s="133">
        <v>1</v>
      </c>
    </row>
    <row r="391" spans="1:19">
      <c r="A391" s="88" t="s">
        <v>166</v>
      </c>
      <c r="B391" s="108">
        <v>3</v>
      </c>
      <c r="C391" s="108">
        <v>1</v>
      </c>
      <c r="D391" s="108">
        <v>99.610829103214883</v>
      </c>
      <c r="E391" s="108">
        <v>98.48561759729273</v>
      </c>
      <c r="F391" s="108">
        <v>97.64805414551607</v>
      </c>
      <c r="G391" s="108">
        <v>28.079526226734352</v>
      </c>
      <c r="H391" s="108">
        <v>1.1082910321488999</v>
      </c>
      <c r="I391" s="108">
        <v>0</v>
      </c>
      <c r="J391" s="108">
        <v>0</v>
      </c>
      <c r="K391" s="108">
        <v>1</v>
      </c>
      <c r="L391" s="108">
        <v>1</v>
      </c>
      <c r="M391" s="134">
        <v>0</v>
      </c>
      <c r="N391" s="134">
        <v>28</v>
      </c>
      <c r="O391" s="134">
        <v>25000</v>
      </c>
      <c r="P391" s="133">
        <v>0</v>
      </c>
      <c r="Q391" s="133">
        <v>1</v>
      </c>
      <c r="R391" s="133">
        <v>1</v>
      </c>
      <c r="S391" s="133">
        <v>1</v>
      </c>
    </row>
    <row r="392" spans="1:19">
      <c r="A392" s="88" t="s">
        <v>166</v>
      </c>
      <c r="B392" s="108">
        <v>4</v>
      </c>
      <c r="C392" s="108">
        <v>1</v>
      </c>
      <c r="D392" s="108">
        <v>96.818613485280153</v>
      </c>
      <c r="E392" s="108">
        <v>81.600189933523268</v>
      </c>
      <c r="F392" s="108">
        <v>86.609686609686605</v>
      </c>
      <c r="G392" s="108">
        <v>2.9083570750237429</v>
      </c>
      <c r="H392" s="108">
        <v>50</v>
      </c>
      <c r="I392" s="108">
        <v>0</v>
      </c>
      <c r="J392" s="108">
        <v>0</v>
      </c>
      <c r="K392" s="108">
        <v>1</v>
      </c>
      <c r="L392" s="108">
        <v>1</v>
      </c>
      <c r="M392" s="134">
        <v>0</v>
      </c>
      <c r="N392" s="134">
        <v>28</v>
      </c>
      <c r="O392" s="134">
        <v>25000</v>
      </c>
      <c r="P392" s="133">
        <v>0</v>
      </c>
      <c r="Q392" s="133">
        <v>1</v>
      </c>
      <c r="R392" s="133">
        <v>1</v>
      </c>
      <c r="S392" s="133">
        <v>1</v>
      </c>
    </row>
    <row r="393" spans="1:19">
      <c r="A393" s="88" t="s">
        <v>166</v>
      </c>
      <c r="B393" s="108">
        <v>5</v>
      </c>
      <c r="C393" s="108">
        <v>1</v>
      </c>
      <c r="D393" s="108">
        <v>100</v>
      </c>
      <c r="E393" s="108">
        <v>100</v>
      </c>
      <c r="F393" s="108">
        <v>98.646723646723643</v>
      </c>
      <c r="G393" s="108">
        <v>3.4900284900284899</v>
      </c>
      <c r="H393" s="108">
        <v>16.785375118708451</v>
      </c>
      <c r="I393" s="108">
        <v>0</v>
      </c>
      <c r="J393" s="108">
        <v>0</v>
      </c>
      <c r="K393" s="108">
        <v>1</v>
      </c>
      <c r="L393" s="108">
        <v>1</v>
      </c>
      <c r="M393" s="134">
        <v>0</v>
      </c>
      <c r="N393" s="134">
        <v>28</v>
      </c>
      <c r="O393" s="134">
        <v>25000</v>
      </c>
      <c r="P393" s="133">
        <v>0</v>
      </c>
      <c r="Q393" s="133">
        <v>1</v>
      </c>
      <c r="R393" s="133">
        <v>1</v>
      </c>
      <c r="S393" s="133">
        <v>1</v>
      </c>
    </row>
    <row r="394" spans="1:19">
      <c r="A394" s="88" t="s">
        <v>166</v>
      </c>
      <c r="B394" s="108">
        <v>6</v>
      </c>
      <c r="C394" s="108">
        <v>1</v>
      </c>
      <c r="D394" s="108">
        <v>94.646248812915474</v>
      </c>
      <c r="E394" s="108">
        <v>96.735517568850909</v>
      </c>
      <c r="F394" s="108">
        <v>58.641975308641968</v>
      </c>
      <c r="G394" s="108">
        <v>2.8015194681861368</v>
      </c>
      <c r="H394" s="108">
        <v>2.2554605887939232</v>
      </c>
      <c r="I394" s="108">
        <v>0</v>
      </c>
      <c r="J394" s="108">
        <v>0</v>
      </c>
      <c r="K394" s="108">
        <v>1</v>
      </c>
      <c r="L394" s="108">
        <v>1</v>
      </c>
      <c r="M394" s="134">
        <v>0</v>
      </c>
      <c r="N394" s="134">
        <v>28</v>
      </c>
      <c r="O394" s="134">
        <v>25000</v>
      </c>
      <c r="P394" s="133">
        <v>0</v>
      </c>
      <c r="Q394" s="133">
        <v>1</v>
      </c>
      <c r="R394" s="133">
        <v>1</v>
      </c>
      <c r="S394" s="133">
        <v>1</v>
      </c>
    </row>
    <row r="395" spans="1:19">
      <c r="A395" s="88" t="s">
        <v>166</v>
      </c>
      <c r="B395" s="108">
        <v>7</v>
      </c>
      <c r="C395" s="108">
        <v>1</v>
      </c>
      <c r="D395" s="108">
        <v>97.07977207977207</v>
      </c>
      <c r="E395" s="108">
        <v>97.210351377018043</v>
      </c>
      <c r="F395" s="108">
        <v>95.489078822412154</v>
      </c>
      <c r="G395" s="108">
        <v>9.6035137701804381</v>
      </c>
      <c r="H395" s="108">
        <v>20.156695156695161</v>
      </c>
      <c r="I395" s="108">
        <v>0</v>
      </c>
      <c r="J395" s="108">
        <v>1</v>
      </c>
      <c r="K395" s="108">
        <v>1</v>
      </c>
      <c r="L395" s="108">
        <v>1</v>
      </c>
      <c r="M395" s="134">
        <v>0</v>
      </c>
      <c r="N395" s="134">
        <v>28</v>
      </c>
      <c r="O395" s="134">
        <v>25000</v>
      </c>
      <c r="P395" s="133">
        <v>0</v>
      </c>
      <c r="Q395" s="133">
        <v>1</v>
      </c>
      <c r="R395" s="133">
        <v>1</v>
      </c>
      <c r="S395" s="133">
        <v>1</v>
      </c>
    </row>
    <row r="396" spans="1:19">
      <c r="A396" s="88" t="s">
        <v>167</v>
      </c>
      <c r="B396" s="108">
        <v>1</v>
      </c>
      <c r="C396" s="108">
        <v>1</v>
      </c>
      <c r="D396" s="108">
        <v>94.474002418379683</v>
      </c>
      <c r="E396" s="108">
        <v>87.799274486094319</v>
      </c>
      <c r="F396" s="108">
        <v>85.973397823458285</v>
      </c>
      <c r="G396" s="108">
        <v>50</v>
      </c>
      <c r="H396" s="108">
        <v>50</v>
      </c>
      <c r="I396" s="108">
        <v>1</v>
      </c>
      <c r="J396" s="108">
        <v>0</v>
      </c>
      <c r="K396" s="108">
        <v>1</v>
      </c>
      <c r="L396" s="108">
        <v>1</v>
      </c>
      <c r="M396" s="134">
        <v>0</v>
      </c>
      <c r="N396" s="134">
        <v>38</v>
      </c>
      <c r="O396" s="134">
        <v>92000</v>
      </c>
      <c r="P396" s="133">
        <v>0</v>
      </c>
      <c r="Q396" s="133">
        <v>0</v>
      </c>
      <c r="R396" s="133">
        <v>1</v>
      </c>
      <c r="S396" s="133">
        <v>0</v>
      </c>
    </row>
    <row r="397" spans="1:19">
      <c r="A397" s="88" t="s">
        <v>167</v>
      </c>
      <c r="B397" s="108">
        <v>2</v>
      </c>
      <c r="C397" s="108">
        <v>1</v>
      </c>
      <c r="D397" s="108">
        <v>95.997581620314392</v>
      </c>
      <c r="E397" s="108">
        <v>98.863361547763006</v>
      </c>
      <c r="F397" s="108">
        <v>78.996372430471581</v>
      </c>
      <c r="G397" s="108">
        <v>16.2515114873035</v>
      </c>
      <c r="H397" s="108">
        <v>19.044740024183788</v>
      </c>
      <c r="I397" s="108">
        <v>0</v>
      </c>
      <c r="J397" s="108">
        <v>0</v>
      </c>
      <c r="K397" s="108">
        <v>1</v>
      </c>
      <c r="L397" s="108">
        <v>1</v>
      </c>
      <c r="M397" s="134">
        <v>0</v>
      </c>
      <c r="N397" s="134">
        <v>38</v>
      </c>
      <c r="O397" s="134">
        <v>92000</v>
      </c>
      <c r="P397" s="133">
        <v>0</v>
      </c>
      <c r="Q397" s="133">
        <v>0</v>
      </c>
      <c r="R397" s="133">
        <v>1</v>
      </c>
      <c r="S397" s="133">
        <v>0</v>
      </c>
    </row>
    <row r="398" spans="1:19">
      <c r="A398" s="88" t="s">
        <v>167</v>
      </c>
      <c r="B398" s="108">
        <v>3</v>
      </c>
      <c r="C398" s="108">
        <v>1</v>
      </c>
      <c r="D398" s="108">
        <v>4.8367593712212829</v>
      </c>
      <c r="E398" s="108">
        <v>11.75332527206772</v>
      </c>
      <c r="F398" s="108">
        <v>4.4135429262394226</v>
      </c>
      <c r="G398" s="108">
        <v>81.934703748488516</v>
      </c>
      <c r="H398" s="108">
        <v>2.7327690447400239</v>
      </c>
      <c r="I398" s="108">
        <v>0</v>
      </c>
      <c r="J398" s="108">
        <v>0</v>
      </c>
      <c r="K398" s="108">
        <v>0</v>
      </c>
      <c r="L398" s="108">
        <v>1</v>
      </c>
      <c r="M398" s="134">
        <v>0</v>
      </c>
      <c r="N398" s="134">
        <v>38</v>
      </c>
      <c r="O398" s="134">
        <v>92000</v>
      </c>
      <c r="P398" s="133">
        <v>0</v>
      </c>
      <c r="Q398" s="133">
        <v>0</v>
      </c>
      <c r="R398" s="133">
        <v>1</v>
      </c>
      <c r="S398" s="133">
        <v>0</v>
      </c>
    </row>
    <row r="399" spans="1:19">
      <c r="A399" s="88" t="s">
        <v>167</v>
      </c>
      <c r="B399" s="108">
        <v>4</v>
      </c>
      <c r="C399" s="108">
        <v>1</v>
      </c>
      <c r="D399" s="108">
        <v>4.4377267230955253</v>
      </c>
      <c r="E399" s="108">
        <v>11.281741233373641</v>
      </c>
      <c r="F399" s="108">
        <v>1.777509068923822</v>
      </c>
      <c r="G399" s="108">
        <v>82.756952841596132</v>
      </c>
      <c r="H399" s="108">
        <v>86.7956469165659</v>
      </c>
      <c r="I399" s="108">
        <v>0</v>
      </c>
      <c r="J399" s="108">
        <v>0</v>
      </c>
      <c r="K399" s="108">
        <v>0</v>
      </c>
      <c r="L399" s="108">
        <v>1</v>
      </c>
      <c r="M399" s="134">
        <v>0</v>
      </c>
      <c r="N399" s="134">
        <v>38</v>
      </c>
      <c r="O399" s="134">
        <v>92000</v>
      </c>
      <c r="P399" s="133">
        <v>0</v>
      </c>
      <c r="Q399" s="133">
        <v>0</v>
      </c>
      <c r="R399" s="133">
        <v>1</v>
      </c>
      <c r="S399" s="133">
        <v>0</v>
      </c>
    </row>
    <row r="400" spans="1:19">
      <c r="A400" s="88" t="s">
        <v>167</v>
      </c>
      <c r="B400" s="108">
        <v>5</v>
      </c>
      <c r="C400" s="108">
        <v>1</v>
      </c>
      <c r="D400" s="108">
        <v>3.7605804111245482</v>
      </c>
      <c r="E400" s="108">
        <v>3.9540507859733949</v>
      </c>
      <c r="F400" s="108">
        <v>36.964933494558643</v>
      </c>
      <c r="G400" s="108">
        <v>93.712212817412336</v>
      </c>
      <c r="H400" s="108">
        <v>94.220072551390572</v>
      </c>
      <c r="I400" s="108">
        <v>0</v>
      </c>
      <c r="J400" s="108">
        <v>0</v>
      </c>
      <c r="K400" s="108">
        <v>0</v>
      </c>
      <c r="L400" s="108">
        <v>1</v>
      </c>
      <c r="M400" s="134">
        <v>0</v>
      </c>
      <c r="N400" s="134">
        <v>38</v>
      </c>
      <c r="O400" s="134">
        <v>92000</v>
      </c>
      <c r="P400" s="133">
        <v>0</v>
      </c>
      <c r="Q400" s="133">
        <v>0</v>
      </c>
      <c r="R400" s="133">
        <v>1</v>
      </c>
      <c r="S400" s="133">
        <v>0</v>
      </c>
    </row>
    <row r="401" spans="1:19">
      <c r="A401" s="88" t="s">
        <v>167</v>
      </c>
      <c r="B401" s="108">
        <v>6</v>
      </c>
      <c r="C401" s="108">
        <v>1</v>
      </c>
      <c r="D401" s="108">
        <v>9.9153567110036249</v>
      </c>
      <c r="E401" s="108">
        <v>0</v>
      </c>
      <c r="F401" s="108">
        <v>1.5719467956469171</v>
      </c>
      <c r="G401" s="108">
        <v>85.066505441354295</v>
      </c>
      <c r="H401" s="108">
        <v>90.084643288996375</v>
      </c>
      <c r="I401" s="108">
        <v>0</v>
      </c>
      <c r="J401" s="108">
        <v>0</v>
      </c>
      <c r="K401" s="108">
        <v>0</v>
      </c>
      <c r="L401" s="108">
        <v>1</v>
      </c>
      <c r="M401" s="134">
        <v>0</v>
      </c>
      <c r="N401" s="134">
        <v>38</v>
      </c>
      <c r="O401" s="134">
        <v>92000</v>
      </c>
      <c r="P401" s="133">
        <v>0</v>
      </c>
      <c r="Q401" s="133">
        <v>0</v>
      </c>
      <c r="R401" s="133">
        <v>1</v>
      </c>
      <c r="S401" s="133">
        <v>0</v>
      </c>
    </row>
    <row r="402" spans="1:19">
      <c r="A402" s="88" t="s">
        <v>167</v>
      </c>
      <c r="B402" s="108">
        <v>7</v>
      </c>
      <c r="C402" s="108">
        <v>1</v>
      </c>
      <c r="D402" s="108">
        <v>4.3530834340991529</v>
      </c>
      <c r="E402" s="108">
        <v>3.1197097944377248</v>
      </c>
      <c r="F402" s="108">
        <v>7.6783555018137832</v>
      </c>
      <c r="G402" s="108">
        <v>94.667472793228541</v>
      </c>
      <c r="H402" s="108">
        <v>91.378476420798066</v>
      </c>
      <c r="I402" s="108">
        <v>0</v>
      </c>
      <c r="J402" s="108">
        <v>1</v>
      </c>
      <c r="K402" s="108">
        <v>0</v>
      </c>
      <c r="L402" s="108">
        <v>1</v>
      </c>
      <c r="M402" s="134">
        <v>0</v>
      </c>
      <c r="N402" s="134">
        <v>38</v>
      </c>
      <c r="O402" s="134">
        <v>92000</v>
      </c>
      <c r="P402" s="133">
        <v>0</v>
      </c>
      <c r="Q402" s="133">
        <v>0</v>
      </c>
      <c r="R402" s="133">
        <v>1</v>
      </c>
      <c r="S402" s="133">
        <v>0</v>
      </c>
    </row>
    <row r="403" spans="1:19">
      <c r="A403" s="88" t="s">
        <v>168</v>
      </c>
      <c r="B403" s="108">
        <v>1</v>
      </c>
      <c r="C403" s="108">
        <v>1</v>
      </c>
      <c r="D403" s="108">
        <v>99.041970802919707</v>
      </c>
      <c r="E403" s="108">
        <v>97.741788321167888</v>
      </c>
      <c r="F403" s="108">
        <v>91.571624087591246</v>
      </c>
      <c r="G403" s="108">
        <v>2.2582116788321169</v>
      </c>
      <c r="H403" s="108">
        <v>40.066149635036503</v>
      </c>
      <c r="I403" s="108">
        <v>1</v>
      </c>
      <c r="J403" s="108">
        <v>0</v>
      </c>
      <c r="K403" s="108">
        <v>1</v>
      </c>
      <c r="L403" s="108">
        <v>1</v>
      </c>
      <c r="M403" s="134">
        <v>0</v>
      </c>
      <c r="N403" s="134">
        <v>31</v>
      </c>
      <c r="O403" s="134">
        <v>95000</v>
      </c>
      <c r="P403" s="133">
        <v>0</v>
      </c>
      <c r="Q403" s="133">
        <v>0</v>
      </c>
      <c r="R403" s="133">
        <v>0</v>
      </c>
      <c r="S403" s="133">
        <v>0</v>
      </c>
    </row>
    <row r="404" spans="1:19">
      <c r="A404" s="88" t="s">
        <v>168</v>
      </c>
      <c r="B404" s="108">
        <v>2</v>
      </c>
      <c r="C404" s="108">
        <v>1</v>
      </c>
      <c r="D404" s="108">
        <v>5.360401459854014</v>
      </c>
      <c r="E404" s="108">
        <v>10.994525547445249</v>
      </c>
      <c r="F404" s="108">
        <v>8.6564781021897801</v>
      </c>
      <c r="G404" s="108">
        <v>98.049726277372258</v>
      </c>
      <c r="H404" s="108">
        <v>90.967153284671525</v>
      </c>
      <c r="I404" s="108">
        <v>0</v>
      </c>
      <c r="J404" s="108">
        <v>0</v>
      </c>
      <c r="K404" s="108">
        <v>0</v>
      </c>
      <c r="L404" s="108">
        <v>1</v>
      </c>
      <c r="M404" s="134">
        <v>0</v>
      </c>
      <c r="N404" s="134">
        <v>31</v>
      </c>
      <c r="O404" s="134">
        <v>95000</v>
      </c>
      <c r="P404" s="133">
        <v>0</v>
      </c>
      <c r="Q404" s="133">
        <v>0</v>
      </c>
      <c r="R404" s="133">
        <v>0</v>
      </c>
      <c r="S404" s="133">
        <v>0</v>
      </c>
    </row>
    <row r="405" spans="1:19">
      <c r="A405" s="88" t="s">
        <v>168</v>
      </c>
      <c r="B405" s="108">
        <v>3</v>
      </c>
      <c r="C405" s="108">
        <v>1</v>
      </c>
      <c r="D405" s="108">
        <v>3.4443430656934342</v>
      </c>
      <c r="E405" s="108">
        <v>6.4781021897810209</v>
      </c>
      <c r="F405" s="108">
        <v>6.8088503649635026</v>
      </c>
      <c r="G405" s="108">
        <v>98.471715328467141</v>
      </c>
      <c r="H405" s="108">
        <v>88.252737226277375</v>
      </c>
      <c r="I405" s="108">
        <v>0</v>
      </c>
      <c r="J405" s="108">
        <v>0</v>
      </c>
      <c r="K405" s="108">
        <v>0</v>
      </c>
      <c r="L405" s="108">
        <v>1</v>
      </c>
      <c r="M405" s="134">
        <v>0</v>
      </c>
      <c r="N405" s="134">
        <v>31</v>
      </c>
      <c r="O405" s="134">
        <v>95000</v>
      </c>
      <c r="P405" s="133">
        <v>0</v>
      </c>
      <c r="Q405" s="133">
        <v>0</v>
      </c>
      <c r="R405" s="133">
        <v>0</v>
      </c>
      <c r="S405" s="133">
        <v>0</v>
      </c>
    </row>
    <row r="406" spans="1:19">
      <c r="A406" s="88" t="s">
        <v>168</v>
      </c>
      <c r="B406" s="108">
        <v>4</v>
      </c>
      <c r="C406" s="108">
        <v>1</v>
      </c>
      <c r="D406" s="108">
        <v>0.94662408759124128</v>
      </c>
      <c r="E406" s="108">
        <v>0</v>
      </c>
      <c r="F406" s="108">
        <v>6.9571167883211658</v>
      </c>
      <c r="G406" s="108">
        <v>99.566605839416056</v>
      </c>
      <c r="H406" s="108">
        <v>99.475364963503637</v>
      </c>
      <c r="I406" s="108">
        <v>0</v>
      </c>
      <c r="J406" s="108">
        <v>0</v>
      </c>
      <c r="K406" s="108">
        <v>0</v>
      </c>
      <c r="L406" s="108">
        <v>1</v>
      </c>
      <c r="M406" s="134">
        <v>0</v>
      </c>
      <c r="N406" s="134">
        <v>31</v>
      </c>
      <c r="O406" s="134">
        <v>95000</v>
      </c>
      <c r="P406" s="133">
        <v>0</v>
      </c>
      <c r="Q406" s="133">
        <v>0</v>
      </c>
      <c r="R406" s="133">
        <v>0</v>
      </c>
      <c r="S406" s="133">
        <v>0</v>
      </c>
    </row>
    <row r="407" spans="1:19">
      <c r="A407" s="88" t="s">
        <v>168</v>
      </c>
      <c r="B407" s="108">
        <v>5</v>
      </c>
      <c r="C407" s="108">
        <v>1</v>
      </c>
      <c r="D407" s="108">
        <v>1.7449817518248201</v>
      </c>
      <c r="E407" s="108">
        <v>3.0907846715328482</v>
      </c>
      <c r="F407" s="108">
        <v>7.3334854014598552</v>
      </c>
      <c r="G407" s="108">
        <v>78.752281021897801</v>
      </c>
      <c r="H407" s="108">
        <v>95.643248175182478</v>
      </c>
      <c r="I407" s="108">
        <v>0</v>
      </c>
      <c r="J407" s="108">
        <v>0</v>
      </c>
      <c r="K407" s="108">
        <v>0</v>
      </c>
      <c r="L407" s="108">
        <v>1</v>
      </c>
      <c r="M407" s="134">
        <v>0</v>
      </c>
      <c r="N407" s="134">
        <v>31</v>
      </c>
      <c r="O407" s="134">
        <v>95000</v>
      </c>
      <c r="P407" s="133">
        <v>0</v>
      </c>
      <c r="Q407" s="133">
        <v>0</v>
      </c>
      <c r="R407" s="133">
        <v>0</v>
      </c>
      <c r="S407" s="133">
        <v>0</v>
      </c>
    </row>
    <row r="408" spans="1:19">
      <c r="A408" s="88" t="s">
        <v>168</v>
      </c>
      <c r="B408" s="108">
        <v>6</v>
      </c>
      <c r="C408" s="108">
        <v>1</v>
      </c>
      <c r="D408" s="108">
        <v>4.9726277372262757</v>
      </c>
      <c r="E408" s="108">
        <v>2.9197080291970821</v>
      </c>
      <c r="F408" s="108">
        <v>6.877281021897808</v>
      </c>
      <c r="G408" s="108">
        <v>93.077098540145982</v>
      </c>
      <c r="H408" s="108">
        <v>96.259124087591246</v>
      </c>
      <c r="I408" s="108">
        <v>0</v>
      </c>
      <c r="J408" s="108">
        <v>0</v>
      </c>
      <c r="K408" s="108">
        <v>0</v>
      </c>
      <c r="L408" s="108">
        <v>1</v>
      </c>
      <c r="M408" s="134">
        <v>0</v>
      </c>
      <c r="N408" s="134">
        <v>31</v>
      </c>
      <c r="O408" s="134">
        <v>95000</v>
      </c>
      <c r="P408" s="133">
        <v>0</v>
      </c>
      <c r="Q408" s="133">
        <v>0</v>
      </c>
      <c r="R408" s="133">
        <v>0</v>
      </c>
      <c r="S408" s="133">
        <v>0</v>
      </c>
    </row>
    <row r="409" spans="1:19">
      <c r="A409" s="88" t="s">
        <v>168</v>
      </c>
      <c r="B409" s="108">
        <v>7</v>
      </c>
      <c r="C409" s="108">
        <v>1</v>
      </c>
      <c r="D409" s="108">
        <v>3.0801786973900791</v>
      </c>
      <c r="E409" s="108">
        <v>50</v>
      </c>
      <c r="F409" s="108">
        <v>13.719727251351991</v>
      </c>
      <c r="G409" s="108">
        <v>92.899130025864096</v>
      </c>
      <c r="H409" s="108">
        <v>91.241476604749593</v>
      </c>
      <c r="I409" s="108">
        <v>0</v>
      </c>
      <c r="J409" s="108">
        <v>1</v>
      </c>
      <c r="K409" s="108">
        <v>0</v>
      </c>
      <c r="L409" s="108">
        <v>1</v>
      </c>
      <c r="M409" s="134">
        <v>0</v>
      </c>
      <c r="N409" s="134">
        <v>31</v>
      </c>
      <c r="O409" s="134">
        <v>95000</v>
      </c>
      <c r="P409" s="133">
        <v>0</v>
      </c>
      <c r="Q409" s="133">
        <v>0</v>
      </c>
      <c r="R409" s="133">
        <v>0</v>
      </c>
      <c r="S409" s="133">
        <v>0</v>
      </c>
    </row>
    <row r="410" spans="1:19">
      <c r="A410" s="88" t="s">
        <v>169</v>
      </c>
      <c r="B410" s="108">
        <v>1</v>
      </c>
      <c r="C410" s="108">
        <v>1</v>
      </c>
      <c r="D410" s="108">
        <v>5.6632041550139842</v>
      </c>
      <c r="E410" s="108">
        <v>9.278865361566119</v>
      </c>
      <c r="F410" s="108">
        <v>8.9792249300839018</v>
      </c>
      <c r="G410" s="108">
        <v>90.681182580902913</v>
      </c>
      <c r="H410" s="108">
        <v>18.68757491010787</v>
      </c>
      <c r="I410" s="108">
        <v>1</v>
      </c>
      <c r="J410" s="108">
        <v>0</v>
      </c>
      <c r="K410" s="108">
        <v>0</v>
      </c>
      <c r="L410" s="108">
        <v>1</v>
      </c>
      <c r="M410" s="134">
        <v>1</v>
      </c>
      <c r="N410" s="134">
        <v>21</v>
      </c>
      <c r="O410" s="134">
        <v>75000</v>
      </c>
      <c r="P410" s="133">
        <v>0</v>
      </c>
      <c r="Q410" s="133">
        <v>0</v>
      </c>
      <c r="R410" s="133">
        <v>0</v>
      </c>
      <c r="S410" s="133">
        <v>0</v>
      </c>
    </row>
    <row r="411" spans="1:19">
      <c r="A411" s="88" t="s">
        <v>169</v>
      </c>
      <c r="B411" s="108">
        <v>2</v>
      </c>
      <c r="C411" s="108">
        <v>1</v>
      </c>
      <c r="D411" s="108">
        <v>3.8154214942069502</v>
      </c>
      <c r="E411" s="108">
        <v>8.1502197363164228</v>
      </c>
      <c r="F411" s="108">
        <v>16.320415501398319</v>
      </c>
      <c r="G411" s="108">
        <v>94.506592089492614</v>
      </c>
      <c r="H411" s="108">
        <v>92.01957650819017</v>
      </c>
      <c r="I411" s="108">
        <v>0</v>
      </c>
      <c r="J411" s="108">
        <v>0</v>
      </c>
      <c r="K411" s="108">
        <v>0</v>
      </c>
      <c r="L411" s="108">
        <v>1</v>
      </c>
      <c r="M411" s="134">
        <v>1</v>
      </c>
      <c r="N411" s="134">
        <v>21</v>
      </c>
      <c r="O411" s="134">
        <v>75000</v>
      </c>
      <c r="P411" s="133">
        <v>0</v>
      </c>
      <c r="Q411" s="133">
        <v>0</v>
      </c>
      <c r="R411" s="133">
        <v>0</v>
      </c>
      <c r="S411" s="133">
        <v>0</v>
      </c>
    </row>
    <row r="412" spans="1:19">
      <c r="A412" s="88" t="s">
        <v>169</v>
      </c>
      <c r="B412" s="108">
        <v>5</v>
      </c>
      <c r="C412" s="108">
        <v>1</v>
      </c>
      <c r="D412" s="108">
        <v>10.30016945049625</v>
      </c>
      <c r="E412" s="108">
        <v>11.72839506172839</v>
      </c>
      <c r="F412" s="108">
        <v>32.728152989590903</v>
      </c>
      <c r="G412" s="108">
        <v>82.873396272089082</v>
      </c>
      <c r="H412" s="108">
        <v>92.955700798838052</v>
      </c>
      <c r="I412" s="108">
        <v>0</v>
      </c>
      <c r="J412" s="108">
        <v>0</v>
      </c>
      <c r="K412" s="108">
        <v>0</v>
      </c>
      <c r="L412" s="108">
        <v>1</v>
      </c>
      <c r="M412" s="134">
        <v>1</v>
      </c>
      <c r="N412" s="134">
        <v>21</v>
      </c>
      <c r="O412" s="134">
        <v>75000</v>
      </c>
      <c r="P412" s="133">
        <v>0</v>
      </c>
      <c r="Q412" s="133">
        <v>0</v>
      </c>
      <c r="R412" s="133">
        <v>0</v>
      </c>
      <c r="S412" s="133">
        <v>0</v>
      </c>
    </row>
    <row r="413" spans="1:19">
      <c r="A413" s="88" t="s">
        <v>169</v>
      </c>
      <c r="B413" s="108">
        <v>6</v>
      </c>
      <c r="C413" s="108">
        <v>1</v>
      </c>
      <c r="D413" s="108">
        <v>36.698136044541272</v>
      </c>
      <c r="E413" s="108">
        <v>2.493343016218835</v>
      </c>
      <c r="F413" s="108">
        <v>5.2408617768094912</v>
      </c>
      <c r="G413" s="108">
        <v>63.301863955458728</v>
      </c>
      <c r="H413" s="108">
        <v>77.184701040910198</v>
      </c>
      <c r="I413" s="108">
        <v>0</v>
      </c>
      <c r="J413" s="108">
        <v>0</v>
      </c>
      <c r="K413" s="108">
        <v>0</v>
      </c>
      <c r="L413" s="108">
        <v>1</v>
      </c>
      <c r="M413" s="134">
        <v>1</v>
      </c>
      <c r="N413" s="134">
        <v>21</v>
      </c>
      <c r="O413" s="134">
        <v>75000</v>
      </c>
      <c r="P413" s="133">
        <v>0</v>
      </c>
      <c r="Q413" s="133">
        <v>0</v>
      </c>
      <c r="R413" s="133">
        <v>0</v>
      </c>
      <c r="S413" s="133">
        <v>0</v>
      </c>
    </row>
    <row r="414" spans="1:19">
      <c r="A414" s="88" t="s">
        <v>169</v>
      </c>
      <c r="B414" s="108">
        <v>7</v>
      </c>
      <c r="C414" s="108">
        <v>1</v>
      </c>
      <c r="D414" s="108">
        <v>18.579036552892759</v>
      </c>
      <c r="E414" s="108">
        <v>6.0396998305495053</v>
      </c>
      <c r="F414" s="108">
        <v>7.6494795449043806</v>
      </c>
      <c r="G414" s="108">
        <v>93.960300169450491</v>
      </c>
      <c r="H414" s="108">
        <v>88.090050835148872</v>
      </c>
      <c r="I414" s="108">
        <v>0</v>
      </c>
      <c r="J414" s="108">
        <v>1</v>
      </c>
      <c r="K414" s="108">
        <v>0</v>
      </c>
      <c r="L414" s="108">
        <v>1</v>
      </c>
      <c r="M414" s="134">
        <v>1</v>
      </c>
      <c r="N414" s="134">
        <v>21</v>
      </c>
      <c r="O414" s="134">
        <v>75000</v>
      </c>
      <c r="P414" s="133">
        <v>0</v>
      </c>
      <c r="Q414" s="133">
        <v>0</v>
      </c>
      <c r="R414" s="133">
        <v>0</v>
      </c>
      <c r="S414" s="133">
        <v>0</v>
      </c>
    </row>
    <row r="415" spans="1:19">
      <c r="A415" s="88" t="s">
        <v>170</v>
      </c>
      <c r="B415" s="108">
        <v>1</v>
      </c>
      <c r="C415" s="108">
        <v>1</v>
      </c>
      <c r="D415" s="108">
        <v>94.623655913978496</v>
      </c>
      <c r="E415" s="108">
        <v>49.354838709677423</v>
      </c>
      <c r="F415" s="108">
        <v>5.913978494623656</v>
      </c>
      <c r="G415" s="108">
        <v>3.333333333333333</v>
      </c>
      <c r="H415" s="108">
        <v>7.2043010752688152</v>
      </c>
      <c r="I415" s="108">
        <v>1</v>
      </c>
      <c r="J415" s="108">
        <v>0</v>
      </c>
      <c r="K415" s="108">
        <v>1</v>
      </c>
      <c r="L415" s="108">
        <v>1</v>
      </c>
      <c r="M415" s="134">
        <v>0</v>
      </c>
      <c r="N415" s="134">
        <v>61</v>
      </c>
      <c r="O415" s="134">
        <v>120000</v>
      </c>
      <c r="P415" s="133">
        <v>0</v>
      </c>
      <c r="Q415" s="133">
        <v>1</v>
      </c>
      <c r="R415" s="133">
        <v>1</v>
      </c>
      <c r="S415" s="133">
        <v>1</v>
      </c>
    </row>
    <row r="416" spans="1:19">
      <c r="A416" s="88" t="s">
        <v>170</v>
      </c>
      <c r="B416" s="108">
        <v>2</v>
      </c>
      <c r="C416" s="108">
        <v>1</v>
      </c>
      <c r="D416" s="108">
        <v>1.0752688172042999</v>
      </c>
      <c r="E416" s="108">
        <v>0.96774193548387344</v>
      </c>
      <c r="F416" s="108">
        <v>1.8279569892473151</v>
      </c>
      <c r="G416" s="108">
        <v>98.172043010752688</v>
      </c>
      <c r="H416" s="108">
        <v>90.107526881720432</v>
      </c>
      <c r="I416" s="108">
        <v>0</v>
      </c>
      <c r="J416" s="108">
        <v>0</v>
      </c>
      <c r="K416" s="108">
        <v>0</v>
      </c>
      <c r="L416" s="108">
        <v>1</v>
      </c>
      <c r="M416" s="134">
        <v>0</v>
      </c>
      <c r="N416" s="134">
        <v>61</v>
      </c>
      <c r="O416" s="134">
        <v>120000</v>
      </c>
      <c r="P416" s="133">
        <v>0</v>
      </c>
      <c r="Q416" s="133">
        <v>1</v>
      </c>
      <c r="R416" s="133">
        <v>1</v>
      </c>
      <c r="S416" s="133">
        <v>1</v>
      </c>
    </row>
    <row r="417" spans="1:19">
      <c r="A417" s="88" t="s">
        <v>170</v>
      </c>
      <c r="B417" s="108">
        <v>3</v>
      </c>
      <c r="C417" s="108">
        <v>1</v>
      </c>
      <c r="D417" s="108">
        <v>1.720430107526882</v>
      </c>
      <c r="E417" s="108">
        <v>0</v>
      </c>
      <c r="F417" s="108">
        <v>0.21505376344085891</v>
      </c>
      <c r="G417" s="108">
        <v>94.623655913978496</v>
      </c>
      <c r="H417" s="108">
        <v>89.354838709677423</v>
      </c>
      <c r="I417" s="108">
        <v>0</v>
      </c>
      <c r="J417" s="108">
        <v>0</v>
      </c>
      <c r="K417" s="108">
        <v>0</v>
      </c>
      <c r="L417" s="108">
        <v>1</v>
      </c>
      <c r="M417" s="134">
        <v>0</v>
      </c>
      <c r="N417" s="134">
        <v>61</v>
      </c>
      <c r="O417" s="134">
        <v>120000</v>
      </c>
      <c r="P417" s="133">
        <v>0</v>
      </c>
      <c r="Q417" s="133">
        <v>1</v>
      </c>
      <c r="R417" s="133">
        <v>1</v>
      </c>
      <c r="S417" s="133">
        <v>1</v>
      </c>
    </row>
    <row r="418" spans="1:19">
      <c r="A418" s="88" t="s">
        <v>170</v>
      </c>
      <c r="B418" s="108">
        <v>4</v>
      </c>
      <c r="C418" s="108">
        <v>1</v>
      </c>
      <c r="D418" s="108">
        <v>50</v>
      </c>
      <c r="E418" s="108">
        <v>7.0833333333333304</v>
      </c>
      <c r="F418" s="108">
        <v>3.7768817204301088</v>
      </c>
      <c r="G418" s="108">
        <v>96.236559139784944</v>
      </c>
      <c r="H418" s="108">
        <v>94.731182795698913</v>
      </c>
      <c r="I418" s="108">
        <v>0</v>
      </c>
      <c r="J418" s="108">
        <v>0</v>
      </c>
      <c r="K418" s="108">
        <v>0</v>
      </c>
      <c r="L418" s="108">
        <v>1</v>
      </c>
      <c r="M418" s="134">
        <v>0</v>
      </c>
      <c r="N418" s="134">
        <v>61</v>
      </c>
      <c r="O418" s="134">
        <v>120000</v>
      </c>
      <c r="P418" s="133">
        <v>0</v>
      </c>
      <c r="Q418" s="133">
        <v>1</v>
      </c>
      <c r="R418" s="133">
        <v>1</v>
      </c>
      <c r="S418" s="133">
        <v>1</v>
      </c>
    </row>
    <row r="419" spans="1:19">
      <c r="A419" s="88" t="s">
        <v>170</v>
      </c>
      <c r="B419" s="108">
        <v>5</v>
      </c>
      <c r="C419" s="108">
        <v>1</v>
      </c>
      <c r="D419" s="108">
        <v>2.4731182795698912</v>
      </c>
      <c r="E419" s="108">
        <v>1.0752688172042999</v>
      </c>
      <c r="F419" s="108">
        <v>16.236559139784941</v>
      </c>
      <c r="G419" s="108">
        <v>98.27956989247312</v>
      </c>
      <c r="H419" s="108">
        <v>87.849462365591393</v>
      </c>
      <c r="I419" s="108">
        <v>0</v>
      </c>
      <c r="J419" s="108">
        <v>0</v>
      </c>
      <c r="K419" s="108">
        <v>0</v>
      </c>
      <c r="L419" s="108">
        <v>1</v>
      </c>
      <c r="M419" s="134">
        <v>0</v>
      </c>
      <c r="N419" s="134">
        <v>61</v>
      </c>
      <c r="O419" s="134">
        <v>120000</v>
      </c>
      <c r="P419" s="133">
        <v>0</v>
      </c>
      <c r="Q419" s="133">
        <v>1</v>
      </c>
      <c r="R419" s="133">
        <v>1</v>
      </c>
      <c r="S419" s="133">
        <v>1</v>
      </c>
    </row>
    <row r="420" spans="1:19">
      <c r="A420" s="88" t="s">
        <v>170</v>
      </c>
      <c r="B420" s="108">
        <v>6</v>
      </c>
      <c r="C420" s="108">
        <v>1</v>
      </c>
      <c r="D420" s="108">
        <v>11.0752688172043</v>
      </c>
      <c r="E420" s="108">
        <v>1.397849462365591</v>
      </c>
      <c r="F420" s="108">
        <v>96.451612903225808</v>
      </c>
      <c r="G420" s="108">
        <v>97.419354838709666</v>
      </c>
      <c r="H420" s="108">
        <v>97.204301075268816</v>
      </c>
      <c r="I420" s="108">
        <v>0</v>
      </c>
      <c r="J420" s="108">
        <v>0</v>
      </c>
      <c r="K420" s="108">
        <v>0</v>
      </c>
      <c r="L420" s="108">
        <v>1</v>
      </c>
      <c r="M420" s="134">
        <v>0</v>
      </c>
      <c r="N420" s="134">
        <v>61</v>
      </c>
      <c r="O420" s="134">
        <v>120000</v>
      </c>
      <c r="P420" s="133">
        <v>0</v>
      </c>
      <c r="Q420" s="133">
        <v>1</v>
      </c>
      <c r="R420" s="133">
        <v>1</v>
      </c>
      <c r="S420" s="133">
        <v>1</v>
      </c>
    </row>
    <row r="421" spans="1:19">
      <c r="A421" s="88" t="s">
        <v>170</v>
      </c>
      <c r="B421" s="108">
        <v>7</v>
      </c>
      <c r="C421" s="108">
        <v>1</v>
      </c>
      <c r="D421" s="108">
        <v>0.21505376344085891</v>
      </c>
      <c r="E421" s="108">
        <v>8.2795698924731163</v>
      </c>
      <c r="F421" s="108">
        <v>0.21505376344085891</v>
      </c>
      <c r="G421" s="108">
        <v>99.018817204301087</v>
      </c>
      <c r="H421" s="108">
        <v>96.895161290322591</v>
      </c>
      <c r="I421" s="108">
        <v>0</v>
      </c>
      <c r="J421" s="108">
        <v>1</v>
      </c>
      <c r="K421" s="108">
        <v>0</v>
      </c>
      <c r="L421" s="108">
        <v>1</v>
      </c>
      <c r="M421" s="134">
        <v>0</v>
      </c>
      <c r="N421" s="134">
        <v>61</v>
      </c>
      <c r="O421" s="134">
        <v>120000</v>
      </c>
      <c r="P421" s="133">
        <v>0</v>
      </c>
      <c r="Q421" s="133">
        <v>1</v>
      </c>
      <c r="R421" s="133">
        <v>1</v>
      </c>
      <c r="S421" s="133">
        <v>1</v>
      </c>
    </row>
    <row r="422" spans="1:19">
      <c r="A422" s="88" t="s">
        <v>171</v>
      </c>
      <c r="B422" s="108">
        <v>1</v>
      </c>
      <c r="C422" s="108">
        <v>1</v>
      </c>
      <c r="D422" s="108">
        <v>92.829388908512882</v>
      </c>
      <c r="E422" s="108">
        <v>98.843164959378299</v>
      </c>
      <c r="F422" s="108">
        <v>77.013422818791938</v>
      </c>
      <c r="G422" s="108">
        <v>6.6319321794418906</v>
      </c>
      <c r="H422" s="108">
        <v>5.7400211939244103</v>
      </c>
      <c r="I422" s="108">
        <v>1</v>
      </c>
      <c r="J422" s="108">
        <v>0</v>
      </c>
      <c r="K422" s="108">
        <v>1</v>
      </c>
      <c r="L422" s="108">
        <v>1</v>
      </c>
      <c r="M422" s="134">
        <v>0</v>
      </c>
      <c r="N422" s="134">
        <v>32</v>
      </c>
      <c r="O422" s="134">
        <v>45000</v>
      </c>
      <c r="P422" s="133">
        <v>1</v>
      </c>
      <c r="Q422" s="133">
        <v>1</v>
      </c>
      <c r="R422" s="133">
        <v>1</v>
      </c>
      <c r="S422" s="133">
        <v>1</v>
      </c>
    </row>
    <row r="423" spans="1:19">
      <c r="A423" s="88" t="s">
        <v>171</v>
      </c>
      <c r="B423" s="108">
        <v>2</v>
      </c>
      <c r="C423" s="108">
        <v>1</v>
      </c>
      <c r="D423" s="108">
        <v>100</v>
      </c>
      <c r="E423" s="108">
        <v>99.408336276933952</v>
      </c>
      <c r="F423" s="108">
        <v>18.262098198516419</v>
      </c>
      <c r="G423" s="108">
        <v>87.177675732956544</v>
      </c>
      <c r="H423" s="108">
        <v>8.8308018368067778</v>
      </c>
      <c r="I423" s="108">
        <v>0</v>
      </c>
      <c r="J423" s="108">
        <v>0</v>
      </c>
      <c r="K423" s="108">
        <v>1</v>
      </c>
      <c r="L423" s="108">
        <v>1</v>
      </c>
      <c r="M423" s="134">
        <v>0</v>
      </c>
      <c r="N423" s="134">
        <v>32</v>
      </c>
      <c r="O423" s="134">
        <v>45000</v>
      </c>
      <c r="P423" s="133">
        <v>1</v>
      </c>
      <c r="Q423" s="133">
        <v>1</v>
      </c>
      <c r="R423" s="133">
        <v>1</v>
      </c>
      <c r="S423" s="133">
        <v>1</v>
      </c>
    </row>
    <row r="424" spans="1:19">
      <c r="A424" s="88" t="s">
        <v>171</v>
      </c>
      <c r="B424" s="108">
        <v>3</v>
      </c>
      <c r="C424" s="108">
        <v>1</v>
      </c>
      <c r="D424" s="108">
        <v>5.2896503002472617</v>
      </c>
      <c r="E424" s="108">
        <v>2.2165312610385008</v>
      </c>
      <c r="F424" s="108">
        <v>2.207700459201694</v>
      </c>
      <c r="G424" s="108">
        <v>66.601907453196745</v>
      </c>
      <c r="H424" s="108">
        <v>88.94383610031791</v>
      </c>
      <c r="I424" s="108">
        <v>0</v>
      </c>
      <c r="J424" s="108">
        <v>0</v>
      </c>
      <c r="K424" s="108">
        <v>0</v>
      </c>
      <c r="L424" s="108">
        <v>1</v>
      </c>
      <c r="M424" s="134">
        <v>0</v>
      </c>
      <c r="N424" s="134">
        <v>32</v>
      </c>
      <c r="O424" s="134">
        <v>45000</v>
      </c>
      <c r="P424" s="133">
        <v>1</v>
      </c>
      <c r="Q424" s="133">
        <v>1</v>
      </c>
      <c r="R424" s="133">
        <v>1</v>
      </c>
      <c r="S424" s="133">
        <v>1</v>
      </c>
    </row>
    <row r="425" spans="1:19">
      <c r="A425" s="88" t="s">
        <v>171</v>
      </c>
      <c r="B425" s="108">
        <v>4</v>
      </c>
      <c r="C425" s="108">
        <v>1</v>
      </c>
      <c r="D425" s="108">
        <v>50</v>
      </c>
      <c r="E425" s="108">
        <v>92.45143840668797</v>
      </c>
      <c r="F425" s="108">
        <v>98.512417014998775</v>
      </c>
      <c r="G425" s="108">
        <v>63.535775756085563</v>
      </c>
      <c r="H425" s="108">
        <v>24.010327022375211</v>
      </c>
      <c r="I425" s="108">
        <v>0</v>
      </c>
      <c r="J425" s="108">
        <v>0</v>
      </c>
      <c r="K425" s="108">
        <v>1</v>
      </c>
      <c r="L425" s="108">
        <v>1</v>
      </c>
      <c r="M425" s="134">
        <v>0</v>
      </c>
      <c r="N425" s="134">
        <v>32</v>
      </c>
      <c r="O425" s="134">
        <v>45000</v>
      </c>
      <c r="P425" s="133">
        <v>1</v>
      </c>
      <c r="Q425" s="133">
        <v>1</v>
      </c>
      <c r="R425" s="133">
        <v>1</v>
      </c>
      <c r="S425" s="133">
        <v>1</v>
      </c>
    </row>
    <row r="426" spans="1:19">
      <c r="A426" s="88" t="s">
        <v>171</v>
      </c>
      <c r="B426" s="108">
        <v>6</v>
      </c>
      <c r="C426" s="108">
        <v>1</v>
      </c>
      <c r="D426" s="108">
        <v>14.371772805507741</v>
      </c>
      <c r="E426" s="108">
        <v>7.794443078436192</v>
      </c>
      <c r="F426" s="108">
        <v>2.6555200393410359</v>
      </c>
      <c r="G426" s="108">
        <v>76.395377428079669</v>
      </c>
      <c r="H426" s="108">
        <v>7.3518564052126862</v>
      </c>
      <c r="I426" s="108">
        <v>0</v>
      </c>
      <c r="J426" s="108">
        <v>0</v>
      </c>
      <c r="K426" s="108">
        <v>0</v>
      </c>
      <c r="L426" s="108">
        <v>1</v>
      </c>
      <c r="M426" s="134">
        <v>0</v>
      </c>
      <c r="N426" s="134">
        <v>32</v>
      </c>
      <c r="O426" s="134">
        <v>45000</v>
      </c>
      <c r="P426" s="133">
        <v>1</v>
      </c>
      <c r="Q426" s="133">
        <v>1</v>
      </c>
      <c r="R426" s="133">
        <v>1</v>
      </c>
      <c r="S426" s="133">
        <v>1</v>
      </c>
    </row>
    <row r="427" spans="1:19">
      <c r="A427" s="88" t="s">
        <v>171</v>
      </c>
      <c r="B427" s="108">
        <v>7</v>
      </c>
      <c r="C427" s="108">
        <v>1</v>
      </c>
      <c r="D427" s="108">
        <v>22.5473321858864</v>
      </c>
      <c r="E427" s="108">
        <v>8.8148512417014988</v>
      </c>
      <c r="F427" s="108">
        <v>9.8352594049668056</v>
      </c>
      <c r="G427" s="108">
        <v>94.246373248094415</v>
      </c>
      <c r="H427" s="108">
        <v>94.246373248094415</v>
      </c>
      <c r="I427" s="108">
        <v>0</v>
      </c>
      <c r="J427" s="108">
        <v>1</v>
      </c>
      <c r="K427" s="108">
        <v>0</v>
      </c>
      <c r="L427" s="108">
        <v>1</v>
      </c>
      <c r="M427" s="134">
        <v>0</v>
      </c>
      <c r="N427" s="134">
        <v>32</v>
      </c>
      <c r="O427" s="134">
        <v>45000</v>
      </c>
      <c r="P427" s="133">
        <v>1</v>
      </c>
      <c r="Q427" s="133">
        <v>1</v>
      </c>
      <c r="R427" s="133">
        <v>1</v>
      </c>
      <c r="S427" s="133">
        <v>1</v>
      </c>
    </row>
    <row r="428" spans="1:19">
      <c r="A428" s="88" t="s">
        <v>172</v>
      </c>
      <c r="B428" s="108">
        <v>7</v>
      </c>
      <c r="C428" s="108">
        <v>1</v>
      </c>
      <c r="D428" s="108">
        <v>9.3998131714152287</v>
      </c>
      <c r="E428" s="108">
        <v>7.6015880429705751</v>
      </c>
      <c r="F428" s="108">
        <v>12.447454460532461</v>
      </c>
      <c r="G428" s="108">
        <v>50</v>
      </c>
      <c r="H428" s="108">
        <v>50</v>
      </c>
      <c r="I428" s="108">
        <v>0</v>
      </c>
      <c r="J428" s="108">
        <v>1</v>
      </c>
      <c r="K428" s="108">
        <v>0</v>
      </c>
      <c r="L428" s="108">
        <v>1</v>
      </c>
      <c r="M428" s="134">
        <v>1</v>
      </c>
      <c r="N428" s="134">
        <v>58</v>
      </c>
      <c r="O428" s="134">
        <v>30000</v>
      </c>
      <c r="P428" s="133">
        <v>0</v>
      </c>
      <c r="Q428" s="133">
        <v>0</v>
      </c>
      <c r="R428" s="133">
        <v>1</v>
      </c>
      <c r="S428" s="133">
        <v>1</v>
      </c>
    </row>
    <row r="429" spans="1:19">
      <c r="A429" s="88" t="s">
        <v>173</v>
      </c>
      <c r="B429" s="108">
        <v>1</v>
      </c>
      <c r="C429" s="108">
        <v>1</v>
      </c>
      <c r="D429" s="108">
        <v>89.064102564102569</v>
      </c>
      <c r="E429" s="108">
        <v>97.846153846153854</v>
      </c>
      <c r="F429" s="108">
        <v>96.358974358974365</v>
      </c>
      <c r="G429" s="108">
        <v>3.320512820512822</v>
      </c>
      <c r="H429" s="108">
        <v>4.0641025641025621</v>
      </c>
      <c r="I429" s="108">
        <v>1</v>
      </c>
      <c r="J429" s="108">
        <v>0</v>
      </c>
      <c r="K429" s="108">
        <v>1</v>
      </c>
      <c r="L429" s="108">
        <v>1</v>
      </c>
      <c r="M429" s="134">
        <v>0</v>
      </c>
      <c r="N429" s="134">
        <v>29</v>
      </c>
      <c r="O429" s="134">
        <v>-99</v>
      </c>
      <c r="P429" s="133">
        <v>0</v>
      </c>
      <c r="Q429" s="133">
        <v>0</v>
      </c>
      <c r="R429" s="133">
        <v>1</v>
      </c>
      <c r="S429" s="133">
        <v>0</v>
      </c>
    </row>
    <row r="430" spans="1:19">
      <c r="A430" s="88" t="s">
        <v>173</v>
      </c>
      <c r="B430" s="108">
        <v>2</v>
      </c>
      <c r="C430" s="108">
        <v>1</v>
      </c>
      <c r="D430" s="108">
        <v>7.5000000000000009</v>
      </c>
      <c r="E430" s="108">
        <v>10.935897435897431</v>
      </c>
      <c r="F430" s="108">
        <v>16.92307692307692</v>
      </c>
      <c r="G430" s="108">
        <v>85.230769230769226</v>
      </c>
      <c r="H430" s="108">
        <v>6</v>
      </c>
      <c r="I430" s="108">
        <v>0</v>
      </c>
      <c r="J430" s="108">
        <v>0</v>
      </c>
      <c r="K430" s="108">
        <v>0</v>
      </c>
      <c r="L430" s="108">
        <v>1</v>
      </c>
      <c r="M430" s="134">
        <v>0</v>
      </c>
      <c r="N430" s="134">
        <v>29</v>
      </c>
      <c r="O430" s="134">
        <v>-99</v>
      </c>
      <c r="P430" s="133">
        <v>0</v>
      </c>
      <c r="Q430" s="133">
        <v>0</v>
      </c>
      <c r="R430" s="133">
        <v>1</v>
      </c>
      <c r="S430" s="133">
        <v>0</v>
      </c>
    </row>
    <row r="431" spans="1:19">
      <c r="A431" s="88" t="s">
        <v>173</v>
      </c>
      <c r="B431" s="108">
        <v>3</v>
      </c>
      <c r="C431" s="108">
        <v>1</v>
      </c>
      <c r="D431" s="108">
        <v>1.0000000000000011</v>
      </c>
      <c r="E431" s="108">
        <v>14.57692307692308</v>
      </c>
      <c r="F431" s="108">
        <v>5.7051282051282071</v>
      </c>
      <c r="G431" s="108">
        <v>97.115384615384613</v>
      </c>
      <c r="H431" s="108">
        <v>1.0000000000000011</v>
      </c>
      <c r="I431" s="108">
        <v>0</v>
      </c>
      <c r="J431" s="108">
        <v>0</v>
      </c>
      <c r="K431" s="108">
        <v>0</v>
      </c>
      <c r="L431" s="108">
        <v>1</v>
      </c>
      <c r="M431" s="134">
        <v>0</v>
      </c>
      <c r="N431" s="134">
        <v>29</v>
      </c>
      <c r="O431" s="134">
        <v>-99</v>
      </c>
      <c r="P431" s="133">
        <v>0</v>
      </c>
      <c r="Q431" s="133">
        <v>0</v>
      </c>
      <c r="R431" s="133">
        <v>1</v>
      </c>
      <c r="S431" s="133">
        <v>0</v>
      </c>
    </row>
    <row r="432" spans="1:19">
      <c r="A432" s="88" t="s">
        <v>173</v>
      </c>
      <c r="B432" s="108">
        <v>4</v>
      </c>
      <c r="C432" s="108">
        <v>1</v>
      </c>
      <c r="D432" s="108">
        <v>4.4871794871794881</v>
      </c>
      <c r="E432" s="108">
        <v>9.2179487179487207</v>
      </c>
      <c r="F432" s="108">
        <v>9.8461538461538485</v>
      </c>
      <c r="G432" s="108">
        <v>95.051282051282044</v>
      </c>
      <c r="H432" s="108">
        <v>22.910256410256409</v>
      </c>
      <c r="I432" s="108">
        <v>0</v>
      </c>
      <c r="J432" s="108">
        <v>0</v>
      </c>
      <c r="K432" s="108">
        <v>0</v>
      </c>
      <c r="L432" s="108">
        <v>1</v>
      </c>
      <c r="M432" s="134">
        <v>0</v>
      </c>
      <c r="N432" s="134">
        <v>29</v>
      </c>
      <c r="O432" s="134">
        <v>-99</v>
      </c>
      <c r="P432" s="133">
        <v>0</v>
      </c>
      <c r="Q432" s="133">
        <v>0</v>
      </c>
      <c r="R432" s="133">
        <v>1</v>
      </c>
      <c r="S432" s="133">
        <v>0</v>
      </c>
    </row>
    <row r="433" spans="1:19">
      <c r="A433" s="88" t="s">
        <v>173</v>
      </c>
      <c r="B433" s="108">
        <v>5</v>
      </c>
      <c r="C433" s="108">
        <v>1</v>
      </c>
      <c r="D433" s="108">
        <v>8.3589743589743577</v>
      </c>
      <c r="E433" s="108">
        <v>3.653846153846152</v>
      </c>
      <c r="F433" s="108">
        <v>2.166666666666667</v>
      </c>
      <c r="G433" s="108">
        <v>91.628205128205138</v>
      </c>
      <c r="H433" s="108">
        <v>0</v>
      </c>
      <c r="I433" s="108">
        <v>0</v>
      </c>
      <c r="J433" s="108">
        <v>0</v>
      </c>
      <c r="K433" s="108">
        <v>0</v>
      </c>
      <c r="L433" s="108">
        <v>1</v>
      </c>
      <c r="M433" s="134">
        <v>0</v>
      </c>
      <c r="N433" s="134">
        <v>29</v>
      </c>
      <c r="O433" s="134">
        <v>-99</v>
      </c>
      <c r="P433" s="133">
        <v>0</v>
      </c>
      <c r="Q433" s="133">
        <v>0</v>
      </c>
      <c r="R433" s="133">
        <v>1</v>
      </c>
      <c r="S433" s="133">
        <v>0</v>
      </c>
    </row>
    <row r="434" spans="1:19">
      <c r="A434" s="88" t="s">
        <v>173</v>
      </c>
      <c r="B434" s="108">
        <v>6</v>
      </c>
      <c r="C434" s="108">
        <v>1</v>
      </c>
      <c r="D434" s="108">
        <v>13.07692307692307</v>
      </c>
      <c r="E434" s="108">
        <v>9.8461538461538485</v>
      </c>
      <c r="F434" s="108">
        <v>6.6538461538461551</v>
      </c>
      <c r="G434" s="108">
        <v>94.192307692307679</v>
      </c>
      <c r="H434" s="108">
        <v>2.5769230769230771</v>
      </c>
      <c r="I434" s="108">
        <v>0</v>
      </c>
      <c r="J434" s="108">
        <v>0</v>
      </c>
      <c r="K434" s="108">
        <v>0</v>
      </c>
      <c r="L434" s="108">
        <v>1</v>
      </c>
      <c r="M434" s="134">
        <v>0</v>
      </c>
      <c r="N434" s="134">
        <v>29</v>
      </c>
      <c r="O434" s="134">
        <v>-99</v>
      </c>
      <c r="P434" s="133">
        <v>0</v>
      </c>
      <c r="Q434" s="133">
        <v>0</v>
      </c>
      <c r="R434" s="133">
        <v>1</v>
      </c>
      <c r="S434" s="133">
        <v>0</v>
      </c>
    </row>
    <row r="435" spans="1:19">
      <c r="A435" s="88" t="s">
        <v>173</v>
      </c>
      <c r="B435" s="108">
        <v>7</v>
      </c>
      <c r="C435" s="108">
        <v>1</v>
      </c>
      <c r="D435" s="108">
        <v>6.4358974358974361</v>
      </c>
      <c r="E435" s="108">
        <v>4.9358974358974352</v>
      </c>
      <c r="F435" s="108">
        <v>50</v>
      </c>
      <c r="G435" s="108">
        <v>92.923076923076934</v>
      </c>
      <c r="H435" s="108">
        <v>11.756410256410261</v>
      </c>
      <c r="I435" s="108">
        <v>0</v>
      </c>
      <c r="J435" s="108">
        <v>1</v>
      </c>
      <c r="K435" s="108">
        <v>0</v>
      </c>
      <c r="L435" s="108">
        <v>1</v>
      </c>
      <c r="M435" s="134">
        <v>0</v>
      </c>
      <c r="N435" s="134">
        <v>29</v>
      </c>
      <c r="O435" s="134">
        <v>-99</v>
      </c>
      <c r="P435" s="133">
        <v>0</v>
      </c>
      <c r="Q435" s="133">
        <v>0</v>
      </c>
      <c r="R435" s="133">
        <v>1</v>
      </c>
      <c r="S435" s="133">
        <v>0</v>
      </c>
    </row>
    <row r="436" spans="1:19">
      <c r="A436" s="88" t="s">
        <v>174</v>
      </c>
      <c r="B436" s="108">
        <v>1</v>
      </c>
      <c r="C436" s="108">
        <v>1</v>
      </c>
      <c r="D436" s="108">
        <v>99.387090595671324</v>
      </c>
      <c r="E436" s="108">
        <v>98.946561961310081</v>
      </c>
      <c r="F436" s="108">
        <v>91.12239034667688</v>
      </c>
      <c r="G436" s="108">
        <v>0.97682436314882048</v>
      </c>
      <c r="H436" s="108">
        <v>0.54587243823022158</v>
      </c>
      <c r="I436" s="108">
        <v>1</v>
      </c>
      <c r="J436" s="108">
        <v>0</v>
      </c>
      <c r="K436" s="108">
        <v>1</v>
      </c>
      <c r="L436" s="108">
        <v>1</v>
      </c>
      <c r="M436" s="134">
        <v>0</v>
      </c>
      <c r="N436" s="134">
        <v>54</v>
      </c>
      <c r="O436" s="134">
        <v>65000</v>
      </c>
      <c r="P436" s="133">
        <v>0</v>
      </c>
      <c r="Q436" s="133">
        <v>1</v>
      </c>
      <c r="R436" s="133">
        <v>1</v>
      </c>
      <c r="S436" s="133">
        <v>0</v>
      </c>
    </row>
    <row r="437" spans="1:19">
      <c r="A437" s="88" t="s">
        <v>174</v>
      </c>
      <c r="B437" s="108">
        <v>2</v>
      </c>
      <c r="C437" s="108">
        <v>1</v>
      </c>
      <c r="D437" s="108">
        <v>100</v>
      </c>
      <c r="E437" s="108">
        <v>93.420800612909403</v>
      </c>
      <c r="F437" s="108">
        <v>99.387090595671324</v>
      </c>
      <c r="G437" s="108">
        <v>0.74698333652556959</v>
      </c>
      <c r="H437" s="108">
        <v>13.64681095575561</v>
      </c>
      <c r="I437" s="108">
        <v>0</v>
      </c>
      <c r="J437" s="108">
        <v>0</v>
      </c>
      <c r="K437" s="108">
        <v>1</v>
      </c>
      <c r="L437" s="108">
        <v>1</v>
      </c>
      <c r="M437" s="134">
        <v>0</v>
      </c>
      <c r="N437" s="134">
        <v>54</v>
      </c>
      <c r="O437" s="134">
        <v>65000</v>
      </c>
      <c r="P437" s="133">
        <v>0</v>
      </c>
      <c r="Q437" s="133">
        <v>1</v>
      </c>
      <c r="R437" s="133">
        <v>1</v>
      </c>
      <c r="S437" s="133">
        <v>0</v>
      </c>
    </row>
    <row r="438" spans="1:19">
      <c r="A438" s="88" t="s">
        <v>174</v>
      </c>
      <c r="B438" s="108">
        <v>3</v>
      </c>
      <c r="C438" s="108">
        <v>1</v>
      </c>
      <c r="D438" s="108">
        <v>2.825364356941956</v>
      </c>
      <c r="E438" s="108">
        <v>50</v>
      </c>
      <c r="F438" s="108">
        <v>4.282792124776269</v>
      </c>
      <c r="G438" s="108">
        <v>12.464842751214521</v>
      </c>
      <c r="H438" s="108">
        <v>97.251342367680891</v>
      </c>
      <c r="I438" s="108">
        <v>0</v>
      </c>
      <c r="J438" s="108">
        <v>0</v>
      </c>
      <c r="K438" s="108">
        <v>0</v>
      </c>
      <c r="L438" s="108">
        <v>1</v>
      </c>
      <c r="M438" s="134">
        <v>0</v>
      </c>
      <c r="N438" s="134">
        <v>54</v>
      </c>
      <c r="O438" s="134">
        <v>65000</v>
      </c>
      <c r="P438" s="133">
        <v>0</v>
      </c>
      <c r="Q438" s="133">
        <v>1</v>
      </c>
      <c r="R438" s="133">
        <v>1</v>
      </c>
      <c r="S438" s="133">
        <v>0</v>
      </c>
    </row>
    <row r="439" spans="1:19">
      <c r="A439" s="88" t="s">
        <v>174</v>
      </c>
      <c r="B439" s="108">
        <v>5</v>
      </c>
      <c r="C439" s="108">
        <v>1</v>
      </c>
      <c r="D439" s="108">
        <v>2.5824597289695719</v>
      </c>
      <c r="E439" s="108">
        <v>6.4689337765277406</v>
      </c>
      <c r="F439" s="108">
        <v>2.5824597289695719</v>
      </c>
      <c r="G439" s="108">
        <v>85.272308872411145</v>
      </c>
      <c r="H439" s="108">
        <v>3.87368959345436</v>
      </c>
      <c r="I439" s="108">
        <v>0</v>
      </c>
      <c r="J439" s="108">
        <v>0</v>
      </c>
      <c r="K439" s="108">
        <v>0</v>
      </c>
      <c r="L439" s="108">
        <v>1</v>
      </c>
      <c r="M439" s="134">
        <v>0</v>
      </c>
      <c r="N439" s="134">
        <v>54</v>
      </c>
      <c r="O439" s="134">
        <v>65000</v>
      </c>
      <c r="P439" s="133">
        <v>0</v>
      </c>
      <c r="Q439" s="133">
        <v>1</v>
      </c>
      <c r="R439" s="133">
        <v>1</v>
      </c>
      <c r="S439" s="133">
        <v>0</v>
      </c>
    </row>
    <row r="440" spans="1:19">
      <c r="A440" s="88" t="s">
        <v>174</v>
      </c>
      <c r="B440" s="108">
        <v>7</v>
      </c>
      <c r="C440" s="108">
        <v>1</v>
      </c>
      <c r="D440" s="108">
        <v>1.278445410380979</v>
      </c>
      <c r="E440" s="108">
        <v>18.23063155203273</v>
      </c>
      <c r="F440" s="108">
        <v>2.6335975453848142</v>
      </c>
      <c r="G440" s="108">
        <v>81.871644080797751</v>
      </c>
      <c r="H440" s="108">
        <v>12.400920480695479</v>
      </c>
      <c r="I440" s="108">
        <v>0</v>
      </c>
      <c r="J440" s="108">
        <v>1</v>
      </c>
      <c r="K440" s="108">
        <v>0</v>
      </c>
      <c r="L440" s="108">
        <v>1</v>
      </c>
      <c r="M440" s="134">
        <v>0</v>
      </c>
      <c r="N440" s="134">
        <v>54</v>
      </c>
      <c r="O440" s="134">
        <v>65000</v>
      </c>
      <c r="P440" s="133">
        <v>0</v>
      </c>
      <c r="Q440" s="133">
        <v>1</v>
      </c>
      <c r="R440" s="133">
        <v>1</v>
      </c>
      <c r="S440" s="133">
        <v>0</v>
      </c>
    </row>
    <row r="441" spans="1:19">
      <c r="A441" s="88" t="s">
        <v>175</v>
      </c>
      <c r="B441" s="108">
        <v>1</v>
      </c>
      <c r="C441" s="108">
        <v>1</v>
      </c>
      <c r="D441" s="108">
        <v>19.13564826380215</v>
      </c>
      <c r="E441" s="108">
        <v>50</v>
      </c>
      <c r="F441" s="108">
        <v>25.58081438920809</v>
      </c>
      <c r="G441" s="108">
        <v>13.32750437172121</v>
      </c>
      <c r="H441" s="108">
        <v>75.618286285286047</v>
      </c>
      <c r="I441" s="108">
        <v>1</v>
      </c>
      <c r="J441" s="108">
        <v>0</v>
      </c>
      <c r="K441" s="108">
        <v>0</v>
      </c>
      <c r="L441" s="108">
        <v>1</v>
      </c>
      <c r="M441" s="134">
        <v>0</v>
      </c>
      <c r="N441" s="134">
        <v>55</v>
      </c>
      <c r="O441" s="134">
        <v>48000</v>
      </c>
      <c r="P441" s="133">
        <v>0</v>
      </c>
      <c r="Q441" s="133">
        <v>0</v>
      </c>
      <c r="R441" s="133">
        <v>0</v>
      </c>
      <c r="S441" s="133">
        <v>1</v>
      </c>
    </row>
    <row r="442" spans="1:19">
      <c r="A442" s="88" t="s">
        <v>175</v>
      </c>
      <c r="B442" s="108">
        <v>2</v>
      </c>
      <c r="C442" s="108">
        <v>1</v>
      </c>
      <c r="D442" s="108">
        <v>92.892830377217081</v>
      </c>
      <c r="E442" s="108">
        <v>95.453409942543104</v>
      </c>
      <c r="F442" s="108">
        <v>90.107419435423424</v>
      </c>
      <c r="G442" s="108">
        <v>25.793155133649769</v>
      </c>
      <c r="H442" s="108">
        <v>9.9925056207844083</v>
      </c>
      <c r="I442" s="108">
        <v>0</v>
      </c>
      <c r="J442" s="108">
        <v>0</v>
      </c>
      <c r="K442" s="108">
        <v>1</v>
      </c>
      <c r="L442" s="108">
        <v>1</v>
      </c>
      <c r="M442" s="134">
        <v>0</v>
      </c>
      <c r="N442" s="134">
        <v>55</v>
      </c>
      <c r="O442" s="134">
        <v>48000</v>
      </c>
      <c r="P442" s="133">
        <v>0</v>
      </c>
      <c r="Q442" s="133">
        <v>0</v>
      </c>
      <c r="R442" s="133">
        <v>0</v>
      </c>
      <c r="S442" s="133">
        <v>1</v>
      </c>
    </row>
    <row r="443" spans="1:19">
      <c r="A443" s="88" t="s">
        <v>175</v>
      </c>
      <c r="B443" s="108">
        <v>3</v>
      </c>
      <c r="C443" s="108">
        <v>1</v>
      </c>
      <c r="D443" s="108">
        <v>15.23857107169623</v>
      </c>
      <c r="E443" s="108">
        <v>46.052960279790163</v>
      </c>
      <c r="F443" s="108">
        <v>24.656507619285541</v>
      </c>
      <c r="G443" s="108">
        <v>76.280289782663004</v>
      </c>
      <c r="H443" s="108">
        <v>66.025480889332997</v>
      </c>
      <c r="I443" s="108">
        <v>0</v>
      </c>
      <c r="J443" s="108">
        <v>0</v>
      </c>
      <c r="K443" s="108">
        <v>0</v>
      </c>
      <c r="L443" s="108">
        <v>1</v>
      </c>
      <c r="M443" s="134">
        <v>0</v>
      </c>
      <c r="N443" s="134">
        <v>55</v>
      </c>
      <c r="O443" s="134">
        <v>48000</v>
      </c>
      <c r="P443" s="133">
        <v>0</v>
      </c>
      <c r="Q443" s="133">
        <v>0</v>
      </c>
      <c r="R443" s="133">
        <v>0</v>
      </c>
      <c r="S443" s="133">
        <v>1</v>
      </c>
    </row>
    <row r="444" spans="1:19">
      <c r="A444" s="88" t="s">
        <v>175</v>
      </c>
      <c r="B444" s="108">
        <v>4</v>
      </c>
      <c r="C444" s="108">
        <v>1</v>
      </c>
      <c r="D444" s="108">
        <v>50</v>
      </c>
      <c r="E444" s="108">
        <v>20.59705221084187</v>
      </c>
      <c r="F444" s="108">
        <v>58.031476392705471</v>
      </c>
      <c r="G444" s="108">
        <v>0</v>
      </c>
      <c r="H444" s="108">
        <v>22.270796902323259</v>
      </c>
      <c r="I444" s="108">
        <v>0</v>
      </c>
      <c r="J444" s="108">
        <v>0</v>
      </c>
      <c r="K444" s="108">
        <v>0</v>
      </c>
      <c r="L444" s="108">
        <v>1</v>
      </c>
      <c r="M444" s="134">
        <v>0</v>
      </c>
      <c r="N444" s="134">
        <v>55</v>
      </c>
      <c r="O444" s="134">
        <v>48000</v>
      </c>
      <c r="P444" s="133">
        <v>0</v>
      </c>
      <c r="Q444" s="133">
        <v>0</v>
      </c>
      <c r="R444" s="133">
        <v>0</v>
      </c>
      <c r="S444" s="133">
        <v>1</v>
      </c>
    </row>
    <row r="445" spans="1:19">
      <c r="A445" s="88" t="s">
        <v>175</v>
      </c>
      <c r="B445" s="108">
        <v>5</v>
      </c>
      <c r="C445" s="108">
        <v>1</v>
      </c>
      <c r="D445" s="108">
        <v>82.737946540094924</v>
      </c>
      <c r="E445" s="108">
        <v>90.332250811891086</v>
      </c>
      <c r="F445" s="108">
        <v>50</v>
      </c>
      <c r="G445" s="108">
        <v>12.6280289782663</v>
      </c>
      <c r="H445" s="108">
        <v>11.76617536847364</v>
      </c>
      <c r="I445" s="108">
        <v>0</v>
      </c>
      <c r="J445" s="108">
        <v>0</v>
      </c>
      <c r="K445" s="108">
        <v>1</v>
      </c>
      <c r="L445" s="108">
        <v>1</v>
      </c>
      <c r="M445" s="134">
        <v>0</v>
      </c>
      <c r="N445" s="134">
        <v>55</v>
      </c>
      <c r="O445" s="134">
        <v>48000</v>
      </c>
      <c r="P445" s="133">
        <v>0</v>
      </c>
      <c r="Q445" s="133">
        <v>0</v>
      </c>
      <c r="R445" s="133">
        <v>0</v>
      </c>
      <c r="S445" s="133">
        <v>1</v>
      </c>
    </row>
    <row r="446" spans="1:19">
      <c r="A446" s="88" t="s">
        <v>175</v>
      </c>
      <c r="B446" s="108">
        <v>7</v>
      </c>
      <c r="C446" s="108">
        <v>1</v>
      </c>
      <c r="D446" s="108">
        <v>88.933300024981264</v>
      </c>
      <c r="E446" s="108">
        <v>82.875343492380722</v>
      </c>
      <c r="F446" s="108">
        <v>94.541593804646524</v>
      </c>
      <c r="G446" s="108">
        <v>18.773419935048711</v>
      </c>
      <c r="H446" s="108">
        <v>8.5560829377966492</v>
      </c>
      <c r="I446" s="108">
        <v>0</v>
      </c>
      <c r="J446" s="108">
        <v>1</v>
      </c>
      <c r="K446" s="108">
        <v>1</v>
      </c>
      <c r="L446" s="108">
        <v>1</v>
      </c>
      <c r="M446" s="134">
        <v>0</v>
      </c>
      <c r="N446" s="134">
        <v>55</v>
      </c>
      <c r="O446" s="134">
        <v>48000</v>
      </c>
      <c r="P446" s="133">
        <v>0</v>
      </c>
      <c r="Q446" s="133">
        <v>0</v>
      </c>
      <c r="R446" s="133">
        <v>0</v>
      </c>
      <c r="S446" s="133">
        <v>1</v>
      </c>
    </row>
    <row r="447" spans="1:19">
      <c r="A447" s="88" t="s">
        <v>176</v>
      </c>
      <c r="B447" s="108">
        <v>1</v>
      </c>
      <c r="C447" s="108">
        <v>1</v>
      </c>
      <c r="D447" s="108">
        <v>50</v>
      </c>
      <c r="E447" s="108">
        <v>62.5</v>
      </c>
      <c r="F447" s="108">
        <v>91.945876288659804</v>
      </c>
      <c r="G447" s="108">
        <v>50</v>
      </c>
      <c r="H447" s="108">
        <v>45.889175257731956</v>
      </c>
      <c r="I447" s="108">
        <v>1</v>
      </c>
      <c r="J447" s="108">
        <v>0</v>
      </c>
      <c r="K447" s="108">
        <v>0</v>
      </c>
      <c r="L447" s="108">
        <v>1</v>
      </c>
      <c r="M447" s="134">
        <v>0</v>
      </c>
      <c r="N447" s="134">
        <v>39</v>
      </c>
      <c r="O447" s="134">
        <v>79000</v>
      </c>
      <c r="P447" s="133">
        <v>0</v>
      </c>
      <c r="Q447" s="133">
        <v>0</v>
      </c>
      <c r="R447" s="133">
        <v>0</v>
      </c>
      <c r="S447" s="133">
        <v>0</v>
      </c>
    </row>
    <row r="448" spans="1:19">
      <c r="A448" s="88" t="s">
        <v>176</v>
      </c>
      <c r="B448" s="108">
        <v>2</v>
      </c>
      <c r="C448" s="108">
        <v>1</v>
      </c>
      <c r="D448" s="108">
        <v>2.8865979381443312</v>
      </c>
      <c r="E448" s="108">
        <v>13.58247422680412</v>
      </c>
      <c r="F448" s="108">
        <v>17.384020618556701</v>
      </c>
      <c r="G448" s="108">
        <v>93.698453608247419</v>
      </c>
      <c r="H448" s="108">
        <v>88.904639175257728</v>
      </c>
      <c r="I448" s="108">
        <v>0</v>
      </c>
      <c r="J448" s="108">
        <v>0</v>
      </c>
      <c r="K448" s="108">
        <v>0</v>
      </c>
      <c r="L448" s="108">
        <v>1</v>
      </c>
      <c r="M448" s="134">
        <v>0</v>
      </c>
      <c r="N448" s="134">
        <v>39</v>
      </c>
      <c r="O448" s="134">
        <v>79000</v>
      </c>
      <c r="P448" s="133">
        <v>0</v>
      </c>
      <c r="Q448" s="133">
        <v>0</v>
      </c>
      <c r="R448" s="133">
        <v>0</v>
      </c>
      <c r="S448" s="133">
        <v>0</v>
      </c>
    </row>
    <row r="449" spans="1:19">
      <c r="A449" s="88" t="s">
        <v>176</v>
      </c>
      <c r="B449" s="108">
        <v>3</v>
      </c>
      <c r="C449" s="108">
        <v>1</v>
      </c>
      <c r="D449" s="108">
        <v>10.48969072164949</v>
      </c>
      <c r="E449" s="108">
        <v>7.7061855670103094</v>
      </c>
      <c r="F449" s="108">
        <v>8.4536082474226841</v>
      </c>
      <c r="G449" s="108">
        <v>98.402061855670112</v>
      </c>
      <c r="H449" s="108">
        <v>100</v>
      </c>
      <c r="I449" s="108">
        <v>0</v>
      </c>
      <c r="J449" s="108">
        <v>0</v>
      </c>
      <c r="K449" s="108">
        <v>0</v>
      </c>
      <c r="L449" s="108">
        <v>1</v>
      </c>
      <c r="M449" s="134">
        <v>0</v>
      </c>
      <c r="N449" s="134">
        <v>39</v>
      </c>
      <c r="O449" s="134">
        <v>79000</v>
      </c>
      <c r="P449" s="133">
        <v>0</v>
      </c>
      <c r="Q449" s="133">
        <v>0</v>
      </c>
      <c r="R449" s="133">
        <v>0</v>
      </c>
      <c r="S449" s="133">
        <v>0</v>
      </c>
    </row>
    <row r="450" spans="1:19">
      <c r="A450" s="88" t="s">
        <v>176</v>
      </c>
      <c r="B450" s="108">
        <v>4</v>
      </c>
      <c r="C450" s="108">
        <v>1</v>
      </c>
      <c r="D450" s="108">
        <v>8.4149484536082504</v>
      </c>
      <c r="E450" s="108">
        <v>8.8659793814433012</v>
      </c>
      <c r="F450" s="108">
        <v>7.1778350515463876</v>
      </c>
      <c r="G450" s="108">
        <v>83.00257731958763</v>
      </c>
      <c r="H450" s="108">
        <v>59.020618556701031</v>
      </c>
      <c r="I450" s="108">
        <v>0</v>
      </c>
      <c r="J450" s="108">
        <v>0</v>
      </c>
      <c r="K450" s="108">
        <v>0</v>
      </c>
      <c r="L450" s="108">
        <v>1</v>
      </c>
      <c r="M450" s="134">
        <v>0</v>
      </c>
      <c r="N450" s="134">
        <v>39</v>
      </c>
      <c r="O450" s="134">
        <v>79000</v>
      </c>
      <c r="P450" s="133">
        <v>0</v>
      </c>
      <c r="Q450" s="133">
        <v>0</v>
      </c>
      <c r="R450" s="133">
        <v>0</v>
      </c>
      <c r="S450" s="133">
        <v>0</v>
      </c>
    </row>
    <row r="451" spans="1:19">
      <c r="A451" s="88" t="s">
        <v>176</v>
      </c>
      <c r="B451" s="108">
        <v>5</v>
      </c>
      <c r="C451" s="108">
        <v>1</v>
      </c>
      <c r="D451" s="108">
        <v>8.3891752577319565</v>
      </c>
      <c r="E451" s="108">
        <v>8.2216494845360817</v>
      </c>
      <c r="F451" s="108">
        <v>1.494845360824743</v>
      </c>
      <c r="G451" s="108">
        <v>93.891752577319593</v>
      </c>
      <c r="H451" s="108">
        <v>82.061855670103085</v>
      </c>
      <c r="I451" s="108">
        <v>0</v>
      </c>
      <c r="J451" s="108">
        <v>0</v>
      </c>
      <c r="K451" s="108">
        <v>0</v>
      </c>
      <c r="L451" s="108">
        <v>1</v>
      </c>
      <c r="M451" s="134">
        <v>0</v>
      </c>
      <c r="N451" s="134">
        <v>39</v>
      </c>
      <c r="O451" s="134">
        <v>79000</v>
      </c>
      <c r="P451" s="133">
        <v>0</v>
      </c>
      <c r="Q451" s="133">
        <v>0</v>
      </c>
      <c r="R451" s="133">
        <v>0</v>
      </c>
      <c r="S451" s="133">
        <v>0</v>
      </c>
    </row>
    <row r="452" spans="1:19">
      <c r="A452" s="88" t="s">
        <v>176</v>
      </c>
      <c r="B452" s="108">
        <v>6</v>
      </c>
      <c r="C452" s="108">
        <v>1</v>
      </c>
      <c r="D452" s="108">
        <v>21.22422680412371</v>
      </c>
      <c r="E452" s="108">
        <v>14.510309278350521</v>
      </c>
      <c r="F452" s="108">
        <v>0.94072164948453829</v>
      </c>
      <c r="G452" s="108">
        <v>94.342783505154642</v>
      </c>
      <c r="H452" s="108">
        <v>96.25</v>
      </c>
      <c r="I452" s="108">
        <v>0</v>
      </c>
      <c r="J452" s="108">
        <v>0</v>
      </c>
      <c r="K452" s="108">
        <v>0</v>
      </c>
      <c r="L452" s="108">
        <v>1</v>
      </c>
      <c r="M452" s="134">
        <v>0</v>
      </c>
      <c r="N452" s="134">
        <v>39</v>
      </c>
      <c r="O452" s="134">
        <v>79000</v>
      </c>
      <c r="P452" s="133">
        <v>0</v>
      </c>
      <c r="Q452" s="133">
        <v>0</v>
      </c>
      <c r="R452" s="133">
        <v>0</v>
      </c>
      <c r="S452" s="133">
        <v>0</v>
      </c>
    </row>
    <row r="453" spans="1:19">
      <c r="A453" s="88" t="s">
        <v>176</v>
      </c>
      <c r="B453" s="108">
        <v>7</v>
      </c>
      <c r="C453" s="108">
        <v>1</v>
      </c>
      <c r="D453" s="108">
        <v>6.7139175257731942</v>
      </c>
      <c r="E453" s="108">
        <v>9.896907216494844</v>
      </c>
      <c r="F453" s="108">
        <v>3.2216494845360821</v>
      </c>
      <c r="G453" s="108">
        <v>93.286082474226802</v>
      </c>
      <c r="H453" s="108">
        <v>89.755154639175259</v>
      </c>
      <c r="I453" s="108">
        <v>0</v>
      </c>
      <c r="J453" s="108">
        <v>1</v>
      </c>
      <c r="K453" s="108">
        <v>0</v>
      </c>
      <c r="L453" s="108">
        <v>1</v>
      </c>
      <c r="M453" s="134">
        <v>0</v>
      </c>
      <c r="N453" s="134">
        <v>39</v>
      </c>
      <c r="O453" s="134">
        <v>79000</v>
      </c>
      <c r="P453" s="133">
        <v>0</v>
      </c>
      <c r="Q453" s="133">
        <v>0</v>
      </c>
      <c r="R453" s="133">
        <v>0</v>
      </c>
      <c r="S453" s="133">
        <v>0</v>
      </c>
    </row>
    <row r="454" spans="1:19">
      <c r="A454" s="88" t="s">
        <v>177</v>
      </c>
      <c r="B454" s="108">
        <v>1</v>
      </c>
      <c r="C454" s="108">
        <v>1</v>
      </c>
      <c r="D454" s="108">
        <v>97.739010673705963</v>
      </c>
      <c r="E454" s="108">
        <v>100</v>
      </c>
      <c r="F454" s="108">
        <v>92.149661425456216</v>
      </c>
      <c r="G454" s="108">
        <v>6.2837139905887742</v>
      </c>
      <c r="H454" s="108">
        <v>0.83782853207850505</v>
      </c>
      <c r="I454" s="108">
        <v>1</v>
      </c>
      <c r="J454" s="108">
        <v>0</v>
      </c>
      <c r="K454" s="108">
        <v>1</v>
      </c>
      <c r="L454" s="108">
        <v>1</v>
      </c>
      <c r="M454" s="134">
        <v>1</v>
      </c>
      <c r="N454" s="134">
        <v>39</v>
      </c>
      <c r="O454" s="134">
        <v>85000</v>
      </c>
      <c r="P454" s="133">
        <v>0</v>
      </c>
      <c r="Q454" s="133">
        <v>1</v>
      </c>
      <c r="R454" s="133">
        <v>1</v>
      </c>
      <c r="S454" s="133">
        <v>1</v>
      </c>
    </row>
    <row r="455" spans="1:19">
      <c r="A455" s="88" t="s">
        <v>177</v>
      </c>
      <c r="B455" s="108">
        <v>2</v>
      </c>
      <c r="C455" s="108">
        <v>1</v>
      </c>
      <c r="D455" s="108">
        <v>99.202341329048551</v>
      </c>
      <c r="E455" s="108">
        <v>91.214277516354869</v>
      </c>
      <c r="F455" s="108">
        <v>99.322850912429701</v>
      </c>
      <c r="G455" s="108">
        <v>1.124756111557446</v>
      </c>
      <c r="H455" s="108">
        <v>0.41891426603924969</v>
      </c>
      <c r="I455" s="108">
        <v>0</v>
      </c>
      <c r="J455" s="108">
        <v>0</v>
      </c>
      <c r="K455" s="108">
        <v>1</v>
      </c>
      <c r="L455" s="108">
        <v>1</v>
      </c>
      <c r="M455" s="134">
        <v>1</v>
      </c>
      <c r="N455" s="134">
        <v>39</v>
      </c>
      <c r="O455" s="134">
        <v>85000</v>
      </c>
      <c r="P455" s="133">
        <v>0</v>
      </c>
      <c r="Q455" s="133">
        <v>1</v>
      </c>
      <c r="R455" s="133">
        <v>1</v>
      </c>
      <c r="S455" s="133">
        <v>1</v>
      </c>
    </row>
    <row r="456" spans="1:19">
      <c r="A456" s="88" t="s">
        <v>177</v>
      </c>
      <c r="B456" s="108">
        <v>3</v>
      </c>
      <c r="C456" s="108">
        <v>1</v>
      </c>
      <c r="D456" s="108">
        <v>97.4291288878687</v>
      </c>
      <c r="E456" s="108">
        <v>95.707563410995064</v>
      </c>
      <c r="F456" s="108">
        <v>95.707563410995064</v>
      </c>
      <c r="G456" s="108">
        <v>2.0486629174796271</v>
      </c>
      <c r="H456" s="108">
        <v>0.48777688511419948</v>
      </c>
      <c r="I456" s="108">
        <v>0</v>
      </c>
      <c r="J456" s="108">
        <v>0</v>
      </c>
      <c r="K456" s="108">
        <v>1</v>
      </c>
      <c r="L456" s="108">
        <v>1</v>
      </c>
      <c r="M456" s="134">
        <v>1</v>
      </c>
      <c r="N456" s="134">
        <v>39</v>
      </c>
      <c r="O456" s="134">
        <v>85000</v>
      </c>
      <c r="P456" s="133">
        <v>0</v>
      </c>
      <c r="Q456" s="133">
        <v>1</v>
      </c>
      <c r="R456" s="133">
        <v>1</v>
      </c>
      <c r="S456" s="133">
        <v>1</v>
      </c>
    </row>
    <row r="457" spans="1:19">
      <c r="A457" s="88" t="s">
        <v>177</v>
      </c>
      <c r="B457" s="108">
        <v>4</v>
      </c>
      <c r="C457" s="108">
        <v>1</v>
      </c>
      <c r="D457" s="108">
        <v>99.150694364742336</v>
      </c>
      <c r="E457" s="108">
        <v>99.483530356937905</v>
      </c>
      <c r="F457" s="108">
        <v>98.961322162286237</v>
      </c>
      <c r="G457" s="108">
        <v>1.2510042465281761</v>
      </c>
      <c r="H457" s="108">
        <v>19.241363479857689</v>
      </c>
      <c r="I457" s="108">
        <v>0</v>
      </c>
      <c r="J457" s="108">
        <v>0</v>
      </c>
      <c r="K457" s="108">
        <v>1</v>
      </c>
      <c r="L457" s="108">
        <v>1</v>
      </c>
      <c r="M457" s="134">
        <v>1</v>
      </c>
      <c r="N457" s="134">
        <v>39</v>
      </c>
      <c r="O457" s="134">
        <v>85000</v>
      </c>
      <c r="P457" s="133">
        <v>0</v>
      </c>
      <c r="Q457" s="133">
        <v>1</v>
      </c>
      <c r="R457" s="133">
        <v>1</v>
      </c>
      <c r="S457" s="133">
        <v>1</v>
      </c>
    </row>
    <row r="458" spans="1:19">
      <c r="A458" s="88" t="s">
        <v>177</v>
      </c>
      <c r="B458" s="108">
        <v>5</v>
      </c>
      <c r="C458" s="108">
        <v>1</v>
      </c>
      <c r="D458" s="108">
        <v>98.783427063009299</v>
      </c>
      <c r="E458" s="108">
        <v>90.600252496269945</v>
      </c>
      <c r="F458" s="108">
        <v>98.048892459543211</v>
      </c>
      <c r="G458" s="108">
        <v>6.3296224033054074</v>
      </c>
      <c r="H458" s="108">
        <v>2.5307012510042468</v>
      </c>
      <c r="I458" s="108">
        <v>0</v>
      </c>
      <c r="J458" s="108">
        <v>0</v>
      </c>
      <c r="K458" s="108">
        <v>1</v>
      </c>
      <c r="L458" s="108">
        <v>1</v>
      </c>
      <c r="M458" s="134">
        <v>1</v>
      </c>
      <c r="N458" s="134">
        <v>39</v>
      </c>
      <c r="O458" s="134">
        <v>85000</v>
      </c>
      <c r="P458" s="133">
        <v>0</v>
      </c>
      <c r="Q458" s="133">
        <v>1</v>
      </c>
      <c r="R458" s="133">
        <v>1</v>
      </c>
      <c r="S458" s="133">
        <v>1</v>
      </c>
    </row>
    <row r="459" spans="1:19">
      <c r="A459" s="88" t="s">
        <v>177</v>
      </c>
      <c r="B459" s="108">
        <v>6</v>
      </c>
      <c r="C459" s="108">
        <v>1</v>
      </c>
      <c r="D459" s="108">
        <v>85.263399517961673</v>
      </c>
      <c r="E459" s="108">
        <v>98.938367955927916</v>
      </c>
      <c r="F459" s="108">
        <v>99.581085733960748</v>
      </c>
      <c r="G459" s="108">
        <v>12.27476185010903</v>
      </c>
      <c r="H459" s="108">
        <v>10.794215539997699</v>
      </c>
      <c r="I459" s="108">
        <v>0</v>
      </c>
      <c r="J459" s="108">
        <v>0</v>
      </c>
      <c r="K459" s="108">
        <v>1</v>
      </c>
      <c r="L459" s="108">
        <v>1</v>
      </c>
      <c r="M459" s="134">
        <v>1</v>
      </c>
      <c r="N459" s="134">
        <v>39</v>
      </c>
      <c r="O459" s="134">
        <v>85000</v>
      </c>
      <c r="P459" s="133">
        <v>0</v>
      </c>
      <c r="Q459" s="133">
        <v>1</v>
      </c>
      <c r="R459" s="133">
        <v>1</v>
      </c>
      <c r="S459" s="133">
        <v>1</v>
      </c>
    </row>
    <row r="460" spans="1:19">
      <c r="A460" s="88" t="s">
        <v>177</v>
      </c>
      <c r="B460" s="108">
        <v>7</v>
      </c>
      <c r="C460" s="108">
        <v>1</v>
      </c>
      <c r="D460" s="108">
        <v>97.517123287671239</v>
      </c>
      <c r="E460" s="108">
        <v>96.75880626223092</v>
      </c>
      <c r="F460" s="108">
        <v>50</v>
      </c>
      <c r="G460" s="108">
        <v>25.477005870841481</v>
      </c>
      <c r="H460" s="108">
        <v>4.329745596868884</v>
      </c>
      <c r="I460" s="108">
        <v>0</v>
      </c>
      <c r="J460" s="108">
        <v>1</v>
      </c>
      <c r="K460" s="108">
        <v>1</v>
      </c>
      <c r="L460" s="108">
        <v>1</v>
      </c>
      <c r="M460" s="134">
        <v>1</v>
      </c>
      <c r="N460" s="134">
        <v>39</v>
      </c>
      <c r="O460" s="134">
        <v>85000</v>
      </c>
      <c r="P460" s="133">
        <v>0</v>
      </c>
      <c r="Q460" s="133">
        <v>1</v>
      </c>
      <c r="R460" s="133">
        <v>1</v>
      </c>
      <c r="S460" s="133">
        <v>1</v>
      </c>
    </row>
    <row r="461" spans="1:19">
      <c r="A461" s="88" t="s">
        <v>178</v>
      </c>
      <c r="B461" s="108">
        <v>1</v>
      </c>
      <c r="C461" s="108">
        <v>1</v>
      </c>
      <c r="D461" s="108">
        <v>92.482665313715543</v>
      </c>
      <c r="E461" s="108">
        <v>97.336377473363783</v>
      </c>
      <c r="F461" s="108">
        <v>95.010992727887711</v>
      </c>
      <c r="G461" s="108">
        <v>2.6636225266362219</v>
      </c>
      <c r="H461" s="108">
        <v>2.5114155251141579</v>
      </c>
      <c r="I461" s="108">
        <v>1</v>
      </c>
      <c r="J461" s="108">
        <v>0</v>
      </c>
      <c r="K461" s="108">
        <v>1</v>
      </c>
      <c r="L461" s="108">
        <v>1</v>
      </c>
      <c r="M461" s="134">
        <v>1</v>
      </c>
      <c r="N461" s="134">
        <v>42</v>
      </c>
      <c r="O461" s="134">
        <v>7000</v>
      </c>
      <c r="P461" s="133">
        <v>1</v>
      </c>
      <c r="Q461" s="133">
        <v>0</v>
      </c>
      <c r="R461" s="133">
        <v>1</v>
      </c>
      <c r="S461" s="133">
        <v>1</v>
      </c>
    </row>
    <row r="462" spans="1:19">
      <c r="A462" s="88" t="s">
        <v>178</v>
      </c>
      <c r="B462" s="108">
        <v>3</v>
      </c>
      <c r="C462" s="108">
        <v>1</v>
      </c>
      <c r="D462" s="108">
        <v>0</v>
      </c>
      <c r="E462" s="108">
        <v>88.795873499069842</v>
      </c>
      <c r="F462" s="108">
        <v>1.9533231861998961</v>
      </c>
      <c r="G462" s="108">
        <v>94.892609504481655</v>
      </c>
      <c r="H462" s="108">
        <v>4.6930492135971562</v>
      </c>
      <c r="I462" s="108">
        <v>0</v>
      </c>
      <c r="J462" s="108">
        <v>0</v>
      </c>
      <c r="K462" s="108">
        <v>0</v>
      </c>
      <c r="L462" s="108">
        <v>1</v>
      </c>
      <c r="M462" s="134">
        <v>1</v>
      </c>
      <c r="N462" s="134">
        <v>42</v>
      </c>
      <c r="O462" s="134">
        <v>7000</v>
      </c>
      <c r="P462" s="133">
        <v>1</v>
      </c>
      <c r="Q462" s="133">
        <v>0</v>
      </c>
      <c r="R462" s="133">
        <v>1</v>
      </c>
      <c r="S462" s="133">
        <v>1</v>
      </c>
    </row>
    <row r="463" spans="1:19">
      <c r="A463" s="88" t="s">
        <v>178</v>
      </c>
      <c r="B463" s="108">
        <v>4</v>
      </c>
      <c r="C463" s="108">
        <v>1</v>
      </c>
      <c r="D463" s="108">
        <v>2.0886182986639579</v>
      </c>
      <c r="E463" s="108">
        <v>11.18721461187214</v>
      </c>
      <c r="F463" s="108">
        <v>4.6000338237781158</v>
      </c>
      <c r="G463" s="108">
        <v>91.248097412480973</v>
      </c>
      <c r="H463" s="108">
        <v>6.0290884491797758</v>
      </c>
      <c r="I463" s="108">
        <v>0</v>
      </c>
      <c r="J463" s="108">
        <v>0</v>
      </c>
      <c r="K463" s="108">
        <v>0</v>
      </c>
      <c r="L463" s="108">
        <v>1</v>
      </c>
      <c r="M463" s="134">
        <v>1</v>
      </c>
      <c r="N463" s="134">
        <v>42</v>
      </c>
      <c r="O463" s="134">
        <v>7000</v>
      </c>
      <c r="P463" s="133">
        <v>1</v>
      </c>
      <c r="Q463" s="133">
        <v>0</v>
      </c>
      <c r="R463" s="133">
        <v>1</v>
      </c>
      <c r="S463" s="133">
        <v>1</v>
      </c>
    </row>
    <row r="464" spans="1:19">
      <c r="A464" s="88" t="s">
        <v>178</v>
      </c>
      <c r="B464" s="108">
        <v>5</v>
      </c>
      <c r="C464" s="108">
        <v>1</v>
      </c>
      <c r="D464" s="108">
        <v>5.4347826086956541</v>
      </c>
      <c r="E464" s="108">
        <v>50</v>
      </c>
      <c r="F464" s="108">
        <v>6.521739130434784</v>
      </c>
      <c r="G464" s="108">
        <v>87.181409295352324</v>
      </c>
      <c r="H464" s="108">
        <v>50</v>
      </c>
      <c r="I464" s="108">
        <v>0</v>
      </c>
      <c r="J464" s="108">
        <v>0</v>
      </c>
      <c r="K464" s="108">
        <v>0</v>
      </c>
      <c r="L464" s="108">
        <v>1</v>
      </c>
      <c r="M464" s="134">
        <v>1</v>
      </c>
      <c r="N464" s="134">
        <v>42</v>
      </c>
      <c r="O464" s="134">
        <v>7000</v>
      </c>
      <c r="P464" s="133">
        <v>1</v>
      </c>
      <c r="Q464" s="133">
        <v>0</v>
      </c>
      <c r="R464" s="133">
        <v>1</v>
      </c>
      <c r="S464" s="133">
        <v>1</v>
      </c>
    </row>
    <row r="465" spans="1:19">
      <c r="A465" s="88" t="s">
        <v>178</v>
      </c>
      <c r="B465" s="108">
        <v>7</v>
      </c>
      <c r="C465" s="108">
        <v>1</v>
      </c>
      <c r="D465" s="108">
        <v>4.4227886056971526</v>
      </c>
      <c r="E465" s="108">
        <v>1.199400299850073</v>
      </c>
      <c r="F465" s="108">
        <v>3.3608195902048998</v>
      </c>
      <c r="G465" s="108">
        <v>95.539730134932526</v>
      </c>
      <c r="H465" s="108">
        <v>9.095452273863069</v>
      </c>
      <c r="I465" s="108">
        <v>0</v>
      </c>
      <c r="J465" s="108">
        <v>1</v>
      </c>
      <c r="K465" s="108">
        <v>0</v>
      </c>
      <c r="L465" s="108">
        <v>1</v>
      </c>
      <c r="M465" s="134">
        <v>1</v>
      </c>
      <c r="N465" s="134">
        <v>42</v>
      </c>
      <c r="O465" s="134">
        <v>7000</v>
      </c>
      <c r="P465" s="133">
        <v>1</v>
      </c>
      <c r="Q465" s="133">
        <v>0</v>
      </c>
      <c r="R465" s="133">
        <v>1</v>
      </c>
      <c r="S465" s="133">
        <v>1</v>
      </c>
    </row>
    <row r="466" spans="1:19">
      <c r="A466" s="88" t="s">
        <v>179</v>
      </c>
      <c r="B466" s="108">
        <v>2</v>
      </c>
      <c r="C466" s="108">
        <v>1</v>
      </c>
      <c r="D466" s="108">
        <v>11.638225255972699</v>
      </c>
      <c r="E466" s="108">
        <v>83.242320819112621</v>
      </c>
      <c r="F466" s="108">
        <v>8.5665529010238934</v>
      </c>
      <c r="G466" s="108">
        <v>90.875995449374287</v>
      </c>
      <c r="H466" s="108">
        <v>12.55972696245734</v>
      </c>
      <c r="I466" s="108">
        <v>0</v>
      </c>
      <c r="J466" s="108">
        <v>0</v>
      </c>
      <c r="K466" s="108">
        <v>0</v>
      </c>
      <c r="L466" s="108">
        <v>1</v>
      </c>
      <c r="M466" s="134">
        <v>0</v>
      </c>
      <c r="N466" s="134">
        <v>19</v>
      </c>
      <c r="O466" s="134">
        <v>27000</v>
      </c>
      <c r="P466" s="133">
        <v>0</v>
      </c>
      <c r="Q466" s="133">
        <v>0</v>
      </c>
      <c r="R466" s="133">
        <v>0</v>
      </c>
      <c r="S466" s="133">
        <v>0</v>
      </c>
    </row>
    <row r="467" spans="1:19">
      <c r="A467" s="88" t="s">
        <v>179</v>
      </c>
      <c r="B467" s="108">
        <v>3</v>
      </c>
      <c r="C467" s="108">
        <v>1</v>
      </c>
      <c r="D467" s="108">
        <v>8.0091012514220683</v>
      </c>
      <c r="E467" s="108">
        <v>3.0602957906712192</v>
      </c>
      <c r="F467" s="108">
        <v>89.897610921501709</v>
      </c>
      <c r="G467" s="108">
        <v>4.9374288964732669</v>
      </c>
      <c r="H467" s="108">
        <v>93.526734926052342</v>
      </c>
      <c r="I467" s="108">
        <v>0</v>
      </c>
      <c r="J467" s="108">
        <v>0</v>
      </c>
      <c r="K467" s="108">
        <v>0</v>
      </c>
      <c r="L467" s="108">
        <v>1</v>
      </c>
      <c r="M467" s="134">
        <v>0</v>
      </c>
      <c r="N467" s="134">
        <v>19</v>
      </c>
      <c r="O467" s="134">
        <v>27000</v>
      </c>
      <c r="P467" s="133">
        <v>0</v>
      </c>
      <c r="Q467" s="133">
        <v>0</v>
      </c>
      <c r="R467" s="133">
        <v>0</v>
      </c>
      <c r="S467" s="133">
        <v>0</v>
      </c>
    </row>
    <row r="468" spans="1:19">
      <c r="A468" s="88" t="s">
        <v>179</v>
      </c>
      <c r="B468" s="108">
        <v>4</v>
      </c>
      <c r="C468" s="108">
        <v>1</v>
      </c>
      <c r="D468" s="108">
        <v>3.4470989761092139</v>
      </c>
      <c r="E468" s="108">
        <v>3.4470989761092139</v>
      </c>
      <c r="F468" s="108">
        <v>2.8668941979522189</v>
      </c>
      <c r="G468" s="108">
        <v>96.962457337883961</v>
      </c>
      <c r="H468" s="108">
        <v>2.8555176336746309</v>
      </c>
      <c r="I468" s="108">
        <v>0</v>
      </c>
      <c r="J468" s="108">
        <v>0</v>
      </c>
      <c r="K468" s="108">
        <v>0</v>
      </c>
      <c r="L468" s="108">
        <v>1</v>
      </c>
      <c r="M468" s="134">
        <v>0</v>
      </c>
      <c r="N468" s="134">
        <v>19</v>
      </c>
      <c r="O468" s="134">
        <v>27000</v>
      </c>
      <c r="P468" s="133">
        <v>0</v>
      </c>
      <c r="Q468" s="133">
        <v>0</v>
      </c>
      <c r="R468" s="133">
        <v>0</v>
      </c>
      <c r="S468" s="133">
        <v>0</v>
      </c>
    </row>
    <row r="469" spans="1:19">
      <c r="A469" s="88" t="s">
        <v>179</v>
      </c>
      <c r="B469" s="108">
        <v>5</v>
      </c>
      <c r="C469" s="108">
        <v>1</v>
      </c>
      <c r="D469" s="108">
        <v>96.188850967007966</v>
      </c>
      <c r="E469" s="108">
        <v>3.4357224118316272</v>
      </c>
      <c r="F469" s="108">
        <v>97.144482366325363</v>
      </c>
      <c r="G469" s="108">
        <v>4.7554038680318547</v>
      </c>
      <c r="H469" s="108">
        <v>3.617747440273039</v>
      </c>
      <c r="I469" s="108">
        <v>0</v>
      </c>
      <c r="J469" s="108">
        <v>0</v>
      </c>
      <c r="K469" s="108">
        <v>1</v>
      </c>
      <c r="L469" s="108">
        <v>1</v>
      </c>
      <c r="M469" s="134">
        <v>0</v>
      </c>
      <c r="N469" s="134">
        <v>19</v>
      </c>
      <c r="O469" s="134">
        <v>27000</v>
      </c>
      <c r="P469" s="133">
        <v>0</v>
      </c>
      <c r="Q469" s="133">
        <v>0</v>
      </c>
      <c r="R469" s="133">
        <v>0</v>
      </c>
      <c r="S469" s="133">
        <v>0</v>
      </c>
    </row>
    <row r="470" spans="1:19">
      <c r="A470" s="88" t="s">
        <v>179</v>
      </c>
      <c r="B470" s="108">
        <v>6</v>
      </c>
      <c r="C470" s="108">
        <v>1</v>
      </c>
      <c r="D470" s="108">
        <v>4.5900890614295484</v>
      </c>
      <c r="E470" s="108">
        <v>96.722996117835123</v>
      </c>
      <c r="F470" s="108">
        <v>2.298065984072811</v>
      </c>
      <c r="G470" s="108">
        <v>0</v>
      </c>
      <c r="H470" s="108">
        <v>2.8441410693970441</v>
      </c>
      <c r="I470" s="108">
        <v>0</v>
      </c>
      <c r="J470" s="108">
        <v>0</v>
      </c>
      <c r="K470" s="108">
        <v>0</v>
      </c>
      <c r="L470" s="108">
        <v>1</v>
      </c>
      <c r="M470" s="134">
        <v>0</v>
      </c>
      <c r="N470" s="134">
        <v>19</v>
      </c>
      <c r="O470" s="134">
        <v>27000</v>
      </c>
      <c r="P470" s="133">
        <v>0</v>
      </c>
      <c r="Q470" s="133">
        <v>0</v>
      </c>
      <c r="R470" s="133">
        <v>0</v>
      </c>
      <c r="S470" s="133">
        <v>0</v>
      </c>
    </row>
    <row r="471" spans="1:19">
      <c r="A471" s="88" t="s">
        <v>179</v>
      </c>
      <c r="B471" s="108">
        <v>7</v>
      </c>
      <c r="C471" s="108">
        <v>1</v>
      </c>
      <c r="D471" s="108">
        <v>50</v>
      </c>
      <c r="E471" s="108">
        <v>12.993834208723451</v>
      </c>
      <c r="F471" s="108">
        <v>34.003197076958209</v>
      </c>
      <c r="G471" s="108">
        <v>87.577072390956843</v>
      </c>
      <c r="H471" s="108">
        <v>78.785110755880339</v>
      </c>
      <c r="I471" s="108">
        <v>0</v>
      </c>
      <c r="J471" s="108">
        <v>1</v>
      </c>
      <c r="K471" s="108">
        <v>0</v>
      </c>
      <c r="L471" s="108">
        <v>1</v>
      </c>
      <c r="M471" s="134">
        <v>0</v>
      </c>
      <c r="N471" s="134">
        <v>19</v>
      </c>
      <c r="O471" s="134">
        <v>27000</v>
      </c>
      <c r="P471" s="133">
        <v>0</v>
      </c>
      <c r="Q471" s="133">
        <v>0</v>
      </c>
      <c r="R471" s="133">
        <v>0</v>
      </c>
      <c r="S471" s="133">
        <v>0</v>
      </c>
    </row>
    <row r="472" spans="1:19">
      <c r="A472" s="88" t="s">
        <v>180</v>
      </c>
      <c r="B472" s="108">
        <v>1</v>
      </c>
      <c r="C472" s="108">
        <v>1</v>
      </c>
      <c r="D472" s="108">
        <v>1.6218850062647889</v>
      </c>
      <c r="E472" s="108">
        <v>94.243352359738267</v>
      </c>
      <c r="F472" s="108">
        <v>94.514826674091609</v>
      </c>
      <c r="G472" s="108">
        <v>7.4342196853682321</v>
      </c>
      <c r="H472" s="108">
        <v>1.378254211332314</v>
      </c>
      <c r="I472" s="108">
        <v>1</v>
      </c>
      <c r="J472" s="108">
        <v>0</v>
      </c>
      <c r="K472" s="108">
        <v>0</v>
      </c>
      <c r="L472" s="108">
        <v>1</v>
      </c>
      <c r="M472" s="134">
        <v>1</v>
      </c>
      <c r="N472" s="134">
        <v>40</v>
      </c>
      <c r="O472" s="134">
        <v>25000</v>
      </c>
      <c r="P472" s="133">
        <v>0</v>
      </c>
      <c r="Q472" s="133">
        <v>0</v>
      </c>
      <c r="R472" s="133">
        <v>0</v>
      </c>
      <c r="S472" s="133">
        <v>0</v>
      </c>
    </row>
    <row r="473" spans="1:19">
      <c r="A473" s="88" t="s">
        <v>180</v>
      </c>
      <c r="B473" s="108">
        <v>3</v>
      </c>
      <c r="C473" s="108">
        <v>1</v>
      </c>
      <c r="D473" s="108">
        <v>1.871127633209418</v>
      </c>
      <c r="E473" s="108">
        <v>9.6034696406443629</v>
      </c>
      <c r="F473" s="108">
        <v>3.6183395291201959</v>
      </c>
      <c r="G473" s="108">
        <v>92.28004956629492</v>
      </c>
      <c r="H473" s="108">
        <v>4.9442379182156104</v>
      </c>
      <c r="I473" s="108">
        <v>0</v>
      </c>
      <c r="J473" s="108">
        <v>0</v>
      </c>
      <c r="K473" s="108">
        <v>0</v>
      </c>
      <c r="L473" s="108">
        <v>1</v>
      </c>
      <c r="M473" s="134">
        <v>1</v>
      </c>
      <c r="N473" s="134">
        <v>40</v>
      </c>
      <c r="O473" s="134">
        <v>25000</v>
      </c>
      <c r="P473" s="133">
        <v>0</v>
      </c>
      <c r="Q473" s="133">
        <v>0</v>
      </c>
      <c r="R473" s="133">
        <v>0</v>
      </c>
      <c r="S473" s="133">
        <v>0</v>
      </c>
    </row>
    <row r="474" spans="1:19">
      <c r="A474" s="88" t="s">
        <v>180</v>
      </c>
      <c r="B474" s="108">
        <v>4</v>
      </c>
      <c r="C474" s="108">
        <v>1</v>
      </c>
      <c r="D474" s="108">
        <v>4.7335811648079318</v>
      </c>
      <c r="E474" s="108">
        <v>3.5192069392812888</v>
      </c>
      <c r="F474" s="108">
        <v>19.169764560099129</v>
      </c>
      <c r="G474" s="108">
        <v>92.478314745972739</v>
      </c>
      <c r="H474" s="108">
        <v>7.2118959107806688</v>
      </c>
      <c r="I474" s="108">
        <v>0</v>
      </c>
      <c r="J474" s="108">
        <v>0</v>
      </c>
      <c r="K474" s="108">
        <v>0</v>
      </c>
      <c r="L474" s="108">
        <v>1</v>
      </c>
      <c r="M474" s="134">
        <v>1</v>
      </c>
      <c r="N474" s="134">
        <v>40</v>
      </c>
      <c r="O474" s="134">
        <v>25000</v>
      </c>
      <c r="P474" s="133">
        <v>0</v>
      </c>
      <c r="Q474" s="133">
        <v>0</v>
      </c>
      <c r="R474" s="133">
        <v>0</v>
      </c>
      <c r="S474" s="133">
        <v>0</v>
      </c>
    </row>
    <row r="475" spans="1:19">
      <c r="A475" s="88" t="s">
        <v>180</v>
      </c>
      <c r="B475" s="108">
        <v>5</v>
      </c>
      <c r="C475" s="108">
        <v>1</v>
      </c>
      <c r="D475" s="108">
        <v>12.57744733581165</v>
      </c>
      <c r="E475" s="108">
        <v>9.0830235439900875</v>
      </c>
      <c r="F475" s="108">
        <v>2.6517967781908292</v>
      </c>
      <c r="G475" s="108">
        <v>84.510532837670382</v>
      </c>
      <c r="H475" s="108">
        <v>9.0830235439900875</v>
      </c>
      <c r="I475" s="108">
        <v>0</v>
      </c>
      <c r="J475" s="108">
        <v>0</v>
      </c>
      <c r="K475" s="108">
        <v>0</v>
      </c>
      <c r="L475" s="108">
        <v>1</v>
      </c>
      <c r="M475" s="134">
        <v>1</v>
      </c>
      <c r="N475" s="134">
        <v>40</v>
      </c>
      <c r="O475" s="134">
        <v>25000</v>
      </c>
      <c r="P475" s="133">
        <v>0</v>
      </c>
      <c r="Q475" s="133">
        <v>0</v>
      </c>
      <c r="R475" s="133">
        <v>0</v>
      </c>
      <c r="S475" s="133">
        <v>0</v>
      </c>
    </row>
    <row r="476" spans="1:19">
      <c r="A476" s="88" t="s">
        <v>181</v>
      </c>
      <c r="B476" s="108">
        <v>1</v>
      </c>
      <c r="C476" s="108">
        <v>1</v>
      </c>
      <c r="D476" s="108">
        <v>0.90469874952633367</v>
      </c>
      <c r="E476" s="108">
        <v>1.2694202349374739</v>
      </c>
      <c r="F476" s="108">
        <v>2.3020083364910962</v>
      </c>
      <c r="G476" s="108">
        <v>93.960780598711636</v>
      </c>
      <c r="H476" s="108">
        <v>8.7438423645320178</v>
      </c>
      <c r="I476" s="108">
        <v>1</v>
      </c>
      <c r="J476" s="108">
        <v>0</v>
      </c>
      <c r="K476" s="108">
        <v>0</v>
      </c>
      <c r="L476" s="108">
        <v>1</v>
      </c>
      <c r="M476" s="134">
        <v>1</v>
      </c>
      <c r="N476" s="134">
        <v>40</v>
      </c>
      <c r="O476" s="134">
        <v>42000</v>
      </c>
      <c r="P476" s="133">
        <v>0</v>
      </c>
      <c r="Q476" s="133">
        <v>0</v>
      </c>
      <c r="R476" s="133">
        <v>0</v>
      </c>
      <c r="S476" s="133">
        <v>1</v>
      </c>
    </row>
    <row r="477" spans="1:19">
      <c r="A477" s="88" t="s">
        <v>181</v>
      </c>
      <c r="B477" s="108">
        <v>3</v>
      </c>
      <c r="C477" s="108">
        <v>1</v>
      </c>
      <c r="D477" s="108">
        <v>8.3886023090149813</v>
      </c>
      <c r="E477" s="108">
        <v>6.2269712601326468</v>
      </c>
      <c r="F477" s="108">
        <v>10.157209530827799</v>
      </c>
      <c r="G477" s="108">
        <v>50</v>
      </c>
      <c r="H477" s="108">
        <v>5.5181887078438798</v>
      </c>
      <c r="I477" s="108">
        <v>0</v>
      </c>
      <c r="J477" s="108">
        <v>0</v>
      </c>
      <c r="K477" s="108">
        <v>0</v>
      </c>
      <c r="L477" s="108">
        <v>1</v>
      </c>
      <c r="M477" s="134">
        <v>1</v>
      </c>
      <c r="N477" s="134">
        <v>40</v>
      </c>
      <c r="O477" s="134">
        <v>42000</v>
      </c>
      <c r="P477" s="133">
        <v>0</v>
      </c>
      <c r="Q477" s="133">
        <v>0</v>
      </c>
      <c r="R477" s="133">
        <v>0</v>
      </c>
      <c r="S477" s="133">
        <v>1</v>
      </c>
    </row>
    <row r="478" spans="1:19">
      <c r="A478" s="88" t="s">
        <v>181</v>
      </c>
      <c r="B478" s="108">
        <v>4</v>
      </c>
      <c r="C478" s="108">
        <v>1</v>
      </c>
      <c r="D478" s="108">
        <v>4.5320560058953578</v>
      </c>
      <c r="E478" s="108">
        <v>2.2721690002456389</v>
      </c>
      <c r="F478" s="108">
        <v>4.3846720707442888</v>
      </c>
      <c r="G478" s="108">
        <v>72.439204126750184</v>
      </c>
      <c r="H478" s="108">
        <v>7.553426676492264</v>
      </c>
      <c r="I478" s="108">
        <v>0</v>
      </c>
      <c r="J478" s="108">
        <v>0</v>
      </c>
      <c r="K478" s="108">
        <v>0</v>
      </c>
      <c r="L478" s="108">
        <v>1</v>
      </c>
      <c r="M478" s="134">
        <v>1</v>
      </c>
      <c r="N478" s="134">
        <v>40</v>
      </c>
      <c r="O478" s="134">
        <v>42000</v>
      </c>
      <c r="P478" s="133">
        <v>0</v>
      </c>
      <c r="Q478" s="133">
        <v>0</v>
      </c>
      <c r="R478" s="133">
        <v>0</v>
      </c>
      <c r="S478" s="133">
        <v>1</v>
      </c>
    </row>
    <row r="479" spans="1:19">
      <c r="A479" s="88" t="s">
        <v>181</v>
      </c>
      <c r="B479" s="108">
        <v>6</v>
      </c>
      <c r="C479" s="108">
        <v>1</v>
      </c>
      <c r="D479" s="108">
        <v>7.2586588061901267</v>
      </c>
      <c r="E479" s="108">
        <v>6.7673790223532313</v>
      </c>
      <c r="F479" s="108">
        <v>11.766150822893639</v>
      </c>
      <c r="G479" s="108">
        <v>87.251289609432575</v>
      </c>
      <c r="H479" s="108">
        <v>21.874232375337751</v>
      </c>
      <c r="I479" s="108">
        <v>0</v>
      </c>
      <c r="J479" s="108">
        <v>0</v>
      </c>
      <c r="K479" s="108">
        <v>0</v>
      </c>
      <c r="L479" s="108">
        <v>1</v>
      </c>
      <c r="M479" s="134">
        <v>1</v>
      </c>
      <c r="N479" s="134">
        <v>40</v>
      </c>
      <c r="O479" s="134">
        <v>42000</v>
      </c>
      <c r="P479" s="133">
        <v>0</v>
      </c>
      <c r="Q479" s="133">
        <v>0</v>
      </c>
      <c r="R479" s="133">
        <v>0</v>
      </c>
      <c r="S479" s="133">
        <v>1</v>
      </c>
    </row>
    <row r="480" spans="1:19">
      <c r="A480" s="88" t="s">
        <v>181</v>
      </c>
      <c r="B480" s="108">
        <v>7</v>
      </c>
      <c r="C480" s="108">
        <v>1</v>
      </c>
      <c r="D480" s="108">
        <v>34.708916728076638</v>
      </c>
      <c r="E480" s="108">
        <v>7.553426676492264</v>
      </c>
      <c r="F480" s="108">
        <v>11.52051093097519</v>
      </c>
      <c r="G480" s="108">
        <v>50</v>
      </c>
      <c r="H480" s="108">
        <v>80.213706705969045</v>
      </c>
      <c r="I480" s="108">
        <v>0</v>
      </c>
      <c r="J480" s="108">
        <v>1</v>
      </c>
      <c r="K480" s="108">
        <v>0</v>
      </c>
      <c r="L480" s="108">
        <v>1</v>
      </c>
      <c r="M480" s="134">
        <v>1</v>
      </c>
      <c r="N480" s="134">
        <v>40</v>
      </c>
      <c r="O480" s="134">
        <v>42000</v>
      </c>
      <c r="P480" s="133">
        <v>0</v>
      </c>
      <c r="Q480" s="133">
        <v>0</v>
      </c>
      <c r="R480" s="133">
        <v>0</v>
      </c>
      <c r="S480" s="133">
        <v>1</v>
      </c>
    </row>
    <row r="481" spans="1:19">
      <c r="A481" s="88" t="s">
        <v>182</v>
      </c>
      <c r="B481" s="108">
        <v>1</v>
      </c>
      <c r="C481" s="108">
        <v>1</v>
      </c>
      <c r="D481" s="108">
        <v>100</v>
      </c>
      <c r="E481" s="108">
        <v>100</v>
      </c>
      <c r="F481" s="108">
        <v>0</v>
      </c>
      <c r="G481" s="108">
        <v>0</v>
      </c>
      <c r="H481" s="108">
        <v>100</v>
      </c>
      <c r="I481" s="108">
        <v>1</v>
      </c>
      <c r="J481" s="108">
        <v>0</v>
      </c>
      <c r="K481" s="108">
        <v>1</v>
      </c>
      <c r="L481" s="108">
        <v>1</v>
      </c>
      <c r="M481" s="134">
        <v>0</v>
      </c>
      <c r="N481" s="134">
        <v>44</v>
      </c>
      <c r="O481" s="134">
        <v>100000</v>
      </c>
      <c r="P481" s="133">
        <v>1</v>
      </c>
      <c r="Q481" s="133">
        <v>1</v>
      </c>
      <c r="R481" s="133">
        <v>1</v>
      </c>
      <c r="S481" s="133">
        <v>1</v>
      </c>
    </row>
    <row r="482" spans="1:19">
      <c r="A482" s="88" t="s">
        <v>182</v>
      </c>
      <c r="B482" s="108">
        <v>2</v>
      </c>
      <c r="C482" s="108">
        <v>1</v>
      </c>
      <c r="D482" s="108">
        <v>100</v>
      </c>
      <c r="E482" s="108">
        <v>0</v>
      </c>
      <c r="F482" s="108">
        <v>100</v>
      </c>
      <c r="G482" s="108">
        <v>0</v>
      </c>
      <c r="H482" s="108">
        <v>100</v>
      </c>
      <c r="I482" s="108">
        <v>0</v>
      </c>
      <c r="J482" s="108">
        <v>0</v>
      </c>
      <c r="K482" s="108">
        <v>1</v>
      </c>
      <c r="L482" s="108">
        <v>1</v>
      </c>
      <c r="M482" s="134">
        <v>0</v>
      </c>
      <c r="N482" s="134">
        <v>44</v>
      </c>
      <c r="O482" s="134">
        <v>100000</v>
      </c>
      <c r="P482" s="133">
        <v>1</v>
      </c>
      <c r="Q482" s="133">
        <v>1</v>
      </c>
      <c r="R482" s="133">
        <v>1</v>
      </c>
      <c r="S482" s="133">
        <v>1</v>
      </c>
    </row>
    <row r="483" spans="1:19">
      <c r="A483" s="88" t="s">
        <v>182</v>
      </c>
      <c r="B483" s="108">
        <v>3</v>
      </c>
      <c r="C483" s="108">
        <v>1</v>
      </c>
      <c r="D483" s="108">
        <v>100</v>
      </c>
      <c r="E483" s="108">
        <v>0</v>
      </c>
      <c r="F483" s="108">
        <v>100</v>
      </c>
      <c r="G483" s="108">
        <v>0</v>
      </c>
      <c r="H483" s="108">
        <v>100</v>
      </c>
      <c r="I483" s="108">
        <v>0</v>
      </c>
      <c r="J483" s="108">
        <v>0</v>
      </c>
      <c r="K483" s="108">
        <v>1</v>
      </c>
      <c r="L483" s="108">
        <v>1</v>
      </c>
      <c r="M483" s="134">
        <v>0</v>
      </c>
      <c r="N483" s="134">
        <v>44</v>
      </c>
      <c r="O483" s="134">
        <v>100000</v>
      </c>
      <c r="P483" s="133">
        <v>1</v>
      </c>
      <c r="Q483" s="133">
        <v>1</v>
      </c>
      <c r="R483" s="133">
        <v>1</v>
      </c>
      <c r="S483" s="133">
        <v>1</v>
      </c>
    </row>
    <row r="484" spans="1:19">
      <c r="A484" s="88" t="s">
        <v>182</v>
      </c>
      <c r="B484" s="108">
        <v>4</v>
      </c>
      <c r="C484" s="108">
        <v>1</v>
      </c>
      <c r="D484" s="108">
        <v>100</v>
      </c>
      <c r="E484" s="108">
        <v>100</v>
      </c>
      <c r="F484" s="108">
        <v>0</v>
      </c>
      <c r="G484" s="108">
        <v>100</v>
      </c>
      <c r="H484" s="108">
        <v>100</v>
      </c>
      <c r="I484" s="108">
        <v>0</v>
      </c>
      <c r="J484" s="108">
        <v>0</v>
      </c>
      <c r="K484" s="108">
        <v>1</v>
      </c>
      <c r="L484" s="108">
        <v>1</v>
      </c>
      <c r="M484" s="134">
        <v>0</v>
      </c>
      <c r="N484" s="134">
        <v>44</v>
      </c>
      <c r="O484" s="134">
        <v>100000</v>
      </c>
      <c r="P484" s="133">
        <v>1</v>
      </c>
      <c r="Q484" s="133">
        <v>1</v>
      </c>
      <c r="R484" s="133">
        <v>1</v>
      </c>
      <c r="S484" s="133">
        <v>1</v>
      </c>
    </row>
    <row r="485" spans="1:19">
      <c r="A485" s="88" t="s">
        <v>182</v>
      </c>
      <c r="B485" s="108">
        <v>5</v>
      </c>
      <c r="C485" s="108">
        <v>1</v>
      </c>
      <c r="D485" s="108">
        <v>100</v>
      </c>
      <c r="E485" s="108">
        <v>0</v>
      </c>
      <c r="F485" s="108">
        <v>0</v>
      </c>
      <c r="G485" s="108">
        <v>100</v>
      </c>
      <c r="H485" s="108">
        <v>0</v>
      </c>
      <c r="I485" s="108">
        <v>0</v>
      </c>
      <c r="J485" s="108">
        <v>0</v>
      </c>
      <c r="K485" s="108">
        <v>1</v>
      </c>
      <c r="L485" s="108">
        <v>1</v>
      </c>
      <c r="M485" s="134">
        <v>0</v>
      </c>
      <c r="N485" s="134">
        <v>44</v>
      </c>
      <c r="O485" s="134">
        <v>100000</v>
      </c>
      <c r="P485" s="133">
        <v>1</v>
      </c>
      <c r="Q485" s="133">
        <v>1</v>
      </c>
      <c r="R485" s="133">
        <v>1</v>
      </c>
      <c r="S485" s="133">
        <v>1</v>
      </c>
    </row>
    <row r="486" spans="1:19">
      <c r="A486" s="88" t="s">
        <v>182</v>
      </c>
      <c r="B486" s="108">
        <v>6</v>
      </c>
      <c r="C486" s="108">
        <v>1</v>
      </c>
      <c r="D486" s="108">
        <v>0</v>
      </c>
      <c r="E486" s="108">
        <v>100</v>
      </c>
      <c r="F486" s="108">
        <v>0</v>
      </c>
      <c r="G486" s="108">
        <v>100</v>
      </c>
      <c r="H486" s="108">
        <v>0</v>
      </c>
      <c r="I486" s="108">
        <v>0</v>
      </c>
      <c r="J486" s="108">
        <v>0</v>
      </c>
      <c r="K486" s="108">
        <v>0</v>
      </c>
      <c r="L486" s="108">
        <v>1</v>
      </c>
      <c r="M486" s="134">
        <v>0</v>
      </c>
      <c r="N486" s="134">
        <v>44</v>
      </c>
      <c r="O486" s="134">
        <v>100000</v>
      </c>
      <c r="P486" s="133">
        <v>1</v>
      </c>
      <c r="Q486" s="133">
        <v>1</v>
      </c>
      <c r="R486" s="133">
        <v>1</v>
      </c>
      <c r="S486" s="133">
        <v>1</v>
      </c>
    </row>
    <row r="487" spans="1:19">
      <c r="A487" s="88" t="s">
        <v>182</v>
      </c>
      <c r="B487" s="108">
        <v>7</v>
      </c>
      <c r="C487" s="108">
        <v>1</v>
      </c>
      <c r="D487" s="108">
        <v>2.447003402250719</v>
      </c>
      <c r="E487" s="108">
        <v>98.691442030881973</v>
      </c>
      <c r="F487" s="108">
        <v>0.44490970950012981</v>
      </c>
      <c r="G487" s="108">
        <v>96.440722323998955</v>
      </c>
      <c r="H487" s="108">
        <v>50</v>
      </c>
      <c r="I487" s="108">
        <v>0</v>
      </c>
      <c r="J487" s="108">
        <v>1</v>
      </c>
      <c r="K487" s="108">
        <v>0</v>
      </c>
      <c r="L487" s="108">
        <v>1</v>
      </c>
      <c r="M487" s="134">
        <v>0</v>
      </c>
      <c r="N487" s="134">
        <v>44</v>
      </c>
      <c r="O487" s="134">
        <v>100000</v>
      </c>
      <c r="P487" s="133">
        <v>1</v>
      </c>
      <c r="Q487" s="133">
        <v>1</v>
      </c>
      <c r="R487" s="133">
        <v>1</v>
      </c>
      <c r="S487" s="133">
        <v>1</v>
      </c>
    </row>
    <row r="488" spans="1:19">
      <c r="A488" s="88" t="s">
        <v>183</v>
      </c>
      <c r="B488" s="108">
        <v>1</v>
      </c>
      <c r="C488" s="108">
        <v>1</v>
      </c>
      <c r="D488" s="108">
        <v>3.662639547331398</v>
      </c>
      <c r="E488" s="108">
        <v>2.4315644593974621</v>
      </c>
      <c r="F488" s="108">
        <v>3.8232145588010411</v>
      </c>
      <c r="G488" s="108">
        <v>88.121272365805169</v>
      </c>
      <c r="H488" s="108">
        <v>89.100015292858231</v>
      </c>
      <c r="I488" s="108">
        <v>1</v>
      </c>
      <c r="J488" s="108">
        <v>0</v>
      </c>
      <c r="K488" s="108">
        <v>0</v>
      </c>
      <c r="L488" s="108">
        <v>1</v>
      </c>
      <c r="M488" s="134">
        <v>0</v>
      </c>
      <c r="N488" s="134">
        <v>42</v>
      </c>
      <c r="O488" s="134">
        <v>25000</v>
      </c>
      <c r="P488" s="133">
        <v>0</v>
      </c>
      <c r="Q488" s="133">
        <v>0</v>
      </c>
      <c r="R488" s="133">
        <v>0</v>
      </c>
      <c r="S488" s="133">
        <v>0</v>
      </c>
    </row>
    <row r="489" spans="1:19">
      <c r="A489" s="88" t="s">
        <v>183</v>
      </c>
      <c r="B489" s="108">
        <v>2</v>
      </c>
      <c r="C489" s="108">
        <v>1</v>
      </c>
      <c r="D489" s="108">
        <v>0.99403578528827197</v>
      </c>
      <c r="E489" s="108">
        <v>7.3940969567212083</v>
      </c>
      <c r="F489" s="108">
        <v>1.246367946169141</v>
      </c>
      <c r="G489" s="108">
        <v>96.337360452668605</v>
      </c>
      <c r="H489" s="108">
        <v>0.69964826426058835</v>
      </c>
      <c r="I489" s="108">
        <v>0</v>
      </c>
      <c r="J489" s="108">
        <v>0</v>
      </c>
      <c r="K489" s="108">
        <v>0</v>
      </c>
      <c r="L489" s="108">
        <v>1</v>
      </c>
      <c r="M489" s="134">
        <v>0</v>
      </c>
      <c r="N489" s="134">
        <v>42</v>
      </c>
      <c r="O489" s="134">
        <v>25000</v>
      </c>
      <c r="P489" s="133">
        <v>0</v>
      </c>
      <c r="Q489" s="133">
        <v>0</v>
      </c>
      <c r="R489" s="133">
        <v>0</v>
      </c>
      <c r="S489" s="133">
        <v>0</v>
      </c>
    </row>
    <row r="490" spans="1:19">
      <c r="A490" s="88" t="s">
        <v>183</v>
      </c>
      <c r="B490" s="108">
        <v>3</v>
      </c>
      <c r="C490" s="108">
        <v>1</v>
      </c>
      <c r="D490" s="108">
        <v>7.5470255390732541</v>
      </c>
      <c r="E490" s="108">
        <v>0</v>
      </c>
      <c r="F490" s="108">
        <v>4.9051842789417321</v>
      </c>
      <c r="G490" s="108">
        <v>96.903196207371153</v>
      </c>
      <c r="H490" s="108">
        <v>0.51613396543814249</v>
      </c>
      <c r="I490" s="108">
        <v>0</v>
      </c>
      <c r="J490" s="108">
        <v>0</v>
      </c>
      <c r="K490" s="108">
        <v>0</v>
      </c>
      <c r="L490" s="108">
        <v>1</v>
      </c>
      <c r="M490" s="134">
        <v>0</v>
      </c>
      <c r="N490" s="134">
        <v>42</v>
      </c>
      <c r="O490" s="134">
        <v>25000</v>
      </c>
      <c r="P490" s="133">
        <v>0</v>
      </c>
      <c r="Q490" s="133">
        <v>0</v>
      </c>
      <c r="R490" s="133">
        <v>0</v>
      </c>
      <c r="S490" s="133">
        <v>0</v>
      </c>
    </row>
    <row r="491" spans="1:19">
      <c r="A491" s="88" t="s">
        <v>183</v>
      </c>
      <c r="B491" s="108">
        <v>4</v>
      </c>
      <c r="C491" s="108">
        <v>1</v>
      </c>
      <c r="D491" s="108">
        <v>0.95580363970025894</v>
      </c>
      <c r="E491" s="108">
        <v>1.441351888667991</v>
      </c>
      <c r="F491" s="108">
        <v>0.82963755925982707</v>
      </c>
      <c r="G491" s="108">
        <v>94.421929958709285</v>
      </c>
      <c r="H491" s="108">
        <v>96.299128307080593</v>
      </c>
      <c r="I491" s="108">
        <v>0</v>
      </c>
      <c r="J491" s="108">
        <v>0</v>
      </c>
      <c r="K491" s="108">
        <v>0</v>
      </c>
      <c r="L491" s="108">
        <v>1</v>
      </c>
      <c r="M491" s="134">
        <v>0</v>
      </c>
      <c r="N491" s="134">
        <v>42</v>
      </c>
      <c r="O491" s="134">
        <v>25000</v>
      </c>
      <c r="P491" s="133">
        <v>0</v>
      </c>
      <c r="Q491" s="133">
        <v>0</v>
      </c>
      <c r="R491" s="133">
        <v>0</v>
      </c>
      <c r="S491" s="133">
        <v>0</v>
      </c>
    </row>
    <row r="492" spans="1:19">
      <c r="A492" s="88" t="s">
        <v>183</v>
      </c>
      <c r="B492" s="108">
        <v>5</v>
      </c>
      <c r="C492" s="108">
        <v>1</v>
      </c>
      <c r="D492" s="108">
        <v>2.4927358923382772</v>
      </c>
      <c r="E492" s="108">
        <v>1.850435846459703</v>
      </c>
      <c r="F492" s="108">
        <v>1.7586786970484769</v>
      </c>
      <c r="G492" s="108">
        <v>98.241321302951519</v>
      </c>
      <c r="H492" s="108">
        <v>1.2310750879339361</v>
      </c>
      <c r="I492" s="108">
        <v>0</v>
      </c>
      <c r="J492" s="108">
        <v>0</v>
      </c>
      <c r="K492" s="108">
        <v>0</v>
      </c>
      <c r="L492" s="108">
        <v>1</v>
      </c>
      <c r="M492" s="134">
        <v>0</v>
      </c>
      <c r="N492" s="134">
        <v>42</v>
      </c>
      <c r="O492" s="134">
        <v>25000</v>
      </c>
      <c r="P492" s="133">
        <v>0</v>
      </c>
      <c r="Q492" s="133">
        <v>0</v>
      </c>
      <c r="R492" s="133">
        <v>0</v>
      </c>
      <c r="S492" s="133">
        <v>0</v>
      </c>
    </row>
    <row r="493" spans="1:19">
      <c r="A493" s="88" t="s">
        <v>183</v>
      </c>
      <c r="B493" s="108">
        <v>6</v>
      </c>
      <c r="C493" s="108">
        <v>1</v>
      </c>
      <c r="D493" s="108">
        <v>7.008896369319551</v>
      </c>
      <c r="E493" s="108">
        <v>24.561192594373651</v>
      </c>
      <c r="F493" s="108">
        <v>6.2154364029814886</v>
      </c>
      <c r="G493" s="108">
        <v>50</v>
      </c>
      <c r="H493" s="108">
        <v>93.075258475595106</v>
      </c>
      <c r="I493" s="108">
        <v>0</v>
      </c>
      <c r="J493" s="108">
        <v>0</v>
      </c>
      <c r="K493" s="108">
        <v>0</v>
      </c>
      <c r="L493" s="108">
        <v>1</v>
      </c>
      <c r="M493" s="134">
        <v>0</v>
      </c>
      <c r="N493" s="134">
        <v>42</v>
      </c>
      <c r="O493" s="134">
        <v>25000</v>
      </c>
      <c r="P493" s="133">
        <v>0</v>
      </c>
      <c r="Q493" s="133">
        <v>0</v>
      </c>
      <c r="R493" s="133">
        <v>0</v>
      </c>
      <c r="S493" s="133">
        <v>0</v>
      </c>
    </row>
    <row r="494" spans="1:19">
      <c r="A494" s="88" t="s">
        <v>183</v>
      </c>
      <c r="B494" s="108">
        <v>7</v>
      </c>
      <c r="C494" s="108">
        <v>1</v>
      </c>
      <c r="D494" s="108">
        <v>5.0012022120702104</v>
      </c>
      <c r="E494" s="108">
        <v>10.122625631161339</v>
      </c>
      <c r="F494" s="108">
        <v>7.718201490742965</v>
      </c>
      <c r="G494" s="108">
        <v>93.279634527530646</v>
      </c>
      <c r="H494" s="108">
        <v>11.625390718922819</v>
      </c>
      <c r="I494" s="108">
        <v>0</v>
      </c>
      <c r="J494" s="108">
        <v>1</v>
      </c>
      <c r="K494" s="108">
        <v>0</v>
      </c>
      <c r="L494" s="108">
        <v>1</v>
      </c>
      <c r="M494" s="134">
        <v>0</v>
      </c>
      <c r="N494" s="134">
        <v>42</v>
      </c>
      <c r="O494" s="134">
        <v>25000</v>
      </c>
      <c r="P494" s="133">
        <v>0</v>
      </c>
      <c r="Q494" s="133">
        <v>0</v>
      </c>
      <c r="R494" s="133">
        <v>0</v>
      </c>
      <c r="S494" s="133">
        <v>0</v>
      </c>
    </row>
    <row r="495" spans="1:19">
      <c r="A495" s="88" t="s">
        <v>184</v>
      </c>
      <c r="B495" s="108">
        <v>3</v>
      </c>
      <c r="C495" s="108">
        <v>1</v>
      </c>
      <c r="D495" s="108">
        <v>83.902638576395987</v>
      </c>
      <c r="E495" s="108">
        <v>86.121906320310899</v>
      </c>
      <c r="F495" s="108">
        <v>90.089997954591936</v>
      </c>
      <c r="G495" s="108">
        <v>20.494988750255679</v>
      </c>
      <c r="H495" s="108">
        <v>50</v>
      </c>
      <c r="I495" s="108">
        <v>0</v>
      </c>
      <c r="J495" s="108">
        <v>0</v>
      </c>
      <c r="K495" s="108">
        <v>1</v>
      </c>
      <c r="L495" s="108">
        <v>1</v>
      </c>
      <c r="M495" s="134">
        <v>1</v>
      </c>
      <c r="N495" s="134">
        <v>21</v>
      </c>
      <c r="O495" s="134">
        <v>17000</v>
      </c>
      <c r="P495" s="133">
        <v>0</v>
      </c>
      <c r="Q495" s="133">
        <v>0</v>
      </c>
      <c r="R495" s="133">
        <v>0</v>
      </c>
      <c r="S495" s="133">
        <v>0</v>
      </c>
    </row>
    <row r="496" spans="1:19">
      <c r="A496" s="88" t="s">
        <v>184</v>
      </c>
      <c r="B496" s="108">
        <v>4</v>
      </c>
      <c r="C496" s="108">
        <v>1</v>
      </c>
      <c r="D496" s="108">
        <v>86.837799140928624</v>
      </c>
      <c r="E496" s="108">
        <v>14.1951319288198</v>
      </c>
      <c r="F496" s="108">
        <v>18.306402127224381</v>
      </c>
      <c r="G496" s="108">
        <v>79.83227653916957</v>
      </c>
      <c r="H496" s="108">
        <v>20.147269380241362</v>
      </c>
      <c r="I496" s="108">
        <v>0</v>
      </c>
      <c r="J496" s="108">
        <v>0</v>
      </c>
      <c r="K496" s="108">
        <v>1</v>
      </c>
      <c r="L496" s="108">
        <v>1</v>
      </c>
      <c r="M496" s="134">
        <v>1</v>
      </c>
      <c r="N496" s="134">
        <v>21</v>
      </c>
      <c r="O496" s="134">
        <v>17000</v>
      </c>
      <c r="P496" s="133">
        <v>0</v>
      </c>
      <c r="Q496" s="133">
        <v>0</v>
      </c>
      <c r="R496" s="133">
        <v>0</v>
      </c>
      <c r="S496" s="133">
        <v>0</v>
      </c>
    </row>
    <row r="497" spans="1:19">
      <c r="A497" s="88" t="s">
        <v>184</v>
      </c>
      <c r="B497" s="108">
        <v>5</v>
      </c>
      <c r="C497" s="108">
        <v>1</v>
      </c>
      <c r="D497" s="108">
        <v>9.695234199222746</v>
      </c>
      <c r="E497" s="108">
        <v>19.646144405808961</v>
      </c>
      <c r="F497" s="108">
        <v>13.86786663939456</v>
      </c>
      <c r="G497" s="108">
        <v>79.147064839435473</v>
      </c>
      <c r="H497" s="108">
        <v>15.831458375945999</v>
      </c>
      <c r="I497" s="108">
        <v>0</v>
      </c>
      <c r="J497" s="108">
        <v>0</v>
      </c>
      <c r="K497" s="108">
        <v>0</v>
      </c>
      <c r="L497" s="108">
        <v>1</v>
      </c>
      <c r="M497" s="134">
        <v>1</v>
      </c>
      <c r="N497" s="134">
        <v>21</v>
      </c>
      <c r="O497" s="134">
        <v>17000</v>
      </c>
      <c r="P497" s="133">
        <v>0</v>
      </c>
      <c r="Q497" s="133">
        <v>0</v>
      </c>
      <c r="R497" s="133">
        <v>0</v>
      </c>
      <c r="S497" s="133">
        <v>0</v>
      </c>
    </row>
    <row r="498" spans="1:19">
      <c r="A498" s="88" t="s">
        <v>184</v>
      </c>
      <c r="B498" s="108">
        <v>6</v>
      </c>
      <c r="C498" s="108">
        <v>1</v>
      </c>
      <c r="D498" s="108">
        <v>0</v>
      </c>
      <c r="E498" s="108">
        <v>25.311924728983431</v>
      </c>
      <c r="F498" s="108">
        <v>32.941296788709337</v>
      </c>
      <c r="G498" s="108">
        <v>87.195745551237465</v>
      </c>
      <c r="H498" s="108">
        <v>23.10638297872341</v>
      </c>
      <c r="I498" s="108">
        <v>0</v>
      </c>
      <c r="J498" s="108">
        <v>0</v>
      </c>
      <c r="K498" s="108">
        <v>0</v>
      </c>
      <c r="L498" s="108">
        <v>1</v>
      </c>
      <c r="M498" s="134">
        <v>1</v>
      </c>
      <c r="N498" s="134">
        <v>21</v>
      </c>
      <c r="O498" s="134">
        <v>17000</v>
      </c>
      <c r="P498" s="133">
        <v>0</v>
      </c>
      <c r="Q498" s="133">
        <v>0</v>
      </c>
      <c r="R498" s="133">
        <v>0</v>
      </c>
      <c r="S498" s="133">
        <v>0</v>
      </c>
    </row>
    <row r="499" spans="1:19">
      <c r="A499" s="88" t="s">
        <v>185</v>
      </c>
      <c r="B499" s="108">
        <v>4</v>
      </c>
      <c r="C499" s="108">
        <v>1</v>
      </c>
      <c r="D499" s="108">
        <v>11.143288844119869</v>
      </c>
      <c r="E499" s="108">
        <v>41.954167715940571</v>
      </c>
      <c r="F499" s="108">
        <v>8.0080584235708905</v>
      </c>
      <c r="G499" s="108">
        <v>50</v>
      </c>
      <c r="H499" s="108">
        <v>16.41903802568623</v>
      </c>
      <c r="I499" s="108">
        <v>0</v>
      </c>
      <c r="J499" s="108">
        <v>0</v>
      </c>
      <c r="K499" s="108">
        <v>0</v>
      </c>
      <c r="L499" s="108">
        <v>1</v>
      </c>
      <c r="M499" s="134">
        <v>1</v>
      </c>
      <c r="N499" s="134">
        <v>21</v>
      </c>
      <c r="O499" s="134">
        <v>92000</v>
      </c>
      <c r="P499" s="133">
        <v>0</v>
      </c>
      <c r="Q499" s="133">
        <v>1</v>
      </c>
      <c r="R499" s="133">
        <v>1</v>
      </c>
      <c r="S499" s="133">
        <v>0</v>
      </c>
    </row>
    <row r="500" spans="1:19">
      <c r="A500" s="88" t="s">
        <v>185</v>
      </c>
      <c r="B500" s="108">
        <v>6</v>
      </c>
      <c r="C500" s="108">
        <v>1</v>
      </c>
      <c r="D500" s="108">
        <v>2.7449005288340489</v>
      </c>
      <c r="E500" s="108">
        <v>6.1949131201208756</v>
      </c>
      <c r="F500" s="108">
        <v>10.27449005288341</v>
      </c>
      <c r="G500" s="108">
        <v>24.452279022916141</v>
      </c>
      <c r="H500" s="108">
        <v>1.8383278771090421</v>
      </c>
      <c r="I500" s="108">
        <v>0</v>
      </c>
      <c r="J500" s="108">
        <v>0</v>
      </c>
      <c r="K500" s="108">
        <v>0</v>
      </c>
      <c r="L500" s="108">
        <v>1</v>
      </c>
      <c r="M500" s="134">
        <v>1</v>
      </c>
      <c r="N500" s="134">
        <v>21</v>
      </c>
      <c r="O500" s="134">
        <v>92000</v>
      </c>
      <c r="P500" s="133">
        <v>0</v>
      </c>
      <c r="Q500" s="133">
        <v>1</v>
      </c>
      <c r="R500" s="133">
        <v>1</v>
      </c>
      <c r="S500" s="133">
        <v>0</v>
      </c>
    </row>
    <row r="501" spans="1:19">
      <c r="A501" s="88" t="s">
        <v>186</v>
      </c>
      <c r="B501" s="108">
        <v>1</v>
      </c>
      <c r="C501" s="108">
        <v>1</v>
      </c>
      <c r="D501" s="108">
        <v>13.25180433039295</v>
      </c>
      <c r="E501" s="108">
        <v>4.3905372894947892</v>
      </c>
      <c r="F501" s="108">
        <v>8.3466987436514319</v>
      </c>
      <c r="G501" s="108">
        <v>83.366746859128568</v>
      </c>
      <c r="H501" s="108">
        <v>11.52098369419941</v>
      </c>
      <c r="I501" s="108">
        <v>1</v>
      </c>
      <c r="J501" s="108">
        <v>0</v>
      </c>
      <c r="K501" s="108">
        <v>0</v>
      </c>
      <c r="L501" s="108">
        <v>1</v>
      </c>
      <c r="M501" s="134">
        <v>0</v>
      </c>
      <c r="N501" s="134">
        <v>61</v>
      </c>
      <c r="O501" s="134">
        <v>-99</v>
      </c>
      <c r="P501" s="133">
        <v>0</v>
      </c>
      <c r="Q501" s="133">
        <v>0</v>
      </c>
      <c r="R501" s="133">
        <v>0</v>
      </c>
      <c r="S501" s="133">
        <v>0</v>
      </c>
    </row>
    <row r="502" spans="1:19">
      <c r="A502" s="88" t="s">
        <v>186</v>
      </c>
      <c r="B502" s="108">
        <v>2</v>
      </c>
      <c r="C502" s="108">
        <v>1</v>
      </c>
      <c r="D502" s="108">
        <v>14.007832898172319</v>
      </c>
      <c r="E502" s="108">
        <v>5.6788511749347226</v>
      </c>
      <c r="F502" s="108">
        <v>50</v>
      </c>
      <c r="G502" s="108">
        <v>56.710182767624033</v>
      </c>
      <c r="H502" s="108">
        <v>18.590078328981729</v>
      </c>
      <c r="I502" s="108">
        <v>0</v>
      </c>
      <c r="J502" s="108">
        <v>0</v>
      </c>
      <c r="K502" s="108">
        <v>0</v>
      </c>
      <c r="L502" s="108">
        <v>1</v>
      </c>
      <c r="M502" s="134">
        <v>0</v>
      </c>
      <c r="N502" s="134">
        <v>61</v>
      </c>
      <c r="O502" s="134">
        <v>-99</v>
      </c>
      <c r="P502" s="133">
        <v>0</v>
      </c>
      <c r="Q502" s="133">
        <v>0</v>
      </c>
      <c r="R502" s="133">
        <v>0</v>
      </c>
      <c r="S502" s="133">
        <v>0</v>
      </c>
    </row>
    <row r="503" spans="1:19">
      <c r="A503" s="88" t="s">
        <v>186</v>
      </c>
      <c r="B503" s="108">
        <v>3</v>
      </c>
      <c r="C503" s="108">
        <v>1</v>
      </c>
      <c r="D503" s="108">
        <v>12.741514360313319</v>
      </c>
      <c r="E503" s="108">
        <v>0</v>
      </c>
      <c r="F503" s="108">
        <v>3.9556135770234979</v>
      </c>
      <c r="G503" s="108">
        <v>76.383812010443862</v>
      </c>
      <c r="H503" s="108">
        <v>7.6762402088772834</v>
      </c>
      <c r="I503" s="108">
        <v>0</v>
      </c>
      <c r="J503" s="108">
        <v>0</v>
      </c>
      <c r="K503" s="108">
        <v>0</v>
      </c>
      <c r="L503" s="108">
        <v>1</v>
      </c>
      <c r="M503" s="134">
        <v>0</v>
      </c>
      <c r="N503" s="134">
        <v>61</v>
      </c>
      <c r="O503" s="134">
        <v>-99</v>
      </c>
      <c r="P503" s="133">
        <v>0</v>
      </c>
      <c r="Q503" s="133">
        <v>0</v>
      </c>
      <c r="R503" s="133">
        <v>0</v>
      </c>
      <c r="S503" s="133">
        <v>0</v>
      </c>
    </row>
    <row r="504" spans="1:19">
      <c r="A504" s="88" t="s">
        <v>186</v>
      </c>
      <c r="B504" s="108">
        <v>5</v>
      </c>
      <c r="C504" s="108">
        <v>1</v>
      </c>
      <c r="D504" s="108">
        <v>3.9164490861618768</v>
      </c>
      <c r="E504" s="108">
        <v>7.4673629242819839</v>
      </c>
      <c r="F504" s="108">
        <v>7.4673629242819839</v>
      </c>
      <c r="G504" s="108">
        <v>90.678851174934721</v>
      </c>
      <c r="H504" s="108">
        <v>4.0861618798955606</v>
      </c>
      <c r="I504" s="108">
        <v>0</v>
      </c>
      <c r="J504" s="108">
        <v>0</v>
      </c>
      <c r="K504" s="108">
        <v>0</v>
      </c>
      <c r="L504" s="108">
        <v>1</v>
      </c>
      <c r="M504" s="134">
        <v>0</v>
      </c>
      <c r="N504" s="134">
        <v>61</v>
      </c>
      <c r="O504" s="134">
        <v>-99</v>
      </c>
      <c r="P504" s="133">
        <v>0</v>
      </c>
      <c r="Q504" s="133">
        <v>0</v>
      </c>
      <c r="R504" s="133">
        <v>0</v>
      </c>
      <c r="S504" s="133">
        <v>0</v>
      </c>
    </row>
    <row r="505" spans="1:19">
      <c r="A505" s="88" t="s">
        <v>186</v>
      </c>
      <c r="B505" s="108">
        <v>6</v>
      </c>
      <c r="C505" s="108">
        <v>1</v>
      </c>
      <c r="D505" s="108">
        <v>19.81723237597911</v>
      </c>
      <c r="E505" s="108">
        <v>25.88772845953002</v>
      </c>
      <c r="F505" s="108">
        <v>50</v>
      </c>
      <c r="G505" s="108">
        <v>5.2219321148827547E-2</v>
      </c>
      <c r="H505" s="108">
        <v>9.4255874673629219</v>
      </c>
      <c r="I505" s="108">
        <v>0</v>
      </c>
      <c r="J505" s="108">
        <v>0</v>
      </c>
      <c r="K505" s="108">
        <v>0</v>
      </c>
      <c r="L505" s="108">
        <v>1</v>
      </c>
      <c r="M505" s="134">
        <v>0</v>
      </c>
      <c r="N505" s="134">
        <v>61</v>
      </c>
      <c r="O505" s="134">
        <v>-99</v>
      </c>
      <c r="P505" s="133">
        <v>0</v>
      </c>
      <c r="Q505" s="133">
        <v>0</v>
      </c>
      <c r="R505" s="133">
        <v>0</v>
      </c>
      <c r="S505" s="133">
        <v>0</v>
      </c>
    </row>
    <row r="506" spans="1:19">
      <c r="A506" s="88" t="s">
        <v>186</v>
      </c>
      <c r="B506" s="108">
        <v>7</v>
      </c>
      <c r="C506" s="108">
        <v>1</v>
      </c>
      <c r="D506" s="108">
        <v>18.577023498694519</v>
      </c>
      <c r="E506" s="108">
        <v>9.6997389033942554</v>
      </c>
      <c r="F506" s="108">
        <v>14.321148825065279</v>
      </c>
      <c r="G506" s="108">
        <v>50</v>
      </c>
      <c r="H506" s="108">
        <v>23.002610966057439</v>
      </c>
      <c r="I506" s="108">
        <v>0</v>
      </c>
      <c r="J506" s="108">
        <v>1</v>
      </c>
      <c r="K506" s="108">
        <v>0</v>
      </c>
      <c r="L506" s="108">
        <v>1</v>
      </c>
      <c r="M506" s="134">
        <v>0</v>
      </c>
      <c r="N506" s="134">
        <v>61</v>
      </c>
      <c r="O506" s="134">
        <v>-99</v>
      </c>
      <c r="P506" s="133">
        <v>0</v>
      </c>
      <c r="Q506" s="133">
        <v>0</v>
      </c>
      <c r="R506" s="133">
        <v>0</v>
      </c>
      <c r="S506" s="133">
        <v>0</v>
      </c>
    </row>
    <row r="507" spans="1:19">
      <c r="A507" s="88" t="s">
        <v>187</v>
      </c>
      <c r="B507" s="108">
        <v>2</v>
      </c>
      <c r="C507" s="108">
        <v>1</v>
      </c>
      <c r="D507" s="108">
        <v>12.078742709008431</v>
      </c>
      <c r="E507" s="108">
        <v>2.4546338302009079</v>
      </c>
      <c r="F507" s="108">
        <v>6.3755670771224899</v>
      </c>
      <c r="G507" s="108">
        <v>82.477316915100445</v>
      </c>
      <c r="H507" s="108">
        <v>97.966623460790672</v>
      </c>
      <c r="I507" s="108">
        <v>0</v>
      </c>
      <c r="J507" s="108">
        <v>0</v>
      </c>
      <c r="K507" s="108">
        <v>0</v>
      </c>
      <c r="L507" s="108">
        <v>1</v>
      </c>
      <c r="M507" s="134">
        <v>0</v>
      </c>
      <c r="N507" s="134">
        <v>46</v>
      </c>
      <c r="O507" s="134">
        <v>45000</v>
      </c>
      <c r="P507" s="133">
        <v>1</v>
      </c>
      <c r="Q507" s="133">
        <v>1</v>
      </c>
      <c r="R507" s="133">
        <v>1</v>
      </c>
      <c r="S507" s="133">
        <v>1</v>
      </c>
    </row>
    <row r="508" spans="1:19">
      <c r="A508" s="88" t="s">
        <v>187</v>
      </c>
      <c r="B508" s="108">
        <v>3</v>
      </c>
      <c r="C508" s="108">
        <v>1</v>
      </c>
      <c r="D508" s="108">
        <v>98.736228127025271</v>
      </c>
      <c r="E508" s="108">
        <v>97.772197018794557</v>
      </c>
      <c r="F508" s="108">
        <v>97.885612443292274</v>
      </c>
      <c r="G508" s="108">
        <v>8.10110174983798</v>
      </c>
      <c r="H508" s="108">
        <v>23.144847699287102</v>
      </c>
      <c r="I508" s="108">
        <v>0</v>
      </c>
      <c r="J508" s="108">
        <v>0</v>
      </c>
      <c r="K508" s="108">
        <v>1</v>
      </c>
      <c r="L508" s="108">
        <v>1</v>
      </c>
      <c r="M508" s="134">
        <v>0</v>
      </c>
      <c r="N508" s="134">
        <v>46</v>
      </c>
      <c r="O508" s="134">
        <v>45000</v>
      </c>
      <c r="P508" s="133">
        <v>1</v>
      </c>
      <c r="Q508" s="133">
        <v>1</v>
      </c>
      <c r="R508" s="133">
        <v>1</v>
      </c>
      <c r="S508" s="133">
        <v>1</v>
      </c>
    </row>
    <row r="509" spans="1:19">
      <c r="A509" s="88" t="s">
        <v>187</v>
      </c>
      <c r="B509" s="108">
        <v>4</v>
      </c>
      <c r="C509" s="108">
        <v>1</v>
      </c>
      <c r="D509" s="108">
        <v>2.1143875567077139</v>
      </c>
      <c r="E509" s="108">
        <v>2.12248865845755</v>
      </c>
      <c r="F509" s="108">
        <v>21.864873622812699</v>
      </c>
      <c r="G509" s="108">
        <v>1.612119248217758</v>
      </c>
      <c r="H509" s="108">
        <v>98.10434219053792</v>
      </c>
      <c r="I509" s="108">
        <v>0</v>
      </c>
      <c r="J509" s="108">
        <v>0</v>
      </c>
      <c r="K509" s="108">
        <v>0</v>
      </c>
      <c r="L509" s="108">
        <v>1</v>
      </c>
      <c r="M509" s="134">
        <v>0</v>
      </c>
      <c r="N509" s="134">
        <v>46</v>
      </c>
      <c r="O509" s="134">
        <v>45000</v>
      </c>
      <c r="P509" s="133">
        <v>1</v>
      </c>
      <c r="Q509" s="133">
        <v>1</v>
      </c>
      <c r="R509" s="133">
        <v>1</v>
      </c>
      <c r="S509" s="133">
        <v>1</v>
      </c>
    </row>
    <row r="510" spans="1:19">
      <c r="A510" s="88" t="s">
        <v>187</v>
      </c>
      <c r="B510" s="108">
        <v>7</v>
      </c>
      <c r="C510" s="108">
        <v>1</v>
      </c>
      <c r="D510" s="108">
        <v>7.0637785800240662</v>
      </c>
      <c r="E510" s="108">
        <v>50</v>
      </c>
      <c r="F510" s="108">
        <v>6.8953068592057747</v>
      </c>
      <c r="G510" s="108">
        <v>61.323706377858002</v>
      </c>
      <c r="H510" s="108">
        <v>95.379061371841161</v>
      </c>
      <c r="I510" s="108">
        <v>0</v>
      </c>
      <c r="J510" s="108">
        <v>1</v>
      </c>
      <c r="K510" s="108">
        <v>0</v>
      </c>
      <c r="L510" s="108">
        <v>1</v>
      </c>
      <c r="M510" s="134">
        <v>0</v>
      </c>
      <c r="N510" s="134">
        <v>46</v>
      </c>
      <c r="O510" s="134">
        <v>45000</v>
      </c>
      <c r="P510" s="133">
        <v>1</v>
      </c>
      <c r="Q510" s="133">
        <v>1</v>
      </c>
      <c r="R510" s="133">
        <v>1</v>
      </c>
      <c r="S510" s="133">
        <v>1</v>
      </c>
    </row>
    <row r="511" spans="1:19">
      <c r="A511" s="88" t="s">
        <v>188</v>
      </c>
      <c r="B511" s="108">
        <v>1</v>
      </c>
      <c r="C511" s="108">
        <v>1</v>
      </c>
      <c r="D511" s="108">
        <v>97.336010709504677</v>
      </c>
      <c r="E511" s="108">
        <v>97.510040160642575</v>
      </c>
      <c r="F511" s="108">
        <v>99.116465863453811</v>
      </c>
      <c r="G511" s="108">
        <v>3.1593038821954469</v>
      </c>
      <c r="H511" s="108">
        <v>1.8875502008032119</v>
      </c>
      <c r="I511" s="108">
        <v>1</v>
      </c>
      <c r="J511" s="108">
        <v>0</v>
      </c>
      <c r="K511" s="108">
        <v>1</v>
      </c>
      <c r="L511" s="108">
        <v>1</v>
      </c>
      <c r="M511" s="134">
        <v>1</v>
      </c>
      <c r="N511" s="134">
        <v>32</v>
      </c>
      <c r="O511" s="134">
        <v>75000</v>
      </c>
      <c r="P511" s="133">
        <v>1</v>
      </c>
      <c r="Q511" s="133">
        <v>1</v>
      </c>
      <c r="R511" s="133">
        <v>0</v>
      </c>
      <c r="S511" s="133">
        <v>1</v>
      </c>
    </row>
    <row r="512" spans="1:19">
      <c r="A512" s="88" t="s">
        <v>188</v>
      </c>
      <c r="B512" s="108">
        <v>2</v>
      </c>
      <c r="C512" s="108">
        <v>1</v>
      </c>
      <c r="D512" s="108">
        <v>98.179384203480595</v>
      </c>
      <c r="E512" s="108">
        <v>98.808567603748315</v>
      </c>
      <c r="F512" s="108">
        <v>97.951807228915655</v>
      </c>
      <c r="G512" s="108">
        <v>4.3239625167336033</v>
      </c>
      <c r="H512" s="108">
        <v>6.6934404283802706E-2</v>
      </c>
      <c r="I512" s="108">
        <v>0</v>
      </c>
      <c r="J512" s="108">
        <v>0</v>
      </c>
      <c r="K512" s="108">
        <v>1</v>
      </c>
      <c r="L512" s="108">
        <v>1</v>
      </c>
      <c r="M512" s="134">
        <v>1</v>
      </c>
      <c r="N512" s="134">
        <v>32</v>
      </c>
      <c r="O512" s="134">
        <v>75000</v>
      </c>
      <c r="P512" s="133">
        <v>1</v>
      </c>
      <c r="Q512" s="133">
        <v>1</v>
      </c>
      <c r="R512" s="133">
        <v>0</v>
      </c>
      <c r="S512" s="133">
        <v>1</v>
      </c>
    </row>
    <row r="513" spans="1:19">
      <c r="A513" s="88" t="s">
        <v>188</v>
      </c>
      <c r="B513" s="108">
        <v>3</v>
      </c>
      <c r="C513" s="108">
        <v>1</v>
      </c>
      <c r="D513" s="108">
        <v>97.925033467202141</v>
      </c>
      <c r="E513" s="108">
        <v>99.129852744310583</v>
      </c>
      <c r="F513" s="108">
        <v>97.095046854082995</v>
      </c>
      <c r="G513" s="108">
        <v>1.2182061579651959</v>
      </c>
      <c r="H513" s="108">
        <v>5.6894243641231581</v>
      </c>
      <c r="I513" s="108">
        <v>0</v>
      </c>
      <c r="J513" s="108">
        <v>0</v>
      </c>
      <c r="K513" s="108">
        <v>1</v>
      </c>
      <c r="L513" s="108">
        <v>1</v>
      </c>
      <c r="M513" s="134">
        <v>1</v>
      </c>
      <c r="N513" s="134">
        <v>32</v>
      </c>
      <c r="O513" s="134">
        <v>75000</v>
      </c>
      <c r="P513" s="133">
        <v>1</v>
      </c>
      <c r="Q513" s="133">
        <v>1</v>
      </c>
      <c r="R513" s="133">
        <v>0</v>
      </c>
      <c r="S513" s="133">
        <v>1</v>
      </c>
    </row>
    <row r="514" spans="1:19">
      <c r="A514" s="88" t="s">
        <v>188</v>
      </c>
      <c r="B514" s="108">
        <v>4</v>
      </c>
      <c r="C514" s="108">
        <v>1</v>
      </c>
      <c r="D514" s="108">
        <v>94.953145917001336</v>
      </c>
      <c r="E514" s="108">
        <v>50</v>
      </c>
      <c r="F514" s="108">
        <v>92.811244979919678</v>
      </c>
      <c r="G514" s="108">
        <v>3.7483266398929072</v>
      </c>
      <c r="H514" s="108">
        <v>6.2516733601070964</v>
      </c>
      <c r="I514" s="108">
        <v>0</v>
      </c>
      <c r="J514" s="108">
        <v>0</v>
      </c>
      <c r="K514" s="108">
        <v>1</v>
      </c>
      <c r="L514" s="108">
        <v>1</v>
      </c>
      <c r="M514" s="134">
        <v>1</v>
      </c>
      <c r="N514" s="134">
        <v>32</v>
      </c>
      <c r="O514" s="134">
        <v>75000</v>
      </c>
      <c r="P514" s="133">
        <v>1</v>
      </c>
      <c r="Q514" s="133">
        <v>1</v>
      </c>
      <c r="R514" s="133">
        <v>0</v>
      </c>
      <c r="S514" s="133">
        <v>1</v>
      </c>
    </row>
    <row r="515" spans="1:19">
      <c r="A515" s="88" t="s">
        <v>188</v>
      </c>
      <c r="B515" s="108">
        <v>5</v>
      </c>
      <c r="C515" s="108">
        <v>1</v>
      </c>
      <c r="D515" s="108">
        <v>97.603748326639888</v>
      </c>
      <c r="E515" s="108">
        <v>99.839357429718874</v>
      </c>
      <c r="F515" s="108">
        <v>95.113788487282463</v>
      </c>
      <c r="G515" s="108">
        <v>0.65595716198125764</v>
      </c>
      <c r="H515" s="108">
        <v>1.7269076305220901</v>
      </c>
      <c r="I515" s="108">
        <v>0</v>
      </c>
      <c r="J515" s="108">
        <v>0</v>
      </c>
      <c r="K515" s="108">
        <v>1</v>
      </c>
      <c r="L515" s="108">
        <v>1</v>
      </c>
      <c r="M515" s="134">
        <v>1</v>
      </c>
      <c r="N515" s="134">
        <v>32</v>
      </c>
      <c r="O515" s="134">
        <v>75000</v>
      </c>
      <c r="P515" s="133">
        <v>1</v>
      </c>
      <c r="Q515" s="133">
        <v>1</v>
      </c>
      <c r="R515" s="133">
        <v>0</v>
      </c>
      <c r="S515" s="133">
        <v>1</v>
      </c>
    </row>
    <row r="516" spans="1:19">
      <c r="A516" s="88" t="s">
        <v>188</v>
      </c>
      <c r="B516" s="108">
        <v>6</v>
      </c>
      <c r="C516" s="108">
        <v>1</v>
      </c>
      <c r="D516" s="108">
        <v>98.433734939759049</v>
      </c>
      <c r="E516" s="108">
        <v>94.939759036144579</v>
      </c>
      <c r="F516" s="108">
        <v>98.929049531459171</v>
      </c>
      <c r="G516" s="108">
        <v>1.566265060240962</v>
      </c>
      <c r="H516" s="108">
        <v>2.2891566265060219</v>
      </c>
      <c r="I516" s="108">
        <v>0</v>
      </c>
      <c r="J516" s="108">
        <v>0</v>
      </c>
      <c r="K516" s="108">
        <v>1</v>
      </c>
      <c r="L516" s="108">
        <v>1</v>
      </c>
      <c r="M516" s="134">
        <v>1</v>
      </c>
      <c r="N516" s="134">
        <v>32</v>
      </c>
      <c r="O516" s="134">
        <v>75000</v>
      </c>
      <c r="P516" s="133">
        <v>1</v>
      </c>
      <c r="Q516" s="133">
        <v>1</v>
      </c>
      <c r="R516" s="133">
        <v>0</v>
      </c>
      <c r="S516" s="133">
        <v>1</v>
      </c>
    </row>
    <row r="517" spans="1:19">
      <c r="A517" s="88" t="s">
        <v>188</v>
      </c>
      <c r="B517" s="108">
        <v>7</v>
      </c>
      <c r="C517" s="108">
        <v>1</v>
      </c>
      <c r="D517" s="108">
        <v>92.86479250334672</v>
      </c>
      <c r="E517" s="108">
        <v>100</v>
      </c>
      <c r="F517" s="108">
        <v>99.651941097724233</v>
      </c>
      <c r="G517" s="108">
        <v>1.2048192771084321</v>
      </c>
      <c r="H517" s="108">
        <v>98.848728246318601</v>
      </c>
      <c r="I517" s="108">
        <v>0</v>
      </c>
      <c r="J517" s="108">
        <v>1</v>
      </c>
      <c r="K517" s="108">
        <v>1</v>
      </c>
      <c r="L517" s="108">
        <v>1</v>
      </c>
      <c r="M517" s="134">
        <v>1</v>
      </c>
      <c r="N517" s="134">
        <v>32</v>
      </c>
      <c r="O517" s="134">
        <v>75000</v>
      </c>
      <c r="P517" s="133">
        <v>1</v>
      </c>
      <c r="Q517" s="133">
        <v>1</v>
      </c>
      <c r="R517" s="133">
        <v>0</v>
      </c>
      <c r="S517" s="133">
        <v>1</v>
      </c>
    </row>
    <row r="518" spans="1:19">
      <c r="A518" s="88" t="s">
        <v>189</v>
      </c>
      <c r="B518" s="108">
        <v>2</v>
      </c>
      <c r="C518" s="108">
        <v>1</v>
      </c>
      <c r="D518" s="108">
        <v>97.057677318784101</v>
      </c>
      <c r="E518" s="108">
        <v>92.049883086515976</v>
      </c>
      <c r="F518" s="108">
        <v>95.791114575214337</v>
      </c>
      <c r="G518" s="108">
        <v>5.2903351519875299</v>
      </c>
      <c r="H518" s="108">
        <v>5.5339049103663278</v>
      </c>
      <c r="I518" s="108">
        <v>0</v>
      </c>
      <c r="J518" s="108">
        <v>0</v>
      </c>
      <c r="K518" s="108">
        <v>1</v>
      </c>
      <c r="L518" s="108">
        <v>1</v>
      </c>
      <c r="M518" s="134">
        <v>1</v>
      </c>
      <c r="N518" s="134">
        <v>48</v>
      </c>
      <c r="O518" s="134">
        <v>50000</v>
      </c>
      <c r="P518" s="133">
        <v>1</v>
      </c>
      <c r="Q518" s="133">
        <v>0</v>
      </c>
      <c r="R518" s="133">
        <v>1</v>
      </c>
      <c r="S518" s="133">
        <v>1</v>
      </c>
    </row>
    <row r="519" spans="1:19">
      <c r="A519" s="88" t="s">
        <v>189</v>
      </c>
      <c r="B519" s="108">
        <v>3</v>
      </c>
      <c r="C519" s="108">
        <v>1</v>
      </c>
      <c r="D519" s="108">
        <v>84.056956115779641</v>
      </c>
      <c r="E519" s="108">
        <v>50</v>
      </c>
      <c r="F519" s="108">
        <v>89.204014939309047</v>
      </c>
      <c r="G519" s="108">
        <v>85.294117647058826</v>
      </c>
      <c r="H519" s="108">
        <v>10.63258636788049</v>
      </c>
      <c r="I519" s="108">
        <v>0</v>
      </c>
      <c r="J519" s="108">
        <v>0</v>
      </c>
      <c r="K519" s="108">
        <v>1</v>
      </c>
      <c r="L519" s="108">
        <v>1</v>
      </c>
      <c r="M519" s="134">
        <v>1</v>
      </c>
      <c r="N519" s="134">
        <v>48</v>
      </c>
      <c r="O519" s="134">
        <v>50000</v>
      </c>
      <c r="P519" s="133">
        <v>1</v>
      </c>
      <c r="Q519" s="133">
        <v>0</v>
      </c>
      <c r="R519" s="133">
        <v>1</v>
      </c>
      <c r="S519" s="133">
        <v>1</v>
      </c>
    </row>
    <row r="520" spans="1:19">
      <c r="A520" s="88" t="s">
        <v>189</v>
      </c>
      <c r="B520" s="108">
        <v>4</v>
      </c>
      <c r="C520" s="108">
        <v>1</v>
      </c>
      <c r="D520" s="108">
        <v>98.529411764705884</v>
      </c>
      <c r="E520" s="108">
        <v>97.957516339869287</v>
      </c>
      <c r="F520" s="108">
        <v>97.56069094304388</v>
      </c>
      <c r="G520" s="108">
        <v>20.331465919701209</v>
      </c>
      <c r="H520" s="108">
        <v>43.849206349206348</v>
      </c>
      <c r="I520" s="108">
        <v>0</v>
      </c>
      <c r="J520" s="108">
        <v>0</v>
      </c>
      <c r="K520" s="108">
        <v>1</v>
      </c>
      <c r="L520" s="108">
        <v>1</v>
      </c>
      <c r="M520" s="134">
        <v>1</v>
      </c>
      <c r="N520" s="134">
        <v>48</v>
      </c>
      <c r="O520" s="134">
        <v>50000</v>
      </c>
      <c r="P520" s="133">
        <v>1</v>
      </c>
      <c r="Q520" s="133">
        <v>0</v>
      </c>
      <c r="R520" s="133">
        <v>1</v>
      </c>
      <c r="S520" s="133">
        <v>1</v>
      </c>
    </row>
    <row r="521" spans="1:19">
      <c r="A521" s="88" t="s">
        <v>189</v>
      </c>
      <c r="B521" s="108">
        <v>5</v>
      </c>
      <c r="C521" s="108">
        <v>1</v>
      </c>
      <c r="D521" s="108">
        <v>95.996732026143789</v>
      </c>
      <c r="E521" s="108">
        <v>96.475256769374411</v>
      </c>
      <c r="F521" s="108">
        <v>96.977124183006538</v>
      </c>
      <c r="G521" s="108">
        <v>3.8865546218487368</v>
      </c>
      <c r="H521" s="108">
        <v>73.249299719887958</v>
      </c>
      <c r="I521" s="108">
        <v>0</v>
      </c>
      <c r="J521" s="108">
        <v>0</v>
      </c>
      <c r="K521" s="108">
        <v>1</v>
      </c>
      <c r="L521" s="108">
        <v>1</v>
      </c>
      <c r="M521" s="134">
        <v>1</v>
      </c>
      <c r="N521" s="134">
        <v>48</v>
      </c>
      <c r="O521" s="134">
        <v>50000</v>
      </c>
      <c r="P521" s="133">
        <v>1</v>
      </c>
      <c r="Q521" s="133">
        <v>0</v>
      </c>
      <c r="R521" s="133">
        <v>1</v>
      </c>
      <c r="S521" s="133">
        <v>1</v>
      </c>
    </row>
    <row r="522" spans="1:19">
      <c r="A522" s="88" t="s">
        <v>189</v>
      </c>
      <c r="B522" s="108">
        <v>6</v>
      </c>
      <c r="C522" s="108">
        <v>1</v>
      </c>
      <c r="D522" s="108">
        <v>98.517740429505139</v>
      </c>
      <c r="E522" s="108">
        <v>97.759103641456591</v>
      </c>
      <c r="F522" s="108">
        <v>96.778711484593842</v>
      </c>
      <c r="G522" s="108">
        <v>9.628851540616246</v>
      </c>
      <c r="H522" s="108">
        <v>8.5784313725490229</v>
      </c>
      <c r="I522" s="108">
        <v>0</v>
      </c>
      <c r="J522" s="108">
        <v>0</v>
      </c>
      <c r="K522" s="108">
        <v>1</v>
      </c>
      <c r="L522" s="108">
        <v>1</v>
      </c>
      <c r="M522" s="134">
        <v>1</v>
      </c>
      <c r="N522" s="134">
        <v>48</v>
      </c>
      <c r="O522" s="134">
        <v>50000</v>
      </c>
      <c r="P522" s="133">
        <v>1</v>
      </c>
      <c r="Q522" s="133">
        <v>0</v>
      </c>
      <c r="R522" s="133">
        <v>1</v>
      </c>
      <c r="S522" s="133">
        <v>1</v>
      </c>
    </row>
    <row r="523" spans="1:19">
      <c r="A523" s="88" t="s">
        <v>189</v>
      </c>
      <c r="B523" s="108">
        <v>7</v>
      </c>
      <c r="C523" s="108">
        <v>1</v>
      </c>
      <c r="D523" s="108">
        <v>86.006069094304394</v>
      </c>
      <c r="E523" s="108">
        <v>67.50700280112045</v>
      </c>
      <c r="F523" s="108">
        <v>95.716619981325863</v>
      </c>
      <c r="G523" s="108">
        <v>4.7852474323062557</v>
      </c>
      <c r="H523" s="108">
        <v>8.0882352941176467</v>
      </c>
      <c r="I523" s="108">
        <v>0</v>
      </c>
      <c r="J523" s="108">
        <v>1</v>
      </c>
      <c r="K523" s="108">
        <v>1</v>
      </c>
      <c r="L523" s="108">
        <v>1</v>
      </c>
      <c r="M523" s="134">
        <v>1</v>
      </c>
      <c r="N523" s="134">
        <v>48</v>
      </c>
      <c r="O523" s="134">
        <v>50000</v>
      </c>
      <c r="P523" s="133">
        <v>1</v>
      </c>
      <c r="Q523" s="133">
        <v>0</v>
      </c>
      <c r="R523" s="133">
        <v>1</v>
      </c>
      <c r="S523" s="133">
        <v>1</v>
      </c>
    </row>
    <row r="524" spans="1:19">
      <c r="A524" s="88" t="s">
        <v>190</v>
      </c>
      <c r="B524" s="108">
        <v>1</v>
      </c>
      <c r="C524" s="108">
        <v>1</v>
      </c>
      <c r="D524" s="108">
        <v>1.0017207472959699</v>
      </c>
      <c r="E524" s="108">
        <v>99.311701081612583</v>
      </c>
      <c r="F524" s="108">
        <v>99.199033103900362</v>
      </c>
      <c r="G524" s="108">
        <v>0.24582104228121901</v>
      </c>
      <c r="H524" s="108">
        <v>99.196984595214687</v>
      </c>
      <c r="I524" s="108">
        <v>1</v>
      </c>
      <c r="J524" s="108">
        <v>0</v>
      </c>
      <c r="K524" s="108">
        <v>0</v>
      </c>
      <c r="L524" s="108">
        <v>1</v>
      </c>
      <c r="M524" s="134">
        <v>1</v>
      </c>
      <c r="N524" s="134">
        <v>30</v>
      </c>
      <c r="O524" s="134">
        <v>95000</v>
      </c>
      <c r="P524" s="133">
        <v>1</v>
      </c>
      <c r="Q524" s="133">
        <v>1</v>
      </c>
      <c r="R524" s="133">
        <v>1</v>
      </c>
      <c r="S524" s="133">
        <v>1</v>
      </c>
    </row>
    <row r="525" spans="1:19">
      <c r="A525" s="88" t="s">
        <v>190</v>
      </c>
      <c r="B525" s="108">
        <v>4</v>
      </c>
      <c r="C525" s="108">
        <v>1</v>
      </c>
      <c r="D525" s="108">
        <v>14.595744680851061</v>
      </c>
      <c r="E525" s="108">
        <v>50</v>
      </c>
      <c r="F525" s="108">
        <v>96.553191489361694</v>
      </c>
      <c r="G525" s="108">
        <v>50</v>
      </c>
      <c r="H525" s="108">
        <v>80.042553191489361</v>
      </c>
      <c r="I525" s="108">
        <v>0</v>
      </c>
      <c r="J525" s="108">
        <v>0</v>
      </c>
      <c r="K525" s="108">
        <v>0</v>
      </c>
      <c r="L525" s="108">
        <v>1</v>
      </c>
      <c r="M525" s="134">
        <v>1</v>
      </c>
      <c r="N525" s="134">
        <v>30</v>
      </c>
      <c r="O525" s="134">
        <v>95000</v>
      </c>
      <c r="P525" s="133">
        <v>1</v>
      </c>
      <c r="Q525" s="133">
        <v>1</v>
      </c>
      <c r="R525" s="133">
        <v>1</v>
      </c>
      <c r="S525" s="133">
        <v>1</v>
      </c>
    </row>
    <row r="526" spans="1:19">
      <c r="A526" s="88" t="s">
        <v>190</v>
      </c>
      <c r="B526" s="108">
        <v>5</v>
      </c>
      <c r="C526" s="108">
        <v>1</v>
      </c>
      <c r="D526" s="108">
        <v>2.340425531914891</v>
      </c>
      <c r="E526" s="108">
        <v>98.425531914893611</v>
      </c>
      <c r="F526" s="108">
        <v>98.765957446808514</v>
      </c>
      <c r="G526" s="108">
        <v>1.5744680851063839</v>
      </c>
      <c r="H526" s="108">
        <v>6</v>
      </c>
      <c r="I526" s="108">
        <v>0</v>
      </c>
      <c r="J526" s="108">
        <v>0</v>
      </c>
      <c r="K526" s="108">
        <v>0</v>
      </c>
      <c r="L526" s="108">
        <v>1</v>
      </c>
      <c r="M526" s="134">
        <v>1</v>
      </c>
      <c r="N526" s="134">
        <v>30</v>
      </c>
      <c r="O526" s="134">
        <v>95000</v>
      </c>
      <c r="P526" s="133">
        <v>1</v>
      </c>
      <c r="Q526" s="133">
        <v>1</v>
      </c>
      <c r="R526" s="133">
        <v>1</v>
      </c>
      <c r="S526" s="133">
        <v>1</v>
      </c>
    </row>
    <row r="527" spans="1:19">
      <c r="A527" s="88" t="s">
        <v>190</v>
      </c>
      <c r="B527" s="108">
        <v>7</v>
      </c>
      <c r="C527" s="108">
        <v>1</v>
      </c>
      <c r="D527" s="108">
        <v>82.425531914893611</v>
      </c>
      <c r="E527" s="108">
        <v>7.7872340425531927</v>
      </c>
      <c r="F527" s="108">
        <v>90.936170212765958</v>
      </c>
      <c r="G527" s="108">
        <v>13.829787234042559</v>
      </c>
      <c r="H527" s="108">
        <v>97.744680851063819</v>
      </c>
      <c r="I527" s="108">
        <v>0</v>
      </c>
      <c r="J527" s="108">
        <v>1</v>
      </c>
      <c r="K527" s="108">
        <v>1</v>
      </c>
      <c r="L527" s="108">
        <v>1</v>
      </c>
      <c r="M527" s="134">
        <v>1</v>
      </c>
      <c r="N527" s="134">
        <v>30</v>
      </c>
      <c r="O527" s="134">
        <v>95000</v>
      </c>
      <c r="P527" s="133">
        <v>1</v>
      </c>
      <c r="Q527" s="133">
        <v>1</v>
      </c>
      <c r="R527" s="133">
        <v>1</v>
      </c>
      <c r="S527" s="133">
        <v>1</v>
      </c>
    </row>
    <row r="528" spans="1:19">
      <c r="A528" s="85" t="s">
        <v>191</v>
      </c>
      <c r="B528" s="85">
        <v>1</v>
      </c>
      <c r="C528" s="85">
        <v>1</v>
      </c>
      <c r="D528" s="108">
        <v>95.920160682902335</v>
      </c>
      <c r="E528" s="108">
        <v>95.618880241024357</v>
      </c>
      <c r="F528" s="108">
        <v>97.790610092894809</v>
      </c>
      <c r="G528" s="108">
        <v>15.89254330906352</v>
      </c>
      <c r="H528" s="108">
        <v>50</v>
      </c>
      <c r="I528" s="108">
        <v>1</v>
      </c>
      <c r="J528" s="108">
        <v>0</v>
      </c>
      <c r="K528" s="108">
        <v>1</v>
      </c>
      <c r="L528" s="108">
        <v>1</v>
      </c>
      <c r="M528" s="134">
        <v>1</v>
      </c>
      <c r="N528" s="134">
        <v>35</v>
      </c>
      <c r="O528" s="134">
        <v>39000</v>
      </c>
      <c r="P528" s="133">
        <v>1</v>
      </c>
      <c r="Q528" s="133">
        <v>1</v>
      </c>
      <c r="R528" s="133">
        <v>1</v>
      </c>
      <c r="S528" s="133">
        <v>1</v>
      </c>
    </row>
    <row r="529" spans="1:19">
      <c r="A529" s="85" t="s">
        <v>191</v>
      </c>
      <c r="B529" s="85">
        <v>2</v>
      </c>
      <c r="C529" s="85">
        <v>1</v>
      </c>
      <c r="D529" s="108">
        <v>98.455937735375343</v>
      </c>
      <c r="E529" s="108">
        <v>96.748681898066778</v>
      </c>
      <c r="F529" s="108">
        <v>100</v>
      </c>
      <c r="G529" s="108">
        <v>70.662816972131566</v>
      </c>
      <c r="H529" s="108">
        <v>99.887019834295756</v>
      </c>
      <c r="I529" s="108">
        <v>0</v>
      </c>
      <c r="J529" s="108">
        <v>0</v>
      </c>
      <c r="K529" s="108">
        <v>1</v>
      </c>
      <c r="L529" s="108">
        <v>1</v>
      </c>
      <c r="M529" s="134">
        <v>1</v>
      </c>
      <c r="N529" s="134">
        <v>35</v>
      </c>
      <c r="O529" s="134">
        <v>39000</v>
      </c>
      <c r="P529" s="133">
        <v>1</v>
      </c>
      <c r="Q529" s="133">
        <v>1</v>
      </c>
      <c r="R529" s="133">
        <v>1</v>
      </c>
      <c r="S529" s="133">
        <v>1</v>
      </c>
    </row>
    <row r="530" spans="1:19">
      <c r="A530" s="85" t="s">
        <v>191</v>
      </c>
      <c r="B530" s="85">
        <v>3</v>
      </c>
      <c r="C530" s="85">
        <v>1</v>
      </c>
      <c r="D530" s="108">
        <v>97.514436354506657</v>
      </c>
      <c r="E530" s="108">
        <v>99.912126537785582</v>
      </c>
      <c r="F530" s="108">
        <v>96.321867938739643</v>
      </c>
      <c r="G530" s="108">
        <v>7.8332914888275154</v>
      </c>
      <c r="H530" s="108">
        <v>3.5902585990459479</v>
      </c>
      <c r="I530" s="108">
        <v>0</v>
      </c>
      <c r="J530" s="108">
        <v>0</v>
      </c>
      <c r="K530" s="108">
        <v>1</v>
      </c>
      <c r="L530" s="108">
        <v>1</v>
      </c>
      <c r="M530" s="134">
        <v>1</v>
      </c>
      <c r="N530" s="134">
        <v>35</v>
      </c>
      <c r="O530" s="134">
        <v>39000</v>
      </c>
      <c r="P530" s="133">
        <v>1</v>
      </c>
      <c r="Q530" s="133">
        <v>1</v>
      </c>
      <c r="R530" s="133">
        <v>1</v>
      </c>
      <c r="S530" s="133">
        <v>1</v>
      </c>
    </row>
    <row r="531" spans="1:19">
      <c r="A531" s="85" t="s">
        <v>191</v>
      </c>
      <c r="B531" s="85">
        <v>4</v>
      </c>
      <c r="C531" s="85">
        <v>1</v>
      </c>
      <c r="D531" s="108">
        <v>98.204870700477031</v>
      </c>
      <c r="E531" s="108">
        <v>97.790610092894809</v>
      </c>
      <c r="F531" s="108">
        <v>96.033140848606578</v>
      </c>
      <c r="G531" s="108">
        <v>2.3600301280441882</v>
      </c>
      <c r="H531" s="108">
        <v>2.8119507908611618</v>
      </c>
      <c r="I531" s="108">
        <v>0</v>
      </c>
      <c r="J531" s="108">
        <v>0</v>
      </c>
      <c r="K531" s="108">
        <v>1</v>
      </c>
      <c r="L531" s="108">
        <v>1</v>
      </c>
      <c r="M531" s="134">
        <v>1</v>
      </c>
      <c r="N531" s="134">
        <v>35</v>
      </c>
      <c r="O531" s="134">
        <v>39000</v>
      </c>
      <c r="P531" s="133">
        <v>1</v>
      </c>
      <c r="Q531" s="133">
        <v>1</v>
      </c>
      <c r="R531" s="133">
        <v>1</v>
      </c>
      <c r="S531" s="133">
        <v>1</v>
      </c>
    </row>
    <row r="532" spans="1:19">
      <c r="A532" s="85" t="s">
        <v>191</v>
      </c>
      <c r="B532" s="85">
        <v>5</v>
      </c>
      <c r="C532" s="85">
        <v>1</v>
      </c>
      <c r="D532" s="108">
        <v>97.225709264373592</v>
      </c>
      <c r="E532" s="108">
        <v>96.660808435852374</v>
      </c>
      <c r="F532" s="108">
        <v>95.832287220687931</v>
      </c>
      <c r="G532" s="108">
        <v>50</v>
      </c>
      <c r="H532" s="108">
        <v>50</v>
      </c>
      <c r="I532" s="108">
        <v>0</v>
      </c>
      <c r="J532" s="108">
        <v>0</v>
      </c>
      <c r="K532" s="108">
        <v>1</v>
      </c>
      <c r="L532" s="108">
        <v>1</v>
      </c>
      <c r="M532" s="134">
        <v>1</v>
      </c>
      <c r="N532" s="134">
        <v>35</v>
      </c>
      <c r="O532" s="134">
        <v>39000</v>
      </c>
      <c r="P532" s="133">
        <v>1</v>
      </c>
      <c r="Q532" s="133">
        <v>1</v>
      </c>
      <c r="R532" s="133">
        <v>1</v>
      </c>
      <c r="S532" s="133">
        <v>1</v>
      </c>
    </row>
    <row r="533" spans="1:19">
      <c r="A533" s="85" t="s">
        <v>191</v>
      </c>
      <c r="B533" s="85">
        <v>6</v>
      </c>
      <c r="C533" s="85">
        <v>1</v>
      </c>
      <c r="D533" s="108">
        <v>90.78583981923174</v>
      </c>
      <c r="E533" s="108">
        <v>94.3133316595531</v>
      </c>
      <c r="F533" s="108">
        <v>96.409741400954047</v>
      </c>
      <c r="G533" s="108">
        <v>29.16143610343962</v>
      </c>
      <c r="H533" s="108">
        <v>5.9377353753452153</v>
      </c>
      <c r="I533" s="108">
        <v>0</v>
      </c>
      <c r="J533" s="108">
        <v>0</v>
      </c>
      <c r="K533" s="108">
        <v>1</v>
      </c>
      <c r="L533" s="108">
        <v>1</v>
      </c>
      <c r="M533" s="134">
        <v>1</v>
      </c>
      <c r="N533" s="134">
        <v>35</v>
      </c>
      <c r="O533" s="134">
        <v>39000</v>
      </c>
      <c r="P533" s="133">
        <v>1</v>
      </c>
      <c r="Q533" s="133">
        <v>1</v>
      </c>
      <c r="R533" s="133">
        <v>1</v>
      </c>
      <c r="S533" s="133">
        <v>1</v>
      </c>
    </row>
    <row r="534" spans="1:19">
      <c r="A534" s="85" t="s">
        <v>191</v>
      </c>
      <c r="B534" s="85">
        <v>7</v>
      </c>
      <c r="C534" s="85">
        <v>1</v>
      </c>
      <c r="D534" s="108">
        <v>97.338689430077835</v>
      </c>
      <c r="E534" s="108">
        <v>95.719307054983688</v>
      </c>
      <c r="F534" s="108">
        <v>95.719307054983688</v>
      </c>
      <c r="G534" s="108">
        <v>13.193572683906609</v>
      </c>
      <c r="H534" s="108">
        <v>5.8373085613858899</v>
      </c>
      <c r="I534" s="108">
        <v>0</v>
      </c>
      <c r="J534" s="108">
        <v>1</v>
      </c>
      <c r="K534" s="108">
        <v>1</v>
      </c>
      <c r="L534" s="108">
        <v>1</v>
      </c>
      <c r="M534" s="134">
        <v>1</v>
      </c>
      <c r="N534" s="134">
        <v>35</v>
      </c>
      <c r="O534" s="134">
        <v>39000</v>
      </c>
      <c r="P534" s="133">
        <v>1</v>
      </c>
      <c r="Q534" s="133">
        <v>1</v>
      </c>
      <c r="R534" s="133">
        <v>1</v>
      </c>
      <c r="S534" s="133">
        <v>1</v>
      </c>
    </row>
    <row r="535" spans="1:19">
      <c r="A535" s="85" t="s">
        <v>192</v>
      </c>
      <c r="B535" s="85">
        <v>2</v>
      </c>
      <c r="C535" s="85">
        <v>1</v>
      </c>
      <c r="D535" s="108">
        <v>3.1005564067413891</v>
      </c>
      <c r="E535" s="108">
        <v>1.8224336747036549</v>
      </c>
      <c r="F535" s="108">
        <v>1.0160470929763741</v>
      </c>
      <c r="G535" s="108">
        <v>97.302636884122251</v>
      </c>
      <c r="H535" s="108">
        <v>0</v>
      </c>
      <c r="I535" s="108">
        <v>0</v>
      </c>
      <c r="J535" s="108">
        <v>0</v>
      </c>
      <c r="K535" s="108">
        <v>0</v>
      </c>
      <c r="L535" s="108">
        <v>1</v>
      </c>
      <c r="M535" s="134">
        <v>0</v>
      </c>
      <c r="N535" s="134">
        <v>46</v>
      </c>
      <c r="O535" s="134">
        <v>55000</v>
      </c>
      <c r="P535" s="133">
        <v>0</v>
      </c>
      <c r="Q535" s="133">
        <v>0</v>
      </c>
      <c r="R535" s="133">
        <v>0</v>
      </c>
      <c r="S535" s="133">
        <v>1</v>
      </c>
    </row>
    <row r="536" spans="1:19">
      <c r="A536" s="85" t="s">
        <v>192</v>
      </c>
      <c r="B536" s="85">
        <v>3</v>
      </c>
      <c r="C536" s="85">
        <v>1</v>
      </c>
      <c r="D536" s="108">
        <v>6.2938472703814199</v>
      </c>
      <c r="E536" s="108">
        <v>5.2092573179582269</v>
      </c>
      <c r="F536" s="108">
        <v>5.9995161680509614</v>
      </c>
      <c r="G536" s="108">
        <v>94.544794774614942</v>
      </c>
      <c r="H536" s="108">
        <v>5.3544069026691403</v>
      </c>
      <c r="I536" s="108">
        <v>0</v>
      </c>
      <c r="J536" s="108">
        <v>0</v>
      </c>
      <c r="K536" s="108">
        <v>0</v>
      </c>
      <c r="L536" s="108">
        <v>1</v>
      </c>
      <c r="M536" s="134">
        <v>0</v>
      </c>
      <c r="N536" s="134">
        <v>46</v>
      </c>
      <c r="O536" s="134">
        <v>55000</v>
      </c>
      <c r="P536" s="133">
        <v>0</v>
      </c>
      <c r="Q536" s="133">
        <v>0</v>
      </c>
      <c r="R536" s="133">
        <v>0</v>
      </c>
      <c r="S536" s="133">
        <v>1</v>
      </c>
    </row>
    <row r="537" spans="1:19">
      <c r="A537" s="85" t="s">
        <v>192</v>
      </c>
      <c r="B537" s="85">
        <v>4</v>
      </c>
      <c r="C537" s="85">
        <v>1</v>
      </c>
      <c r="D537" s="108">
        <v>10.59661620658949</v>
      </c>
      <c r="E537" s="108">
        <v>18.67764915405165</v>
      </c>
      <c r="F537" s="108">
        <v>11.23107747105966</v>
      </c>
      <c r="G537" s="108">
        <v>88.924755120213717</v>
      </c>
      <c r="H537" s="108">
        <v>50</v>
      </c>
      <c r="I537" s="108">
        <v>0</v>
      </c>
      <c r="J537" s="108">
        <v>0</v>
      </c>
      <c r="K537" s="108">
        <v>0</v>
      </c>
      <c r="L537" s="108">
        <v>1</v>
      </c>
      <c r="M537" s="134">
        <v>0</v>
      </c>
      <c r="N537" s="134">
        <v>46</v>
      </c>
      <c r="O537" s="134">
        <v>55000</v>
      </c>
      <c r="P537" s="133">
        <v>0</v>
      </c>
      <c r="Q537" s="133">
        <v>0</v>
      </c>
      <c r="R537" s="133">
        <v>0</v>
      </c>
      <c r="S537" s="133">
        <v>1</v>
      </c>
    </row>
    <row r="538" spans="1:19">
      <c r="A538" s="85" t="s">
        <v>192</v>
      </c>
      <c r="B538" s="85">
        <v>5</v>
      </c>
      <c r="C538" s="85">
        <v>1</v>
      </c>
      <c r="D538" s="108">
        <v>10.696794300979519</v>
      </c>
      <c r="E538" s="108">
        <v>50</v>
      </c>
      <c r="F538" s="108">
        <v>16.8967052537845</v>
      </c>
      <c r="G538" s="108">
        <v>78.261353517364213</v>
      </c>
      <c r="H538" s="108">
        <v>50</v>
      </c>
      <c r="I538" s="108">
        <v>0</v>
      </c>
      <c r="J538" s="108">
        <v>0</v>
      </c>
      <c r="K538" s="108">
        <v>0</v>
      </c>
      <c r="L538" s="108">
        <v>1</v>
      </c>
      <c r="M538" s="134">
        <v>0</v>
      </c>
      <c r="N538" s="134">
        <v>46</v>
      </c>
      <c r="O538" s="134">
        <v>55000</v>
      </c>
      <c r="P538" s="133">
        <v>0</v>
      </c>
      <c r="Q538" s="133">
        <v>0</v>
      </c>
      <c r="R538" s="133">
        <v>0</v>
      </c>
      <c r="S538" s="133">
        <v>1</v>
      </c>
    </row>
    <row r="539" spans="1:19">
      <c r="A539" s="85" t="s">
        <v>192</v>
      </c>
      <c r="B539" s="85">
        <v>6</v>
      </c>
      <c r="C539" s="85">
        <v>1</v>
      </c>
      <c r="D539" s="108">
        <v>7.7248441674087287</v>
      </c>
      <c r="E539" s="108">
        <v>9.9844167408726587</v>
      </c>
      <c r="F539" s="108">
        <v>8.9381121994657207</v>
      </c>
      <c r="G539" s="108">
        <v>39.915405164737308</v>
      </c>
      <c r="H539" s="108">
        <v>6.1331255565449716</v>
      </c>
      <c r="I539" s="108">
        <v>0</v>
      </c>
      <c r="J539" s="108">
        <v>0</v>
      </c>
      <c r="K539" s="108">
        <v>0</v>
      </c>
      <c r="L539" s="108">
        <v>1</v>
      </c>
      <c r="M539" s="134">
        <v>0</v>
      </c>
      <c r="N539" s="134">
        <v>46</v>
      </c>
      <c r="O539" s="134">
        <v>55000</v>
      </c>
      <c r="P539" s="133">
        <v>0</v>
      </c>
      <c r="Q539" s="133">
        <v>0</v>
      </c>
      <c r="R539" s="133">
        <v>0</v>
      </c>
      <c r="S539" s="133">
        <v>1</v>
      </c>
    </row>
    <row r="540" spans="1:19">
      <c r="A540" s="85" t="s">
        <v>192</v>
      </c>
      <c r="B540" s="85">
        <v>7</v>
      </c>
      <c r="C540" s="85">
        <v>1</v>
      </c>
      <c r="D540" s="108">
        <v>7.1349065004452372</v>
      </c>
      <c r="E540" s="108">
        <v>3.1500445235975061</v>
      </c>
      <c r="F540" s="108">
        <v>16.841050756901151</v>
      </c>
      <c r="G540" s="108">
        <v>92.86509349955476</v>
      </c>
      <c r="H540" s="108">
        <v>2.6380231522707018</v>
      </c>
      <c r="I540" s="108">
        <v>0</v>
      </c>
      <c r="J540" s="108">
        <v>1</v>
      </c>
      <c r="K540" s="108">
        <v>0</v>
      </c>
      <c r="L540" s="108">
        <v>1</v>
      </c>
      <c r="M540" s="134">
        <v>0</v>
      </c>
      <c r="N540" s="134">
        <v>46</v>
      </c>
      <c r="O540" s="134">
        <v>55000</v>
      </c>
      <c r="P540" s="133">
        <v>0</v>
      </c>
      <c r="Q540" s="133">
        <v>0</v>
      </c>
      <c r="R540" s="133">
        <v>0</v>
      </c>
      <c r="S540" s="133">
        <v>1</v>
      </c>
    </row>
    <row r="541" spans="1:19">
      <c r="A541" s="85" t="s">
        <v>193</v>
      </c>
      <c r="B541" s="85">
        <v>1</v>
      </c>
      <c r="C541" s="85">
        <v>1</v>
      </c>
      <c r="D541" s="108">
        <v>100</v>
      </c>
      <c r="E541" s="108">
        <v>95.323399932272267</v>
      </c>
      <c r="F541" s="108">
        <v>99.685066034541151</v>
      </c>
      <c r="G541" s="108">
        <v>1.168303420250594</v>
      </c>
      <c r="H541" s="108">
        <v>0.39282086014222889</v>
      </c>
      <c r="I541" s="108">
        <v>1</v>
      </c>
      <c r="J541" s="108">
        <v>0</v>
      </c>
      <c r="K541" s="108">
        <v>1</v>
      </c>
      <c r="L541" s="108">
        <v>1</v>
      </c>
      <c r="M541" s="134">
        <v>0</v>
      </c>
      <c r="N541" s="134">
        <v>31</v>
      </c>
      <c r="O541" s="134">
        <v>95000</v>
      </c>
      <c r="P541" s="133">
        <v>0</v>
      </c>
      <c r="Q541" s="133">
        <v>0</v>
      </c>
      <c r="R541" s="133">
        <v>0</v>
      </c>
      <c r="S541" s="133">
        <v>0</v>
      </c>
    </row>
    <row r="542" spans="1:19">
      <c r="A542" s="85" t="s">
        <v>193</v>
      </c>
      <c r="B542" s="85">
        <v>2</v>
      </c>
      <c r="C542" s="85">
        <v>1</v>
      </c>
      <c r="D542" s="108">
        <v>99.60379275313241</v>
      </c>
      <c r="E542" s="108">
        <v>96.925160853369448</v>
      </c>
      <c r="F542" s="108">
        <v>100</v>
      </c>
      <c r="G542" s="108">
        <v>1.6898069759566541</v>
      </c>
      <c r="H542" s="108">
        <v>0.15916017609211019</v>
      </c>
      <c r="I542" s="108">
        <v>0</v>
      </c>
      <c r="J542" s="108">
        <v>0</v>
      </c>
      <c r="K542" s="108">
        <v>1</v>
      </c>
      <c r="L542" s="108">
        <v>1</v>
      </c>
      <c r="M542" s="134">
        <v>0</v>
      </c>
      <c r="N542" s="134">
        <v>31</v>
      </c>
      <c r="O542" s="134">
        <v>95000</v>
      </c>
      <c r="P542" s="133">
        <v>0</v>
      </c>
      <c r="Q542" s="133">
        <v>0</v>
      </c>
      <c r="R542" s="133">
        <v>0</v>
      </c>
      <c r="S542" s="133">
        <v>0</v>
      </c>
    </row>
    <row r="543" spans="1:19">
      <c r="A543" s="85" t="s">
        <v>193</v>
      </c>
      <c r="B543" s="85">
        <v>3</v>
      </c>
      <c r="C543" s="85">
        <v>1</v>
      </c>
      <c r="D543" s="108">
        <v>99.515746698272949</v>
      </c>
      <c r="E543" s="108">
        <v>99.959363359295622</v>
      </c>
      <c r="F543" s="108">
        <v>99.925499492041993</v>
      </c>
      <c r="G543" s="108">
        <v>0.9786657636302043</v>
      </c>
      <c r="H543" s="108">
        <v>3.31188621740603</v>
      </c>
      <c r="I543" s="108">
        <v>0</v>
      </c>
      <c r="J543" s="108">
        <v>0</v>
      </c>
      <c r="K543" s="108">
        <v>1</v>
      </c>
      <c r="L543" s="108">
        <v>1</v>
      </c>
      <c r="M543" s="134">
        <v>0</v>
      </c>
      <c r="N543" s="134">
        <v>31</v>
      </c>
      <c r="O543" s="134">
        <v>95000</v>
      </c>
      <c r="P543" s="133">
        <v>0</v>
      </c>
      <c r="Q543" s="133">
        <v>0</v>
      </c>
      <c r="R543" s="133">
        <v>0</v>
      </c>
      <c r="S543" s="133">
        <v>0</v>
      </c>
    </row>
    <row r="544" spans="1:19">
      <c r="A544" s="85" t="s">
        <v>193</v>
      </c>
      <c r="B544" s="85">
        <v>4</v>
      </c>
      <c r="C544" s="85">
        <v>1</v>
      </c>
      <c r="D544" s="108">
        <v>94.700686947988217</v>
      </c>
      <c r="E544" s="108">
        <v>50</v>
      </c>
      <c r="F544" s="108">
        <v>95.816977428851814</v>
      </c>
      <c r="G544" s="108">
        <v>16.47448478900883</v>
      </c>
      <c r="H544" s="108">
        <v>5.6795878312070673</v>
      </c>
      <c r="I544" s="108">
        <v>0</v>
      </c>
      <c r="J544" s="108">
        <v>0</v>
      </c>
      <c r="K544" s="108">
        <v>1</v>
      </c>
      <c r="L544" s="108">
        <v>1</v>
      </c>
      <c r="M544" s="134">
        <v>0</v>
      </c>
      <c r="N544" s="134">
        <v>31</v>
      </c>
      <c r="O544" s="134">
        <v>95000</v>
      </c>
      <c r="P544" s="133">
        <v>0</v>
      </c>
      <c r="Q544" s="133">
        <v>0</v>
      </c>
      <c r="R544" s="133">
        <v>0</v>
      </c>
      <c r="S544" s="133">
        <v>0</v>
      </c>
    </row>
    <row r="545" spans="1:19">
      <c r="A545" s="85" t="s">
        <v>193</v>
      </c>
      <c r="B545" s="85">
        <v>5</v>
      </c>
      <c r="C545" s="85">
        <v>1</v>
      </c>
      <c r="D545" s="108">
        <v>50</v>
      </c>
      <c r="E545" s="108">
        <v>14.192836113837091</v>
      </c>
      <c r="F545" s="108">
        <v>38.321884200196273</v>
      </c>
      <c r="G545" s="108">
        <v>90.456329735034345</v>
      </c>
      <c r="H545" s="108">
        <v>38.321884200196273</v>
      </c>
      <c r="I545" s="108">
        <v>0</v>
      </c>
      <c r="J545" s="108">
        <v>0</v>
      </c>
      <c r="K545" s="108">
        <v>0</v>
      </c>
      <c r="L545" s="108">
        <v>1</v>
      </c>
      <c r="M545" s="134">
        <v>0</v>
      </c>
      <c r="N545" s="134">
        <v>31</v>
      </c>
      <c r="O545" s="134">
        <v>95000</v>
      </c>
      <c r="P545" s="133">
        <v>0</v>
      </c>
      <c r="Q545" s="133">
        <v>0</v>
      </c>
      <c r="R545" s="133">
        <v>0</v>
      </c>
      <c r="S545" s="133">
        <v>0</v>
      </c>
    </row>
    <row r="546" spans="1:19">
      <c r="A546" s="85" t="s">
        <v>193</v>
      </c>
      <c r="B546" s="85">
        <v>6</v>
      </c>
      <c r="C546" s="85">
        <v>1</v>
      </c>
      <c r="D546" s="108">
        <v>10.684494602551521</v>
      </c>
      <c r="E546" s="108">
        <v>50</v>
      </c>
      <c r="F546" s="108">
        <v>85.242885181550548</v>
      </c>
      <c r="G546" s="108">
        <v>5.7409224730127546</v>
      </c>
      <c r="H546" s="108">
        <v>5.2747791952894971</v>
      </c>
      <c r="I546" s="108">
        <v>0</v>
      </c>
      <c r="J546" s="108">
        <v>0</v>
      </c>
      <c r="K546" s="108">
        <v>0</v>
      </c>
      <c r="L546" s="108">
        <v>1</v>
      </c>
      <c r="M546" s="134">
        <v>0</v>
      </c>
      <c r="N546" s="134">
        <v>31</v>
      </c>
      <c r="O546" s="134">
        <v>95000</v>
      </c>
      <c r="P546" s="133">
        <v>0</v>
      </c>
      <c r="Q546" s="133">
        <v>0</v>
      </c>
      <c r="R546" s="133">
        <v>0</v>
      </c>
      <c r="S546" s="133">
        <v>0</v>
      </c>
    </row>
    <row r="547" spans="1:19">
      <c r="A547" s="85" t="s">
        <v>193</v>
      </c>
      <c r="B547" s="85">
        <v>7</v>
      </c>
      <c r="C547" s="85">
        <v>1</v>
      </c>
      <c r="D547" s="108">
        <v>6.3174681059862623</v>
      </c>
      <c r="E547" s="108">
        <v>7.7772325809617238</v>
      </c>
      <c r="F547" s="108">
        <v>3.31207065750736</v>
      </c>
      <c r="G547" s="108">
        <v>86.50637880274779</v>
      </c>
      <c r="H547" s="108">
        <v>2.1467124631992132</v>
      </c>
      <c r="I547" s="108">
        <v>0</v>
      </c>
      <c r="J547" s="108">
        <v>1</v>
      </c>
      <c r="K547" s="108">
        <v>0</v>
      </c>
      <c r="L547" s="108">
        <v>1</v>
      </c>
      <c r="M547" s="134">
        <v>0</v>
      </c>
      <c r="N547" s="134">
        <v>31</v>
      </c>
      <c r="O547" s="134">
        <v>95000</v>
      </c>
      <c r="P547" s="133">
        <v>0</v>
      </c>
      <c r="Q547" s="133">
        <v>0</v>
      </c>
      <c r="R547" s="133">
        <v>0</v>
      </c>
      <c r="S547" s="133">
        <v>0</v>
      </c>
    </row>
    <row r="548" spans="1:19">
      <c r="A548" s="85" t="s">
        <v>194</v>
      </c>
      <c r="B548" s="85">
        <v>5</v>
      </c>
      <c r="C548" s="85">
        <v>1</v>
      </c>
      <c r="D548" s="108">
        <v>50</v>
      </c>
      <c r="E548" s="108">
        <v>41.148936170212771</v>
      </c>
      <c r="F548" s="108">
        <v>13.031914893617021</v>
      </c>
      <c r="G548" s="108">
        <v>85.872340425531917</v>
      </c>
      <c r="H548" s="108">
        <v>10.4468085106383</v>
      </c>
      <c r="I548" s="108">
        <v>0</v>
      </c>
      <c r="J548" s="108">
        <v>0</v>
      </c>
      <c r="K548" s="108">
        <v>0</v>
      </c>
      <c r="L548" s="108">
        <v>1</v>
      </c>
      <c r="M548" s="134">
        <v>1</v>
      </c>
      <c r="N548" s="134">
        <v>24</v>
      </c>
      <c r="O548" s="134">
        <v>-99</v>
      </c>
      <c r="P548" s="133">
        <v>0</v>
      </c>
      <c r="Q548" s="133">
        <v>0</v>
      </c>
      <c r="R548" s="133">
        <v>0</v>
      </c>
      <c r="S548" s="133">
        <v>0</v>
      </c>
    </row>
    <row r="549" spans="1:19">
      <c r="A549" s="85" t="s">
        <v>194</v>
      </c>
      <c r="B549" s="85">
        <v>6</v>
      </c>
      <c r="C549" s="85">
        <v>1</v>
      </c>
      <c r="D549" s="108">
        <v>32.212765957446813</v>
      </c>
      <c r="E549" s="108">
        <v>26.138297872340431</v>
      </c>
      <c r="F549" s="108">
        <v>7.904255319148934</v>
      </c>
      <c r="G549" s="108">
        <v>3.106382978723405</v>
      </c>
      <c r="H549" s="108">
        <v>3.1808510638297869</v>
      </c>
      <c r="I549" s="108">
        <v>0</v>
      </c>
      <c r="J549" s="108">
        <v>0</v>
      </c>
      <c r="K549" s="108">
        <v>0</v>
      </c>
      <c r="L549" s="108">
        <v>1</v>
      </c>
      <c r="M549" s="134">
        <v>1</v>
      </c>
      <c r="N549" s="134">
        <v>24</v>
      </c>
      <c r="O549" s="134">
        <v>-99</v>
      </c>
      <c r="P549" s="133">
        <v>0</v>
      </c>
      <c r="Q549" s="133">
        <v>0</v>
      </c>
      <c r="R549" s="133">
        <v>0</v>
      </c>
      <c r="S549" s="133">
        <v>0</v>
      </c>
    </row>
    <row r="550" spans="1:19">
      <c r="A550" s="85" t="s">
        <v>194</v>
      </c>
      <c r="B550" s="85">
        <v>7</v>
      </c>
      <c r="C550" s="85">
        <v>1</v>
      </c>
      <c r="D550" s="108">
        <v>19.648936170212771</v>
      </c>
      <c r="E550" s="108">
        <v>13.617021276595739</v>
      </c>
      <c r="F550" s="108">
        <v>7.3936170212765937</v>
      </c>
      <c r="G550" s="108">
        <v>85.957446808510639</v>
      </c>
      <c r="H550" s="108">
        <v>12.882978723404261</v>
      </c>
      <c r="I550" s="108">
        <v>0</v>
      </c>
      <c r="J550" s="108">
        <v>1</v>
      </c>
      <c r="K550" s="108">
        <v>0</v>
      </c>
      <c r="L550" s="108">
        <v>1</v>
      </c>
      <c r="M550" s="134">
        <v>1</v>
      </c>
      <c r="N550" s="134">
        <v>24</v>
      </c>
      <c r="O550" s="134">
        <v>-99</v>
      </c>
      <c r="P550" s="133">
        <v>0</v>
      </c>
      <c r="Q550" s="133">
        <v>0</v>
      </c>
      <c r="R550" s="133">
        <v>0</v>
      </c>
      <c r="S550" s="133">
        <v>0</v>
      </c>
    </row>
    <row r="551" spans="1:19">
      <c r="A551" s="85" t="s">
        <v>195</v>
      </c>
      <c r="B551" s="85">
        <v>1</v>
      </c>
      <c r="C551" s="85">
        <v>1</v>
      </c>
      <c r="D551" s="108">
        <v>95.86492890995261</v>
      </c>
      <c r="E551" s="108">
        <v>95.86492890995261</v>
      </c>
      <c r="F551" s="108">
        <v>86.374407582938389</v>
      </c>
      <c r="G551" s="108">
        <v>11.398104265402839</v>
      </c>
      <c r="H551" s="108">
        <v>5.6279620853080576</v>
      </c>
      <c r="I551" s="108">
        <v>1</v>
      </c>
      <c r="J551" s="108">
        <v>0</v>
      </c>
      <c r="K551" s="108">
        <v>1</v>
      </c>
      <c r="L551" s="108">
        <v>1</v>
      </c>
      <c r="M551" s="134">
        <v>0</v>
      </c>
      <c r="N551" s="134">
        <v>49</v>
      </c>
      <c r="O551" s="134">
        <v>80000</v>
      </c>
      <c r="P551" s="133">
        <v>0</v>
      </c>
      <c r="Q551" s="133">
        <v>1</v>
      </c>
      <c r="R551" s="133">
        <v>1</v>
      </c>
      <c r="S551" s="133">
        <v>0</v>
      </c>
    </row>
    <row r="552" spans="1:19">
      <c r="A552" s="85" t="s">
        <v>195</v>
      </c>
      <c r="B552" s="85">
        <v>2</v>
      </c>
      <c r="C552" s="85">
        <v>1</v>
      </c>
      <c r="D552" s="108">
        <v>91.96682464454976</v>
      </c>
      <c r="E552" s="108">
        <v>72.428909952606631</v>
      </c>
      <c r="F552" s="108">
        <v>95.201421800947855</v>
      </c>
      <c r="G552" s="108">
        <v>13.672985781990519</v>
      </c>
      <c r="H552" s="108">
        <v>7.5473933649289124</v>
      </c>
      <c r="I552" s="108">
        <v>0</v>
      </c>
      <c r="J552" s="108">
        <v>0</v>
      </c>
      <c r="K552" s="108">
        <v>1</v>
      </c>
      <c r="L552" s="108">
        <v>1</v>
      </c>
      <c r="M552" s="134">
        <v>0</v>
      </c>
      <c r="N552" s="134">
        <v>49</v>
      </c>
      <c r="O552" s="134">
        <v>80000</v>
      </c>
      <c r="P552" s="133">
        <v>0</v>
      </c>
      <c r="Q552" s="133">
        <v>1</v>
      </c>
      <c r="R552" s="133">
        <v>1</v>
      </c>
      <c r="S552" s="133">
        <v>0</v>
      </c>
    </row>
    <row r="553" spans="1:19">
      <c r="A553" s="85" t="s">
        <v>195</v>
      </c>
      <c r="B553" s="85">
        <v>6</v>
      </c>
      <c r="C553" s="85">
        <v>1</v>
      </c>
      <c r="D553" s="108">
        <v>7.0497630331753536</v>
      </c>
      <c r="E553" s="108">
        <v>9.0165876777251182</v>
      </c>
      <c r="F553" s="108">
        <v>10.485781990521319</v>
      </c>
      <c r="G553" s="108">
        <v>92.83175355450237</v>
      </c>
      <c r="H553" s="108">
        <v>50</v>
      </c>
      <c r="I553" s="108">
        <v>0</v>
      </c>
      <c r="J553" s="108">
        <v>0</v>
      </c>
      <c r="K553" s="108">
        <v>0</v>
      </c>
      <c r="L553" s="108">
        <v>1</v>
      </c>
      <c r="M553" s="134">
        <v>0</v>
      </c>
      <c r="N553" s="134">
        <v>49</v>
      </c>
      <c r="O553" s="134">
        <v>80000</v>
      </c>
      <c r="P553" s="133">
        <v>0</v>
      </c>
      <c r="Q553" s="133">
        <v>1</v>
      </c>
      <c r="R553" s="133">
        <v>1</v>
      </c>
      <c r="S553" s="133">
        <v>0</v>
      </c>
    </row>
    <row r="554" spans="1:19">
      <c r="A554" s="85" t="s">
        <v>195</v>
      </c>
      <c r="B554" s="85">
        <v>7</v>
      </c>
      <c r="C554" s="85">
        <v>1</v>
      </c>
      <c r="D554" s="108">
        <v>7.8909952606635079</v>
      </c>
      <c r="E554" s="108">
        <v>93.317535545023702</v>
      </c>
      <c r="F554" s="108">
        <v>5.9478672985781964</v>
      </c>
      <c r="G554" s="108">
        <v>86.007109004739334</v>
      </c>
      <c r="H554" s="108">
        <v>83.874407582938375</v>
      </c>
      <c r="I554" s="108">
        <v>0</v>
      </c>
      <c r="J554" s="108">
        <v>1</v>
      </c>
      <c r="K554" s="108">
        <v>0</v>
      </c>
      <c r="L554" s="108">
        <v>1</v>
      </c>
      <c r="M554" s="134">
        <v>0</v>
      </c>
      <c r="N554" s="134">
        <v>49</v>
      </c>
      <c r="O554" s="134">
        <v>80000</v>
      </c>
      <c r="P554" s="133">
        <v>0</v>
      </c>
      <c r="Q554" s="133">
        <v>1</v>
      </c>
      <c r="R554" s="133">
        <v>1</v>
      </c>
      <c r="S554" s="133">
        <v>0</v>
      </c>
    </row>
    <row r="555" spans="1:19">
      <c r="A555" s="85" t="s">
        <v>196</v>
      </c>
      <c r="B555" s="85">
        <v>1</v>
      </c>
      <c r="C555" s="85">
        <v>1</v>
      </c>
      <c r="D555" s="108">
        <v>21.488673139158571</v>
      </c>
      <c r="E555" s="108">
        <v>50</v>
      </c>
      <c r="F555" s="108">
        <v>15.54476806903992</v>
      </c>
      <c r="G555" s="108">
        <v>86.030204962243801</v>
      </c>
      <c r="H555" s="108">
        <v>21.37001078748651</v>
      </c>
      <c r="I555" s="108">
        <v>1</v>
      </c>
      <c r="J555" s="108">
        <v>0</v>
      </c>
      <c r="K555" s="108">
        <v>0</v>
      </c>
      <c r="L555" s="108">
        <v>1</v>
      </c>
      <c r="M555" s="134">
        <v>1</v>
      </c>
      <c r="N555" s="134">
        <v>18</v>
      </c>
      <c r="O555" s="134">
        <v>7000</v>
      </c>
      <c r="P555" s="133">
        <v>0</v>
      </c>
      <c r="Q555" s="133">
        <v>0</v>
      </c>
      <c r="R555" s="133">
        <v>1</v>
      </c>
      <c r="S555" s="133">
        <v>0</v>
      </c>
    </row>
    <row r="556" spans="1:19">
      <c r="A556" s="85" t="s">
        <v>196</v>
      </c>
      <c r="B556" s="85">
        <v>2</v>
      </c>
      <c r="C556" s="85">
        <v>1</v>
      </c>
      <c r="D556" s="108">
        <v>7.7346278317152128</v>
      </c>
      <c r="E556" s="108">
        <v>18.985976267529669</v>
      </c>
      <c r="F556" s="108">
        <v>12.39482200647249</v>
      </c>
      <c r="G556" s="108">
        <v>5.2750809061488653</v>
      </c>
      <c r="H556" s="108">
        <v>88.446601941747574</v>
      </c>
      <c r="I556" s="108">
        <v>0</v>
      </c>
      <c r="J556" s="108">
        <v>0</v>
      </c>
      <c r="K556" s="108">
        <v>0</v>
      </c>
      <c r="L556" s="108">
        <v>1</v>
      </c>
      <c r="M556" s="134">
        <v>1</v>
      </c>
      <c r="N556" s="134">
        <v>18</v>
      </c>
      <c r="O556" s="134">
        <v>7000</v>
      </c>
      <c r="P556" s="133">
        <v>0</v>
      </c>
      <c r="Q556" s="133">
        <v>0</v>
      </c>
      <c r="R556" s="133">
        <v>1</v>
      </c>
      <c r="S556" s="133">
        <v>0</v>
      </c>
    </row>
    <row r="557" spans="1:19">
      <c r="A557" s="85" t="s">
        <v>197</v>
      </c>
      <c r="B557" s="85">
        <v>4</v>
      </c>
      <c r="C557" s="85">
        <v>1</v>
      </c>
      <c r="D557" s="108">
        <v>42.924414392658782</v>
      </c>
      <c r="E557" s="108">
        <v>50</v>
      </c>
      <c r="F557" s="108">
        <v>14.77903887949771</v>
      </c>
      <c r="G557" s="108">
        <v>21.456170007244619</v>
      </c>
      <c r="H557" s="108">
        <v>24.716252113016179</v>
      </c>
      <c r="I557" s="108">
        <v>0</v>
      </c>
      <c r="J557" s="108">
        <v>0</v>
      </c>
      <c r="K557" s="108">
        <v>0</v>
      </c>
      <c r="L557" s="108">
        <v>1</v>
      </c>
      <c r="M557" s="134">
        <v>0</v>
      </c>
      <c r="N557" s="134">
        <v>43</v>
      </c>
      <c r="O557" s="134">
        <v>48000</v>
      </c>
      <c r="P557" s="133">
        <v>1</v>
      </c>
      <c r="Q557" s="133">
        <v>0</v>
      </c>
      <c r="R557" s="133">
        <v>1</v>
      </c>
      <c r="S557" s="133">
        <v>1</v>
      </c>
    </row>
    <row r="558" spans="1:19">
      <c r="A558" s="85" t="s">
        <v>197</v>
      </c>
      <c r="B558" s="85">
        <v>5</v>
      </c>
      <c r="C558" s="85">
        <v>1</v>
      </c>
      <c r="D558" s="108">
        <v>11.470659261048061</v>
      </c>
      <c r="E558" s="108">
        <v>7.0997343636802714</v>
      </c>
      <c r="F558" s="108">
        <v>4.0569910649601528</v>
      </c>
      <c r="G558" s="108">
        <v>18.679063028254049</v>
      </c>
      <c r="H558" s="108">
        <v>7.2204781453755142</v>
      </c>
      <c r="I558" s="108">
        <v>0</v>
      </c>
      <c r="J558" s="108">
        <v>0</v>
      </c>
      <c r="K558" s="108">
        <v>0</v>
      </c>
      <c r="L558" s="108">
        <v>1</v>
      </c>
      <c r="M558" s="134">
        <v>0</v>
      </c>
      <c r="N558" s="134">
        <v>43</v>
      </c>
      <c r="O558" s="134">
        <v>48000</v>
      </c>
      <c r="P558" s="133">
        <v>1</v>
      </c>
      <c r="Q558" s="133">
        <v>0</v>
      </c>
      <c r="R558" s="133">
        <v>1</v>
      </c>
      <c r="S558" s="133">
        <v>1</v>
      </c>
    </row>
    <row r="559" spans="1:19">
      <c r="A559" s="85" t="s">
        <v>198</v>
      </c>
      <c r="B559" s="85">
        <v>1</v>
      </c>
      <c r="C559" s="85">
        <v>1</v>
      </c>
      <c r="D559" s="108">
        <v>13.123359580052499</v>
      </c>
      <c r="E559" s="108">
        <v>28.775948460987831</v>
      </c>
      <c r="F559" s="108">
        <v>50</v>
      </c>
      <c r="G559" s="108">
        <v>8.3631591505607279</v>
      </c>
      <c r="H559" s="108">
        <v>22.679551419708901</v>
      </c>
      <c r="I559" s="108">
        <v>1</v>
      </c>
      <c r="J559" s="108">
        <v>0</v>
      </c>
      <c r="K559" s="108">
        <v>0</v>
      </c>
      <c r="L559" s="108">
        <v>1</v>
      </c>
      <c r="M559" s="134">
        <v>1</v>
      </c>
      <c r="N559" s="134">
        <v>58</v>
      </c>
      <c r="O559" s="134">
        <v>-99</v>
      </c>
      <c r="P559" s="133">
        <v>0</v>
      </c>
      <c r="Q559" s="133">
        <v>0</v>
      </c>
      <c r="R559" s="133">
        <v>0</v>
      </c>
      <c r="S559" s="133">
        <v>0</v>
      </c>
    </row>
    <row r="560" spans="1:19">
      <c r="A560" s="85" t="s">
        <v>199</v>
      </c>
      <c r="B560" s="85">
        <v>1</v>
      </c>
      <c r="C560" s="85">
        <v>1</v>
      </c>
      <c r="D560" s="108">
        <v>93.442037610092825</v>
      </c>
      <c r="E560" s="108">
        <v>92.037610092835038</v>
      </c>
      <c r="F560" s="108">
        <v>93.632468459890504</v>
      </c>
      <c r="G560" s="108">
        <v>17.86479409664366</v>
      </c>
      <c r="H560" s="108">
        <v>50</v>
      </c>
      <c r="I560" s="108">
        <v>1</v>
      </c>
      <c r="J560" s="108">
        <v>0</v>
      </c>
      <c r="K560" s="108">
        <v>1</v>
      </c>
      <c r="L560" s="108">
        <v>1</v>
      </c>
      <c r="M560" s="134">
        <v>0</v>
      </c>
      <c r="N560" s="134">
        <v>30</v>
      </c>
      <c r="O560" s="134">
        <v>9000</v>
      </c>
      <c r="P560" s="133">
        <v>0</v>
      </c>
      <c r="Q560" s="133">
        <v>1</v>
      </c>
      <c r="R560" s="133">
        <v>1</v>
      </c>
      <c r="S560" s="133">
        <v>1</v>
      </c>
    </row>
    <row r="561" spans="1:19">
      <c r="A561" s="85" t="s">
        <v>199</v>
      </c>
      <c r="B561" s="85">
        <v>2</v>
      </c>
      <c r="C561" s="85">
        <v>1</v>
      </c>
      <c r="D561" s="108">
        <v>97.02451797191145</v>
      </c>
      <c r="E561" s="108">
        <v>97.405379671506793</v>
      </c>
      <c r="F561" s="108">
        <v>95.631992382766001</v>
      </c>
      <c r="G561" s="108">
        <v>15.31778148059986</v>
      </c>
      <c r="H561" s="108">
        <v>16.710307069745301</v>
      </c>
      <c r="I561" s="108">
        <v>0</v>
      </c>
      <c r="J561" s="108">
        <v>0</v>
      </c>
      <c r="K561" s="108">
        <v>1</v>
      </c>
      <c r="L561" s="108">
        <v>1</v>
      </c>
      <c r="M561" s="134">
        <v>0</v>
      </c>
      <c r="N561" s="134">
        <v>30</v>
      </c>
      <c r="O561" s="134">
        <v>9000</v>
      </c>
      <c r="P561" s="133">
        <v>0</v>
      </c>
      <c r="Q561" s="133">
        <v>1</v>
      </c>
      <c r="R561" s="133">
        <v>1</v>
      </c>
      <c r="S561" s="133">
        <v>1</v>
      </c>
    </row>
    <row r="562" spans="1:19">
      <c r="A562" s="85" t="s">
        <v>199</v>
      </c>
      <c r="B562" s="85">
        <v>4</v>
      </c>
      <c r="C562" s="85">
        <v>1</v>
      </c>
      <c r="D562" s="108">
        <v>93.846703165912885</v>
      </c>
      <c r="E562" s="108">
        <v>94.882170911687695</v>
      </c>
      <c r="F562" s="108">
        <v>84.289454891692444</v>
      </c>
      <c r="G562" s="108">
        <v>7.153058795524875</v>
      </c>
      <c r="H562" s="108">
        <v>12.52082837419662</v>
      </c>
      <c r="I562" s="108">
        <v>0</v>
      </c>
      <c r="J562" s="108">
        <v>0</v>
      </c>
      <c r="K562" s="108">
        <v>1</v>
      </c>
      <c r="L562" s="108">
        <v>1</v>
      </c>
      <c r="M562" s="134">
        <v>0</v>
      </c>
      <c r="N562" s="134">
        <v>30</v>
      </c>
      <c r="O562" s="134">
        <v>9000</v>
      </c>
      <c r="P562" s="133">
        <v>0</v>
      </c>
      <c r="Q562" s="133">
        <v>1</v>
      </c>
      <c r="R562" s="133">
        <v>1</v>
      </c>
      <c r="S562" s="133">
        <v>1</v>
      </c>
    </row>
    <row r="563" spans="1:19">
      <c r="A563" s="85" t="s">
        <v>199</v>
      </c>
      <c r="B563" s="85">
        <v>6</v>
      </c>
      <c r="C563" s="85">
        <v>1</v>
      </c>
      <c r="D563" s="108">
        <v>10.545108307545821</v>
      </c>
      <c r="E563" s="108">
        <v>11.747203046893601</v>
      </c>
      <c r="F563" s="108">
        <v>7.5577243513449188</v>
      </c>
      <c r="G563" s="108">
        <v>91.644846465127344</v>
      </c>
      <c r="H563" s="108">
        <v>93.442037610092825</v>
      </c>
      <c r="I563" s="108">
        <v>0</v>
      </c>
      <c r="J563" s="108">
        <v>0</v>
      </c>
      <c r="K563" s="108">
        <v>0</v>
      </c>
      <c r="L563" s="108">
        <v>1</v>
      </c>
      <c r="M563" s="134">
        <v>0</v>
      </c>
      <c r="N563" s="134">
        <v>30</v>
      </c>
      <c r="O563" s="134">
        <v>9000</v>
      </c>
      <c r="P563" s="133">
        <v>0</v>
      </c>
      <c r="Q563" s="133">
        <v>1</v>
      </c>
      <c r="R563" s="133">
        <v>1</v>
      </c>
      <c r="S563" s="133">
        <v>1</v>
      </c>
    </row>
    <row r="564" spans="1:19">
      <c r="A564" s="85" t="s">
        <v>199</v>
      </c>
      <c r="B564" s="85">
        <v>7</v>
      </c>
      <c r="C564" s="85">
        <v>1</v>
      </c>
      <c r="D564" s="108">
        <v>91.466317543442031</v>
      </c>
      <c r="E564" s="108">
        <v>95.810521304451328</v>
      </c>
      <c r="F564" s="108">
        <v>21.482980242799329</v>
      </c>
      <c r="G564" s="108">
        <v>8.7598190906926945</v>
      </c>
      <c r="H564" s="108">
        <v>6.1532968340871239</v>
      </c>
      <c r="I564" s="108">
        <v>0</v>
      </c>
      <c r="J564" s="108">
        <v>1</v>
      </c>
      <c r="K564" s="108">
        <v>1</v>
      </c>
      <c r="L564" s="108">
        <v>1</v>
      </c>
      <c r="M564" s="134">
        <v>0</v>
      </c>
      <c r="N564" s="134">
        <v>30</v>
      </c>
      <c r="O564" s="134">
        <v>9000</v>
      </c>
      <c r="P564" s="133">
        <v>0</v>
      </c>
      <c r="Q564" s="133">
        <v>1</v>
      </c>
      <c r="R564" s="133">
        <v>1</v>
      </c>
      <c r="S564" s="133">
        <v>1</v>
      </c>
    </row>
    <row r="565" spans="1:19">
      <c r="A565" s="85" t="s">
        <v>200</v>
      </c>
      <c r="B565" s="85">
        <v>1</v>
      </c>
      <c r="C565" s="85">
        <v>1</v>
      </c>
      <c r="D565" s="108">
        <v>7.3829760243562079</v>
      </c>
      <c r="E565" s="108">
        <v>93.251300266396044</v>
      </c>
      <c r="F565" s="108">
        <v>91.564125332995047</v>
      </c>
      <c r="G565" s="108">
        <v>12.799695547380439</v>
      </c>
      <c r="H565" s="108">
        <v>7.4273753647088654</v>
      </c>
      <c r="I565" s="108">
        <v>1</v>
      </c>
      <c r="J565" s="108">
        <v>0</v>
      </c>
      <c r="K565" s="108">
        <v>0</v>
      </c>
      <c r="L565" s="108">
        <v>1</v>
      </c>
      <c r="M565" s="134">
        <v>0</v>
      </c>
      <c r="N565" s="134">
        <v>44</v>
      </c>
      <c r="O565" s="134">
        <v>65000</v>
      </c>
      <c r="P565" s="133">
        <v>0</v>
      </c>
      <c r="Q565" s="133">
        <v>0</v>
      </c>
      <c r="R565" s="133">
        <v>1</v>
      </c>
      <c r="S565" s="133">
        <v>1</v>
      </c>
    </row>
    <row r="566" spans="1:19">
      <c r="A566" s="85" t="s">
        <v>200</v>
      </c>
      <c r="B566" s="85">
        <v>4</v>
      </c>
      <c r="C566" s="85">
        <v>1</v>
      </c>
      <c r="D566" s="108">
        <v>11.319505736981469</v>
      </c>
      <c r="E566" s="108">
        <v>50</v>
      </c>
      <c r="F566" s="108">
        <v>24.349073256840249</v>
      </c>
      <c r="G566" s="108">
        <v>13.65842894969108</v>
      </c>
      <c r="H566" s="108">
        <v>16.935127978817299</v>
      </c>
      <c r="I566" s="108">
        <v>0</v>
      </c>
      <c r="J566" s="108">
        <v>0</v>
      </c>
      <c r="K566" s="108">
        <v>0</v>
      </c>
      <c r="L566" s="108">
        <v>1</v>
      </c>
      <c r="M566" s="134">
        <v>0</v>
      </c>
      <c r="N566" s="134">
        <v>44</v>
      </c>
      <c r="O566" s="134">
        <v>65000</v>
      </c>
      <c r="P566" s="133">
        <v>0</v>
      </c>
      <c r="Q566" s="133">
        <v>0</v>
      </c>
      <c r="R566" s="133">
        <v>1</v>
      </c>
      <c r="S566" s="133">
        <v>1</v>
      </c>
    </row>
    <row r="567" spans="1:19">
      <c r="A567" s="85" t="s">
        <v>201</v>
      </c>
      <c r="B567" s="85">
        <v>1</v>
      </c>
      <c r="C567" s="85">
        <v>1</v>
      </c>
      <c r="D567" s="108">
        <v>8.7587484561547964</v>
      </c>
      <c r="E567" s="108">
        <v>50</v>
      </c>
      <c r="F567" s="108">
        <v>81.101452464788721</v>
      </c>
      <c r="G567" s="108">
        <v>93.414392605633793</v>
      </c>
      <c r="H567" s="108">
        <v>5.3725813091807346</v>
      </c>
      <c r="I567" s="108">
        <v>1</v>
      </c>
      <c r="J567" s="108">
        <v>0</v>
      </c>
      <c r="K567" s="108">
        <v>0</v>
      </c>
      <c r="L567" s="108">
        <v>1</v>
      </c>
      <c r="M567" s="134">
        <v>0</v>
      </c>
      <c r="N567" s="134">
        <v>50</v>
      </c>
      <c r="O567" s="134">
        <v>45000</v>
      </c>
      <c r="P567" s="133">
        <v>0</v>
      </c>
      <c r="Q567" s="133">
        <v>1</v>
      </c>
      <c r="R567" s="133">
        <v>1</v>
      </c>
      <c r="S567" s="133">
        <v>0</v>
      </c>
    </row>
    <row r="568" spans="1:19">
      <c r="A568" s="85" t="s">
        <v>201</v>
      </c>
      <c r="B568" s="85">
        <v>2</v>
      </c>
      <c r="C568" s="85">
        <v>1</v>
      </c>
      <c r="D568" s="108">
        <v>50</v>
      </c>
      <c r="E568" s="108">
        <v>50</v>
      </c>
      <c r="F568" s="108">
        <v>54.878550843968711</v>
      </c>
      <c r="G568" s="108">
        <v>78.962536023054753</v>
      </c>
      <c r="H568" s="108">
        <v>19.75092630712227</v>
      </c>
      <c r="I568" s="108">
        <v>0</v>
      </c>
      <c r="J568" s="108">
        <v>0</v>
      </c>
      <c r="K568" s="108">
        <v>1</v>
      </c>
      <c r="L568" s="108">
        <v>1</v>
      </c>
      <c r="M568" s="134">
        <v>0</v>
      </c>
      <c r="N568" s="134">
        <v>50</v>
      </c>
      <c r="O568" s="134">
        <v>45000</v>
      </c>
      <c r="P568" s="133">
        <v>0</v>
      </c>
      <c r="Q568" s="133">
        <v>1</v>
      </c>
      <c r="R568" s="133">
        <v>1</v>
      </c>
      <c r="S568" s="133">
        <v>0</v>
      </c>
    </row>
    <row r="569" spans="1:19">
      <c r="A569" s="85" t="s">
        <v>201</v>
      </c>
      <c r="B569" s="85">
        <v>4</v>
      </c>
      <c r="C569" s="85">
        <v>1</v>
      </c>
      <c r="D569" s="108">
        <v>50</v>
      </c>
      <c r="E569" s="108">
        <v>100</v>
      </c>
      <c r="F569" s="108">
        <v>94.744680851063819</v>
      </c>
      <c r="G569" s="108">
        <v>29.60638297872341</v>
      </c>
      <c r="H569" s="108">
        <v>97.351063829787236</v>
      </c>
      <c r="I569" s="108">
        <v>0</v>
      </c>
      <c r="J569" s="108">
        <v>0</v>
      </c>
      <c r="K569" s="108">
        <v>1</v>
      </c>
      <c r="L569" s="108">
        <v>1</v>
      </c>
      <c r="M569" s="134">
        <v>0</v>
      </c>
      <c r="N569" s="134">
        <v>50</v>
      </c>
      <c r="O569" s="134">
        <v>45000</v>
      </c>
      <c r="P569" s="133">
        <v>0</v>
      </c>
      <c r="Q569" s="133">
        <v>1</v>
      </c>
      <c r="R569" s="133">
        <v>1</v>
      </c>
      <c r="S569" s="133">
        <v>0</v>
      </c>
    </row>
    <row r="570" spans="1:19">
      <c r="A570" s="85" t="s">
        <v>202</v>
      </c>
      <c r="B570" s="85">
        <v>1</v>
      </c>
      <c r="C570" s="85">
        <v>1</v>
      </c>
      <c r="D570" s="108">
        <v>86.900493052442854</v>
      </c>
      <c r="E570" s="108">
        <v>100</v>
      </c>
      <c r="F570" s="108">
        <v>97.187359928283286</v>
      </c>
      <c r="G570" s="108">
        <v>2.812640071716721</v>
      </c>
      <c r="H570" s="108">
        <v>13.099506947557151</v>
      </c>
      <c r="I570" s="108">
        <v>1</v>
      </c>
      <c r="J570" s="108">
        <v>0</v>
      </c>
      <c r="K570" s="108">
        <v>1</v>
      </c>
      <c r="L570" s="108">
        <v>1</v>
      </c>
      <c r="M570" s="134">
        <v>0</v>
      </c>
      <c r="N570" s="134">
        <v>21</v>
      </c>
      <c r="O570" s="134">
        <v>50000</v>
      </c>
      <c r="P570" s="133">
        <v>0</v>
      </c>
      <c r="Q570" s="133">
        <v>0</v>
      </c>
      <c r="R570" s="133">
        <v>1</v>
      </c>
      <c r="S570" s="133">
        <v>1</v>
      </c>
    </row>
    <row r="571" spans="1:19">
      <c r="A571" s="85" t="s">
        <v>202</v>
      </c>
      <c r="B571" s="85">
        <v>2</v>
      </c>
      <c r="C571" s="85">
        <v>1</v>
      </c>
      <c r="D571" s="108">
        <v>50</v>
      </c>
      <c r="E571" s="108">
        <v>98.422675521821631</v>
      </c>
      <c r="F571" s="108">
        <v>16.603415559772291</v>
      </c>
      <c r="G571" s="108">
        <v>7.3173624288425057</v>
      </c>
      <c r="H571" s="108">
        <v>92.481024667931692</v>
      </c>
      <c r="I571" s="108">
        <v>0</v>
      </c>
      <c r="J571" s="108">
        <v>0</v>
      </c>
      <c r="K571" s="108">
        <v>0</v>
      </c>
      <c r="L571" s="108">
        <v>1</v>
      </c>
      <c r="M571" s="134">
        <v>0</v>
      </c>
      <c r="N571" s="134">
        <v>21</v>
      </c>
      <c r="O571" s="134">
        <v>50000</v>
      </c>
      <c r="P571" s="133">
        <v>0</v>
      </c>
      <c r="Q571" s="133">
        <v>0</v>
      </c>
      <c r="R571" s="133">
        <v>1</v>
      </c>
      <c r="S571" s="133">
        <v>1</v>
      </c>
    </row>
    <row r="572" spans="1:19">
      <c r="A572" s="85" t="s">
        <v>202</v>
      </c>
      <c r="B572" s="85">
        <v>3</v>
      </c>
      <c r="C572" s="85">
        <v>1</v>
      </c>
      <c r="D572" s="108">
        <v>95.884724857685015</v>
      </c>
      <c r="E572" s="108">
        <v>98.612428842504741</v>
      </c>
      <c r="F572" s="108">
        <v>93.275616698292225</v>
      </c>
      <c r="G572" s="108">
        <v>2.8344402277039831</v>
      </c>
      <c r="H572" s="108">
        <v>2.9767552182163199</v>
      </c>
      <c r="I572" s="108">
        <v>0</v>
      </c>
      <c r="J572" s="108">
        <v>0</v>
      </c>
      <c r="K572" s="108">
        <v>1</v>
      </c>
      <c r="L572" s="108">
        <v>1</v>
      </c>
      <c r="M572" s="134">
        <v>0</v>
      </c>
      <c r="N572" s="134">
        <v>21</v>
      </c>
      <c r="O572" s="134">
        <v>50000</v>
      </c>
      <c r="P572" s="133">
        <v>0</v>
      </c>
      <c r="Q572" s="133">
        <v>0</v>
      </c>
      <c r="R572" s="133">
        <v>1</v>
      </c>
      <c r="S572" s="133">
        <v>1</v>
      </c>
    </row>
    <row r="573" spans="1:19">
      <c r="A573" s="85" t="s">
        <v>202</v>
      </c>
      <c r="B573" s="85">
        <v>4</v>
      </c>
      <c r="C573" s="85">
        <v>1</v>
      </c>
      <c r="D573" s="108">
        <v>99.003795066413659</v>
      </c>
      <c r="E573" s="108">
        <v>99.395161290322577</v>
      </c>
      <c r="F573" s="108">
        <v>98.221062618595823</v>
      </c>
      <c r="G573" s="108">
        <v>4.5659392789373809</v>
      </c>
      <c r="H573" s="108">
        <v>10.49573055028463</v>
      </c>
      <c r="I573" s="108">
        <v>0</v>
      </c>
      <c r="J573" s="108">
        <v>0</v>
      </c>
      <c r="K573" s="108">
        <v>1</v>
      </c>
      <c r="L573" s="108">
        <v>1</v>
      </c>
      <c r="M573" s="134">
        <v>0</v>
      </c>
      <c r="N573" s="134">
        <v>21</v>
      </c>
      <c r="O573" s="134">
        <v>50000</v>
      </c>
      <c r="P573" s="133">
        <v>0</v>
      </c>
      <c r="Q573" s="133">
        <v>0</v>
      </c>
      <c r="R573" s="133">
        <v>1</v>
      </c>
      <c r="S573" s="133">
        <v>1</v>
      </c>
    </row>
    <row r="574" spans="1:19">
      <c r="A574" s="85" t="s">
        <v>202</v>
      </c>
      <c r="B574" s="85">
        <v>5</v>
      </c>
      <c r="C574" s="85">
        <v>1</v>
      </c>
      <c r="D574" s="108">
        <v>12.64231499051234</v>
      </c>
      <c r="E574" s="108">
        <v>97.972011385199238</v>
      </c>
      <c r="F574" s="108">
        <v>99.181688804554085</v>
      </c>
      <c r="G574" s="108">
        <v>7.9103415559772294</v>
      </c>
      <c r="H574" s="108">
        <v>3.949240986717268</v>
      </c>
      <c r="I574" s="108">
        <v>0</v>
      </c>
      <c r="J574" s="108">
        <v>0</v>
      </c>
      <c r="K574" s="108">
        <v>0</v>
      </c>
      <c r="L574" s="108">
        <v>1</v>
      </c>
      <c r="M574" s="134">
        <v>0</v>
      </c>
      <c r="N574" s="134">
        <v>21</v>
      </c>
      <c r="O574" s="134">
        <v>50000</v>
      </c>
      <c r="P574" s="133">
        <v>0</v>
      </c>
      <c r="Q574" s="133">
        <v>0</v>
      </c>
      <c r="R574" s="133">
        <v>1</v>
      </c>
      <c r="S574" s="133">
        <v>1</v>
      </c>
    </row>
    <row r="575" spans="1:19">
      <c r="A575" s="85" t="s">
        <v>202</v>
      </c>
      <c r="B575" s="85">
        <v>6</v>
      </c>
      <c r="C575" s="85">
        <v>1</v>
      </c>
      <c r="D575" s="108">
        <v>5.3605313092979117</v>
      </c>
      <c r="E575" s="108">
        <v>97.414611005692592</v>
      </c>
      <c r="F575" s="108">
        <v>88.911290322580655</v>
      </c>
      <c r="G575" s="108">
        <v>8.7167931688804536</v>
      </c>
      <c r="H575" s="108">
        <v>5.3486717267552164</v>
      </c>
      <c r="I575" s="108">
        <v>0</v>
      </c>
      <c r="J575" s="108">
        <v>0</v>
      </c>
      <c r="K575" s="108">
        <v>0</v>
      </c>
      <c r="L575" s="108">
        <v>1</v>
      </c>
      <c r="M575" s="134">
        <v>0</v>
      </c>
      <c r="N575" s="134">
        <v>21</v>
      </c>
      <c r="O575" s="134">
        <v>50000</v>
      </c>
      <c r="P575" s="133">
        <v>0</v>
      </c>
      <c r="Q575" s="133">
        <v>0</v>
      </c>
      <c r="R575" s="133">
        <v>1</v>
      </c>
      <c r="S575" s="133">
        <v>1</v>
      </c>
    </row>
    <row r="576" spans="1:19">
      <c r="A576" s="85" t="s">
        <v>202</v>
      </c>
      <c r="B576" s="85">
        <v>7</v>
      </c>
      <c r="C576" s="85">
        <v>1</v>
      </c>
      <c r="D576" s="108">
        <v>6.25</v>
      </c>
      <c r="E576" s="108">
        <v>4.5422201138519913</v>
      </c>
      <c r="F576" s="108">
        <v>2.8581593927893718</v>
      </c>
      <c r="G576" s="108">
        <v>94.449715370018978</v>
      </c>
      <c r="H576" s="108">
        <v>96.027039848197333</v>
      </c>
      <c r="I576" s="108">
        <v>0</v>
      </c>
      <c r="J576" s="108">
        <v>1</v>
      </c>
      <c r="K576" s="108">
        <v>0</v>
      </c>
      <c r="L576" s="108">
        <v>1</v>
      </c>
      <c r="M576" s="134">
        <v>0</v>
      </c>
      <c r="N576" s="134">
        <v>21</v>
      </c>
      <c r="O576" s="134">
        <v>50000</v>
      </c>
      <c r="P576" s="133">
        <v>0</v>
      </c>
      <c r="Q576" s="133">
        <v>0</v>
      </c>
      <c r="R576" s="133">
        <v>1</v>
      </c>
      <c r="S576" s="133">
        <v>1</v>
      </c>
    </row>
    <row r="577" spans="1:19">
      <c r="A577" s="85" t="s">
        <v>203</v>
      </c>
      <c r="B577" s="85">
        <v>1</v>
      </c>
      <c r="C577" s="85">
        <v>1</v>
      </c>
      <c r="D577" s="108">
        <v>10.910125142207059</v>
      </c>
      <c r="E577" s="108">
        <v>50</v>
      </c>
      <c r="F577" s="108">
        <v>11.27417519908987</v>
      </c>
      <c r="G577" s="108">
        <v>87.519908987485778</v>
      </c>
      <c r="H577" s="108">
        <v>8.2707622298065999</v>
      </c>
      <c r="I577" s="108">
        <v>1</v>
      </c>
      <c r="J577" s="108">
        <v>0</v>
      </c>
      <c r="K577" s="108">
        <v>0</v>
      </c>
      <c r="L577" s="108">
        <v>1</v>
      </c>
      <c r="M577" s="134">
        <v>0</v>
      </c>
      <c r="N577" s="134">
        <v>48</v>
      </c>
      <c r="O577" s="134">
        <v>98000</v>
      </c>
      <c r="P577" s="133">
        <v>0</v>
      </c>
      <c r="Q577" s="133">
        <v>0</v>
      </c>
      <c r="R577" s="133">
        <v>0</v>
      </c>
      <c r="S577" s="133">
        <v>0</v>
      </c>
    </row>
    <row r="578" spans="1:19">
      <c r="A578" s="85" t="s">
        <v>204</v>
      </c>
      <c r="B578" s="85">
        <v>1</v>
      </c>
      <c r="C578" s="85">
        <v>1</v>
      </c>
      <c r="D578" s="108">
        <v>93.262316910785614</v>
      </c>
      <c r="E578" s="108">
        <v>99.041278295605863</v>
      </c>
      <c r="F578" s="108">
        <v>97.656458055925427</v>
      </c>
      <c r="G578" s="108">
        <v>5.2729693741677739</v>
      </c>
      <c r="H578" s="108">
        <v>0.5858854860186391</v>
      </c>
      <c r="I578" s="108">
        <v>1</v>
      </c>
      <c r="J578" s="108">
        <v>0</v>
      </c>
      <c r="K578" s="108">
        <v>1</v>
      </c>
      <c r="L578" s="108">
        <v>1</v>
      </c>
      <c r="M578" s="134">
        <v>1</v>
      </c>
      <c r="N578" s="134">
        <v>35</v>
      </c>
      <c r="O578" s="134">
        <v>75000</v>
      </c>
      <c r="P578" s="133">
        <v>0</v>
      </c>
      <c r="Q578" s="133">
        <v>1</v>
      </c>
      <c r="R578" s="133">
        <v>1</v>
      </c>
      <c r="S578" s="133">
        <v>1</v>
      </c>
    </row>
    <row r="579" spans="1:19">
      <c r="A579" s="85" t="s">
        <v>204</v>
      </c>
      <c r="B579" s="85">
        <v>2</v>
      </c>
      <c r="C579" s="85">
        <v>1</v>
      </c>
      <c r="D579" s="108">
        <v>98.082556591211727</v>
      </c>
      <c r="E579" s="108">
        <v>96.484687083888161</v>
      </c>
      <c r="F579" s="108">
        <v>94.660452729693745</v>
      </c>
      <c r="G579" s="108">
        <v>1.411451398135821</v>
      </c>
      <c r="H579" s="108">
        <v>1.398135818908125</v>
      </c>
      <c r="I579" s="108">
        <v>0</v>
      </c>
      <c r="J579" s="108">
        <v>0</v>
      </c>
      <c r="K579" s="108">
        <v>1</v>
      </c>
      <c r="L579" s="108">
        <v>1</v>
      </c>
      <c r="M579" s="134">
        <v>1</v>
      </c>
      <c r="N579" s="134">
        <v>35</v>
      </c>
      <c r="O579" s="134">
        <v>75000</v>
      </c>
      <c r="P579" s="133">
        <v>0</v>
      </c>
      <c r="Q579" s="133">
        <v>1</v>
      </c>
      <c r="R579" s="133">
        <v>1</v>
      </c>
      <c r="S579" s="133">
        <v>1</v>
      </c>
    </row>
    <row r="580" spans="1:19">
      <c r="A580" s="85" t="s">
        <v>204</v>
      </c>
      <c r="B580" s="85">
        <v>3</v>
      </c>
      <c r="C580" s="85">
        <v>1</v>
      </c>
      <c r="D580" s="108">
        <v>50</v>
      </c>
      <c r="E580" s="108">
        <v>95.312916111850868</v>
      </c>
      <c r="F580" s="108">
        <v>92.636484687083893</v>
      </c>
      <c r="G580" s="108">
        <v>3.3288948069240991</v>
      </c>
      <c r="H580" s="108">
        <v>9.906790945406124</v>
      </c>
      <c r="I580" s="108">
        <v>0</v>
      </c>
      <c r="J580" s="108">
        <v>0</v>
      </c>
      <c r="K580" s="108">
        <v>1</v>
      </c>
      <c r="L580" s="108">
        <v>1</v>
      </c>
      <c r="M580" s="134">
        <v>1</v>
      </c>
      <c r="N580" s="134">
        <v>35</v>
      </c>
      <c r="O580" s="134">
        <v>75000</v>
      </c>
      <c r="P580" s="133">
        <v>0</v>
      </c>
      <c r="Q580" s="133">
        <v>1</v>
      </c>
      <c r="R580" s="133">
        <v>1</v>
      </c>
      <c r="S580" s="133">
        <v>1</v>
      </c>
    </row>
    <row r="581" spans="1:19">
      <c r="A581" s="85" t="s">
        <v>204</v>
      </c>
      <c r="B581" s="85">
        <v>4</v>
      </c>
      <c r="C581" s="85">
        <v>1</v>
      </c>
      <c r="D581" s="108">
        <v>98.828229027962706</v>
      </c>
      <c r="E581" s="108">
        <v>96.671105193075903</v>
      </c>
      <c r="F581" s="108">
        <v>96.99067909454061</v>
      </c>
      <c r="G581" s="108">
        <v>0</v>
      </c>
      <c r="H581" s="108">
        <v>1.3315579227696221E-2</v>
      </c>
      <c r="I581" s="108">
        <v>0</v>
      </c>
      <c r="J581" s="108">
        <v>0</v>
      </c>
      <c r="K581" s="108">
        <v>1</v>
      </c>
      <c r="L581" s="108">
        <v>1</v>
      </c>
      <c r="M581" s="134">
        <v>1</v>
      </c>
      <c r="N581" s="134">
        <v>35</v>
      </c>
      <c r="O581" s="134">
        <v>75000</v>
      </c>
      <c r="P581" s="133">
        <v>0</v>
      </c>
      <c r="Q581" s="133">
        <v>1</v>
      </c>
      <c r="R581" s="133">
        <v>1</v>
      </c>
      <c r="S581" s="133">
        <v>1</v>
      </c>
    </row>
    <row r="582" spans="1:19">
      <c r="A582" s="85" t="s">
        <v>204</v>
      </c>
      <c r="B582" s="85">
        <v>5</v>
      </c>
      <c r="C582" s="85">
        <v>1</v>
      </c>
      <c r="D582" s="108">
        <v>99.134487350199734</v>
      </c>
      <c r="E582" s="108">
        <v>97.736351531291604</v>
      </c>
      <c r="F582" s="108">
        <v>97.736351531291604</v>
      </c>
      <c r="G582" s="108">
        <v>2.6364846870838901</v>
      </c>
      <c r="H582" s="108">
        <v>3.2623169107856178</v>
      </c>
      <c r="I582" s="108">
        <v>0</v>
      </c>
      <c r="J582" s="108">
        <v>0</v>
      </c>
      <c r="K582" s="108">
        <v>1</v>
      </c>
      <c r="L582" s="108">
        <v>1</v>
      </c>
      <c r="M582" s="134">
        <v>1</v>
      </c>
      <c r="N582" s="134">
        <v>35</v>
      </c>
      <c r="O582" s="134">
        <v>75000</v>
      </c>
      <c r="P582" s="133">
        <v>0</v>
      </c>
      <c r="Q582" s="133">
        <v>1</v>
      </c>
      <c r="R582" s="133">
        <v>1</v>
      </c>
      <c r="S582" s="133">
        <v>1</v>
      </c>
    </row>
    <row r="583" spans="1:19">
      <c r="A583" s="85" t="s">
        <v>204</v>
      </c>
      <c r="B583" s="85">
        <v>6</v>
      </c>
      <c r="C583" s="85">
        <v>1</v>
      </c>
      <c r="D583" s="108">
        <v>99.334221038615183</v>
      </c>
      <c r="E583" s="108">
        <v>97.589880159786958</v>
      </c>
      <c r="F583" s="108">
        <v>97.962716378162455</v>
      </c>
      <c r="G583" s="108">
        <v>1.1185086551264991</v>
      </c>
      <c r="H583" s="108">
        <v>3.82157123834887</v>
      </c>
      <c r="I583" s="108">
        <v>0</v>
      </c>
      <c r="J583" s="108">
        <v>0</v>
      </c>
      <c r="K583" s="108">
        <v>1</v>
      </c>
      <c r="L583" s="108">
        <v>1</v>
      </c>
      <c r="M583" s="134">
        <v>1</v>
      </c>
      <c r="N583" s="134">
        <v>35</v>
      </c>
      <c r="O583" s="134">
        <v>75000</v>
      </c>
      <c r="P583" s="133">
        <v>0</v>
      </c>
      <c r="Q583" s="133">
        <v>1</v>
      </c>
      <c r="R583" s="133">
        <v>1</v>
      </c>
      <c r="S583" s="133">
        <v>1</v>
      </c>
    </row>
    <row r="584" spans="1:19">
      <c r="A584" s="85" t="s">
        <v>204</v>
      </c>
      <c r="B584" s="85">
        <v>7</v>
      </c>
      <c r="C584" s="85">
        <v>1</v>
      </c>
      <c r="D584" s="108">
        <v>98.73501997336885</v>
      </c>
      <c r="E584" s="108">
        <v>99.360852197070571</v>
      </c>
      <c r="F584" s="108">
        <v>97.749667110519312</v>
      </c>
      <c r="G584" s="108">
        <v>2.3834886817576559</v>
      </c>
      <c r="H584" s="108">
        <v>3.9547270306258322</v>
      </c>
      <c r="I584" s="108">
        <v>0</v>
      </c>
      <c r="J584" s="108">
        <v>1</v>
      </c>
      <c r="K584" s="108">
        <v>1</v>
      </c>
      <c r="L584" s="108">
        <v>1</v>
      </c>
      <c r="M584" s="134">
        <v>1</v>
      </c>
      <c r="N584" s="134">
        <v>35</v>
      </c>
      <c r="O584" s="134">
        <v>75000</v>
      </c>
      <c r="P584" s="133">
        <v>0</v>
      </c>
      <c r="Q584" s="133">
        <v>1</v>
      </c>
      <c r="R584" s="133">
        <v>1</v>
      </c>
      <c r="S584" s="133">
        <v>1</v>
      </c>
    </row>
    <row r="585" spans="1:19">
      <c r="A585" s="85" t="s">
        <v>205</v>
      </c>
      <c r="B585" s="85">
        <v>1</v>
      </c>
      <c r="C585" s="85">
        <v>1</v>
      </c>
      <c r="D585" s="108">
        <v>3.2363907531692768</v>
      </c>
      <c r="E585" s="108">
        <v>5.3616703952274412</v>
      </c>
      <c r="F585" s="108">
        <v>5.1081282624906796</v>
      </c>
      <c r="G585" s="108">
        <v>96.517524235645041</v>
      </c>
      <c r="H585" s="108">
        <v>5.2348993288590604</v>
      </c>
      <c r="I585" s="108">
        <v>1</v>
      </c>
      <c r="J585" s="108">
        <v>0</v>
      </c>
      <c r="K585" s="108">
        <v>0</v>
      </c>
      <c r="L585" s="108">
        <v>1</v>
      </c>
      <c r="M585" s="134">
        <v>0</v>
      </c>
      <c r="N585" s="134">
        <v>46</v>
      </c>
      <c r="O585" s="134">
        <v>37000</v>
      </c>
      <c r="P585" s="133">
        <v>0</v>
      </c>
      <c r="Q585" s="133">
        <v>0</v>
      </c>
      <c r="R585" s="133">
        <v>0</v>
      </c>
      <c r="S585" s="133">
        <v>1</v>
      </c>
    </row>
    <row r="586" spans="1:19">
      <c r="A586" s="85" t="s">
        <v>205</v>
      </c>
      <c r="B586" s="85">
        <v>2</v>
      </c>
      <c r="C586" s="85">
        <v>1</v>
      </c>
      <c r="D586" s="108">
        <v>3.715132066156507</v>
      </c>
      <c r="E586" s="108">
        <v>8.4423599111330514</v>
      </c>
      <c r="F586" s="108">
        <v>50</v>
      </c>
      <c r="G586" s="108">
        <v>62.330288817575912</v>
      </c>
      <c r="H586" s="108">
        <v>4.3446062700567776</v>
      </c>
      <c r="I586" s="108">
        <v>0</v>
      </c>
      <c r="J586" s="108">
        <v>0</v>
      </c>
      <c r="K586" s="108">
        <v>0</v>
      </c>
      <c r="L586" s="108">
        <v>1</v>
      </c>
      <c r="M586" s="134">
        <v>0</v>
      </c>
      <c r="N586" s="134">
        <v>46</v>
      </c>
      <c r="O586" s="134">
        <v>37000</v>
      </c>
      <c r="P586" s="133">
        <v>0</v>
      </c>
      <c r="Q586" s="133">
        <v>0</v>
      </c>
      <c r="R586" s="133">
        <v>0</v>
      </c>
      <c r="S586" s="133">
        <v>1</v>
      </c>
    </row>
    <row r="587" spans="1:19">
      <c r="A587" s="85" t="s">
        <v>205</v>
      </c>
      <c r="B587" s="85">
        <v>3</v>
      </c>
      <c r="C587" s="85">
        <v>1</v>
      </c>
      <c r="D587" s="108">
        <v>3.0980004937052552</v>
      </c>
      <c r="E587" s="108">
        <v>6.1836583559614908</v>
      </c>
      <c r="F587" s="108">
        <v>2.271044186620585</v>
      </c>
      <c r="G587" s="108">
        <v>97.728955813379415</v>
      </c>
      <c r="H587" s="108">
        <v>4.122438903974329</v>
      </c>
      <c r="I587" s="108">
        <v>0</v>
      </c>
      <c r="J587" s="108">
        <v>0</v>
      </c>
      <c r="K587" s="108">
        <v>0</v>
      </c>
      <c r="L587" s="108">
        <v>1</v>
      </c>
      <c r="M587" s="134">
        <v>0</v>
      </c>
      <c r="N587" s="134">
        <v>46</v>
      </c>
      <c r="O587" s="134">
        <v>37000</v>
      </c>
      <c r="P587" s="133">
        <v>0</v>
      </c>
      <c r="Q587" s="133">
        <v>0</v>
      </c>
      <c r="R587" s="133">
        <v>0</v>
      </c>
      <c r="S587" s="133">
        <v>1</v>
      </c>
    </row>
    <row r="588" spans="1:19">
      <c r="A588" s="85" t="s">
        <v>205</v>
      </c>
      <c r="B588" s="85">
        <v>4</v>
      </c>
      <c r="C588" s="85">
        <v>1</v>
      </c>
      <c r="D588" s="108">
        <v>5.3567020488768211</v>
      </c>
      <c r="E588" s="108">
        <v>50</v>
      </c>
      <c r="F588" s="108">
        <v>19.735867686990861</v>
      </c>
      <c r="G588" s="108">
        <v>72.833868180696129</v>
      </c>
      <c r="H588" s="108">
        <v>18.526289804986419</v>
      </c>
      <c r="I588" s="108">
        <v>0</v>
      </c>
      <c r="J588" s="108">
        <v>0</v>
      </c>
      <c r="K588" s="108">
        <v>0</v>
      </c>
      <c r="L588" s="108">
        <v>1</v>
      </c>
      <c r="M588" s="134">
        <v>0</v>
      </c>
      <c r="N588" s="134">
        <v>46</v>
      </c>
      <c r="O588" s="134">
        <v>37000</v>
      </c>
      <c r="P588" s="133">
        <v>0</v>
      </c>
      <c r="Q588" s="133">
        <v>0</v>
      </c>
      <c r="R588" s="133">
        <v>0</v>
      </c>
      <c r="S588" s="133">
        <v>1</v>
      </c>
    </row>
    <row r="589" spans="1:19">
      <c r="A589" s="85" t="s">
        <v>205</v>
      </c>
      <c r="B589" s="85">
        <v>5</v>
      </c>
      <c r="C589" s="85">
        <v>1</v>
      </c>
      <c r="D589" s="108">
        <v>0</v>
      </c>
      <c r="E589" s="108">
        <v>6.1960009874105157</v>
      </c>
      <c r="F589" s="108">
        <v>6.1836583559614908</v>
      </c>
      <c r="G589" s="108">
        <v>75.907183411503325</v>
      </c>
      <c r="H589" s="108">
        <v>3.3078252283386789</v>
      </c>
      <c r="I589" s="108">
        <v>0</v>
      </c>
      <c r="J589" s="108">
        <v>0</v>
      </c>
      <c r="K589" s="108">
        <v>0</v>
      </c>
      <c r="L589" s="108">
        <v>1</v>
      </c>
      <c r="M589" s="134">
        <v>0</v>
      </c>
      <c r="N589" s="134">
        <v>46</v>
      </c>
      <c r="O589" s="134">
        <v>37000</v>
      </c>
      <c r="P589" s="133">
        <v>0</v>
      </c>
      <c r="Q589" s="133">
        <v>0</v>
      </c>
      <c r="R589" s="133">
        <v>0</v>
      </c>
      <c r="S589" s="133">
        <v>1</v>
      </c>
    </row>
    <row r="590" spans="1:19">
      <c r="A590" s="85" t="s">
        <v>205</v>
      </c>
      <c r="B590" s="85">
        <v>6</v>
      </c>
      <c r="C590" s="85">
        <v>1</v>
      </c>
      <c r="D590" s="108">
        <v>10.0962725253024</v>
      </c>
      <c r="E590" s="108">
        <v>8.2448778079486527</v>
      </c>
      <c r="F590" s="108">
        <v>8.0473957047642539</v>
      </c>
      <c r="G590" s="108">
        <v>92.174771661318204</v>
      </c>
      <c r="H590" s="108">
        <v>2.271044186620585</v>
      </c>
      <c r="I590" s="108">
        <v>0</v>
      </c>
      <c r="J590" s="108">
        <v>0</v>
      </c>
      <c r="K590" s="108">
        <v>0</v>
      </c>
      <c r="L590" s="108">
        <v>1</v>
      </c>
      <c r="M590" s="134">
        <v>0</v>
      </c>
      <c r="N590" s="134">
        <v>46</v>
      </c>
      <c r="O590" s="134">
        <v>37000</v>
      </c>
      <c r="P590" s="133">
        <v>0</v>
      </c>
      <c r="Q590" s="133">
        <v>0</v>
      </c>
      <c r="R590" s="133">
        <v>0</v>
      </c>
      <c r="S590" s="133">
        <v>1</v>
      </c>
    </row>
    <row r="591" spans="1:19">
      <c r="A591" s="85" t="s">
        <v>205</v>
      </c>
      <c r="B591" s="85">
        <v>7</v>
      </c>
      <c r="C591" s="85">
        <v>1</v>
      </c>
      <c r="D591" s="108">
        <v>9.0594914835843028</v>
      </c>
      <c r="E591" s="108">
        <v>5.1468773142433966</v>
      </c>
      <c r="F591" s="108">
        <v>9.2816588496667514</v>
      </c>
      <c r="G591" s="108">
        <v>97.099481609479142</v>
      </c>
      <c r="H591" s="108">
        <v>8.2448778079486527</v>
      </c>
      <c r="I591" s="108">
        <v>0</v>
      </c>
      <c r="J591" s="108">
        <v>1</v>
      </c>
      <c r="K591" s="108">
        <v>0</v>
      </c>
      <c r="L591" s="108">
        <v>1</v>
      </c>
      <c r="M591" s="134">
        <v>0</v>
      </c>
      <c r="N591" s="134">
        <v>46</v>
      </c>
      <c r="O591" s="134">
        <v>37000</v>
      </c>
      <c r="P591" s="133">
        <v>0</v>
      </c>
      <c r="Q591" s="133">
        <v>0</v>
      </c>
      <c r="R591" s="133">
        <v>0</v>
      </c>
      <c r="S591" s="133">
        <v>1</v>
      </c>
    </row>
    <row r="592" spans="1:19">
      <c r="A592" s="85" t="s">
        <v>206</v>
      </c>
      <c r="B592" s="85">
        <v>1</v>
      </c>
      <c r="C592" s="85">
        <v>1</v>
      </c>
      <c r="D592" s="108">
        <v>81.021328246922138</v>
      </c>
      <c r="E592" s="108">
        <v>97.407664296861455</v>
      </c>
      <c r="F592" s="108">
        <v>8.7046991503381292</v>
      </c>
      <c r="G592" s="108">
        <v>84.610716143575516</v>
      </c>
      <c r="H592" s="108">
        <v>7.0920756025663279</v>
      </c>
      <c r="I592" s="108">
        <v>1</v>
      </c>
      <c r="J592" s="108">
        <v>0</v>
      </c>
      <c r="K592" s="108">
        <v>1</v>
      </c>
      <c r="L592" s="108">
        <v>1</v>
      </c>
      <c r="M592" s="134">
        <v>0</v>
      </c>
      <c r="N592" s="134">
        <v>20</v>
      </c>
      <c r="O592" s="134">
        <v>-99</v>
      </c>
      <c r="P592" s="133">
        <v>0</v>
      </c>
      <c r="Q592" s="133">
        <v>0</v>
      </c>
      <c r="R592" s="133">
        <v>0</v>
      </c>
      <c r="S592" s="133">
        <v>0</v>
      </c>
    </row>
    <row r="593" spans="1:19">
      <c r="A593" s="85" t="s">
        <v>206</v>
      </c>
      <c r="B593" s="85">
        <v>2</v>
      </c>
      <c r="C593" s="85">
        <v>1</v>
      </c>
      <c r="D593" s="108">
        <v>97.825573150555428</v>
      </c>
      <c r="E593" s="108">
        <v>88.824345413559911</v>
      </c>
      <c r="F593" s="108">
        <v>95.07208697707398</v>
      </c>
      <c r="G593" s="108">
        <v>50</v>
      </c>
      <c r="H593" s="108">
        <v>98.227369416213662</v>
      </c>
      <c r="I593" s="108">
        <v>0</v>
      </c>
      <c r="J593" s="108">
        <v>0</v>
      </c>
      <c r="K593" s="108">
        <v>1</v>
      </c>
      <c r="L593" s="108">
        <v>1</v>
      </c>
      <c r="M593" s="134">
        <v>0</v>
      </c>
      <c r="N593" s="134">
        <v>20</v>
      </c>
      <c r="O593" s="134">
        <v>-99</v>
      </c>
      <c r="P593" s="133">
        <v>0</v>
      </c>
      <c r="Q593" s="133">
        <v>0</v>
      </c>
      <c r="R593" s="133">
        <v>0</v>
      </c>
      <c r="S593" s="133">
        <v>0</v>
      </c>
    </row>
    <row r="594" spans="1:19">
      <c r="A594" s="85" t="s">
        <v>206</v>
      </c>
      <c r="B594" s="85">
        <v>3</v>
      </c>
      <c r="C594" s="85">
        <v>1</v>
      </c>
      <c r="D594" s="108">
        <v>95.887497045615703</v>
      </c>
      <c r="E594" s="108">
        <v>91.692271330654691</v>
      </c>
      <c r="F594" s="108">
        <v>86.906168754431576</v>
      </c>
      <c r="G594" s="108">
        <v>50</v>
      </c>
      <c r="H594" s="108">
        <v>92.105885133538166</v>
      </c>
      <c r="I594" s="108">
        <v>0</v>
      </c>
      <c r="J594" s="108">
        <v>0</v>
      </c>
      <c r="K594" s="108">
        <v>1</v>
      </c>
      <c r="L594" s="108">
        <v>1</v>
      </c>
      <c r="M594" s="134">
        <v>0</v>
      </c>
      <c r="N594" s="134">
        <v>20</v>
      </c>
      <c r="O594" s="134">
        <v>-99</v>
      </c>
      <c r="P594" s="133">
        <v>0</v>
      </c>
      <c r="Q594" s="133">
        <v>0</v>
      </c>
      <c r="R594" s="133">
        <v>0</v>
      </c>
      <c r="S594" s="133">
        <v>0</v>
      </c>
    </row>
    <row r="595" spans="1:19">
      <c r="A595" s="85" t="s">
        <v>206</v>
      </c>
      <c r="B595" s="85">
        <v>4</v>
      </c>
      <c r="C595" s="85">
        <v>1</v>
      </c>
      <c r="D595" s="108">
        <v>75.289529662018424</v>
      </c>
      <c r="E595" s="108">
        <v>97.837390687780669</v>
      </c>
      <c r="F595" s="108">
        <v>98.227369416213662</v>
      </c>
      <c r="G595" s="108">
        <v>34.365398251004493</v>
      </c>
      <c r="H595" s="108">
        <v>47.411959347671953</v>
      </c>
      <c r="I595" s="108">
        <v>0</v>
      </c>
      <c r="J595" s="108">
        <v>0</v>
      </c>
      <c r="K595" s="108">
        <v>1</v>
      </c>
      <c r="L595" s="108">
        <v>1</v>
      </c>
      <c r="M595" s="134">
        <v>0</v>
      </c>
      <c r="N595" s="134">
        <v>20</v>
      </c>
      <c r="O595" s="134">
        <v>-99</v>
      </c>
      <c r="P595" s="133">
        <v>0</v>
      </c>
      <c r="Q595" s="133">
        <v>0</v>
      </c>
      <c r="R595" s="133">
        <v>0</v>
      </c>
      <c r="S595" s="133">
        <v>0</v>
      </c>
    </row>
    <row r="596" spans="1:19">
      <c r="A596" s="85" t="s">
        <v>206</v>
      </c>
      <c r="B596" s="85">
        <v>5</v>
      </c>
      <c r="C596" s="85">
        <v>1</v>
      </c>
      <c r="D596" s="108">
        <v>100</v>
      </c>
      <c r="E596" s="108">
        <v>98.203734341763166</v>
      </c>
      <c r="F596" s="108">
        <v>94.244859371307015</v>
      </c>
      <c r="G596" s="108">
        <v>81.848262822027891</v>
      </c>
      <c r="H596" s="108">
        <v>98.014653746159297</v>
      </c>
      <c r="I596" s="108">
        <v>0</v>
      </c>
      <c r="J596" s="108">
        <v>0</v>
      </c>
      <c r="K596" s="108">
        <v>1</v>
      </c>
      <c r="L596" s="108">
        <v>1</v>
      </c>
      <c r="M596" s="134">
        <v>0</v>
      </c>
      <c r="N596" s="134">
        <v>20</v>
      </c>
      <c r="O596" s="134">
        <v>-99</v>
      </c>
      <c r="P596" s="133">
        <v>0</v>
      </c>
      <c r="Q596" s="133">
        <v>0</v>
      </c>
      <c r="R596" s="133">
        <v>0</v>
      </c>
      <c r="S596" s="133">
        <v>0</v>
      </c>
    </row>
    <row r="597" spans="1:19">
      <c r="A597" s="85" t="s">
        <v>206</v>
      </c>
      <c r="B597" s="85">
        <v>6</v>
      </c>
      <c r="C597" s="85">
        <v>1</v>
      </c>
      <c r="D597" s="108">
        <v>15.043724887733401</v>
      </c>
      <c r="E597" s="108">
        <v>3.568896242023162</v>
      </c>
      <c r="F597" s="108">
        <v>3.568896242023162</v>
      </c>
      <c r="G597" s="108">
        <v>82.805483337272506</v>
      </c>
      <c r="H597" s="108">
        <v>93.724887733396358</v>
      </c>
      <c r="I597" s="108">
        <v>0</v>
      </c>
      <c r="J597" s="108">
        <v>0</v>
      </c>
      <c r="K597" s="108">
        <v>0</v>
      </c>
      <c r="L597" s="108">
        <v>1</v>
      </c>
      <c r="M597" s="134">
        <v>0</v>
      </c>
      <c r="N597" s="134">
        <v>20</v>
      </c>
      <c r="O597" s="134">
        <v>-99</v>
      </c>
      <c r="P597" s="133">
        <v>0</v>
      </c>
      <c r="Q597" s="133">
        <v>0</v>
      </c>
      <c r="R597" s="133">
        <v>0</v>
      </c>
      <c r="S597" s="133">
        <v>0</v>
      </c>
    </row>
    <row r="598" spans="1:19">
      <c r="A598" s="85" t="s">
        <v>207</v>
      </c>
      <c r="B598" s="85">
        <v>1</v>
      </c>
      <c r="C598" s="85">
        <v>1</v>
      </c>
      <c r="D598" s="108">
        <v>94.440846286701202</v>
      </c>
      <c r="E598" s="108">
        <v>94.235751295336783</v>
      </c>
      <c r="F598" s="108">
        <v>92.746113989637308</v>
      </c>
      <c r="G598" s="108">
        <v>6.9840241796200351</v>
      </c>
      <c r="H598" s="108">
        <v>77.493523316062181</v>
      </c>
      <c r="I598" s="108">
        <v>1</v>
      </c>
      <c r="J598" s="108">
        <v>0</v>
      </c>
      <c r="K598" s="108">
        <v>1</v>
      </c>
      <c r="L598" s="108">
        <v>1</v>
      </c>
      <c r="M598" s="134">
        <v>0</v>
      </c>
      <c r="N598" s="134">
        <v>25</v>
      </c>
      <c r="O598" s="134">
        <v>50000</v>
      </c>
      <c r="P598" s="133">
        <v>0</v>
      </c>
      <c r="Q598" s="133">
        <v>1</v>
      </c>
      <c r="R598" s="133">
        <v>0</v>
      </c>
      <c r="S598" s="133">
        <v>1</v>
      </c>
    </row>
    <row r="599" spans="1:19">
      <c r="A599" s="85" t="s">
        <v>207</v>
      </c>
      <c r="B599" s="85">
        <v>2</v>
      </c>
      <c r="C599" s="85">
        <v>1</v>
      </c>
      <c r="D599" s="108">
        <v>86.463071258392901</v>
      </c>
      <c r="E599" s="108">
        <v>50</v>
      </c>
      <c r="F599" s="108">
        <v>91.509638293264018</v>
      </c>
      <c r="G599" s="108">
        <v>14.81481481481481</v>
      </c>
      <c r="H599" s="108">
        <v>11.035304310158111</v>
      </c>
      <c r="I599" s="108">
        <v>0</v>
      </c>
      <c r="J599" s="108">
        <v>0</v>
      </c>
      <c r="K599" s="108">
        <v>1</v>
      </c>
      <c r="L599" s="108">
        <v>1</v>
      </c>
      <c r="M599" s="134">
        <v>0</v>
      </c>
      <c r="N599" s="134">
        <v>25</v>
      </c>
      <c r="O599" s="134">
        <v>50000</v>
      </c>
      <c r="P599" s="133">
        <v>0</v>
      </c>
      <c r="Q599" s="133">
        <v>1</v>
      </c>
      <c r="R599" s="133">
        <v>0</v>
      </c>
      <c r="S599" s="133">
        <v>1</v>
      </c>
    </row>
    <row r="600" spans="1:19">
      <c r="A600" s="85" t="s">
        <v>207</v>
      </c>
      <c r="B600" s="85">
        <v>3</v>
      </c>
      <c r="C600" s="85">
        <v>1</v>
      </c>
      <c r="D600" s="108">
        <v>99.837556855100715</v>
      </c>
      <c r="E600" s="108">
        <v>0.57396577864414211</v>
      </c>
      <c r="F600" s="108">
        <v>2.003465453757852</v>
      </c>
      <c r="G600" s="108">
        <v>100</v>
      </c>
      <c r="H600" s="108">
        <v>97.99653454624216</v>
      </c>
      <c r="I600" s="108">
        <v>0</v>
      </c>
      <c r="J600" s="108">
        <v>0</v>
      </c>
      <c r="K600" s="108">
        <v>1</v>
      </c>
      <c r="L600" s="108">
        <v>1</v>
      </c>
      <c r="M600" s="134">
        <v>0</v>
      </c>
      <c r="N600" s="134">
        <v>25</v>
      </c>
      <c r="O600" s="134">
        <v>50000</v>
      </c>
      <c r="P600" s="133">
        <v>0</v>
      </c>
      <c r="Q600" s="133">
        <v>1</v>
      </c>
      <c r="R600" s="133">
        <v>0</v>
      </c>
      <c r="S600" s="133">
        <v>1</v>
      </c>
    </row>
    <row r="601" spans="1:19">
      <c r="A601" s="85" t="s">
        <v>207</v>
      </c>
      <c r="B601" s="85">
        <v>4</v>
      </c>
      <c r="C601" s="85">
        <v>1</v>
      </c>
      <c r="D601" s="108">
        <v>92.224388130820884</v>
      </c>
      <c r="E601" s="108">
        <v>95.484080571799865</v>
      </c>
      <c r="F601" s="108">
        <v>95.289148797920731</v>
      </c>
      <c r="G601" s="108">
        <v>25.319471518301931</v>
      </c>
      <c r="H601" s="108">
        <v>90.599956681828033</v>
      </c>
      <c r="I601" s="108">
        <v>0</v>
      </c>
      <c r="J601" s="108">
        <v>0</v>
      </c>
      <c r="K601" s="108">
        <v>1</v>
      </c>
      <c r="L601" s="108">
        <v>1</v>
      </c>
      <c r="M601" s="134">
        <v>0</v>
      </c>
      <c r="N601" s="134">
        <v>25</v>
      </c>
      <c r="O601" s="134">
        <v>50000</v>
      </c>
      <c r="P601" s="133">
        <v>0</v>
      </c>
      <c r="Q601" s="133">
        <v>1</v>
      </c>
      <c r="R601" s="133">
        <v>0</v>
      </c>
      <c r="S601" s="133">
        <v>1</v>
      </c>
    </row>
    <row r="602" spans="1:19">
      <c r="A602" s="85" t="s">
        <v>207</v>
      </c>
      <c r="B602" s="85">
        <v>5</v>
      </c>
      <c r="C602" s="85">
        <v>1</v>
      </c>
      <c r="D602" s="108">
        <v>7.7756118691791221</v>
      </c>
      <c r="E602" s="108">
        <v>8.1113277019709766</v>
      </c>
      <c r="F602" s="108">
        <v>13.72103097249297</v>
      </c>
      <c r="G602" s="108">
        <v>86.268139484513753</v>
      </c>
      <c r="H602" s="108">
        <v>71.258392895819782</v>
      </c>
      <c r="I602" s="108">
        <v>0</v>
      </c>
      <c r="J602" s="108">
        <v>0</v>
      </c>
      <c r="K602" s="108">
        <v>0</v>
      </c>
      <c r="L602" s="108">
        <v>1</v>
      </c>
      <c r="M602" s="134">
        <v>0</v>
      </c>
      <c r="N602" s="134">
        <v>25</v>
      </c>
      <c r="O602" s="134">
        <v>50000</v>
      </c>
      <c r="P602" s="133">
        <v>0</v>
      </c>
      <c r="Q602" s="133">
        <v>1</v>
      </c>
      <c r="R602" s="133">
        <v>0</v>
      </c>
      <c r="S602" s="133">
        <v>1</v>
      </c>
    </row>
    <row r="603" spans="1:19">
      <c r="A603" s="85" t="s">
        <v>207</v>
      </c>
      <c r="B603" s="85">
        <v>6</v>
      </c>
      <c r="C603" s="85">
        <v>1</v>
      </c>
      <c r="D603" s="108">
        <v>0.35737491877843031</v>
      </c>
      <c r="E603" s="108">
        <v>99.436863764349141</v>
      </c>
      <c r="F603" s="108">
        <v>11.60927008880225</v>
      </c>
      <c r="G603" s="108">
        <v>0.54147714966428229</v>
      </c>
      <c r="H603" s="108">
        <v>97.465886939571149</v>
      </c>
      <c r="I603" s="108">
        <v>0</v>
      </c>
      <c r="J603" s="108">
        <v>0</v>
      </c>
      <c r="K603" s="108">
        <v>0</v>
      </c>
      <c r="L603" s="108">
        <v>1</v>
      </c>
      <c r="M603" s="134">
        <v>0</v>
      </c>
      <c r="N603" s="134">
        <v>25</v>
      </c>
      <c r="O603" s="134">
        <v>50000</v>
      </c>
      <c r="P603" s="133">
        <v>0</v>
      </c>
      <c r="Q603" s="133">
        <v>1</v>
      </c>
      <c r="R603" s="133">
        <v>0</v>
      </c>
      <c r="S603" s="133">
        <v>1</v>
      </c>
    </row>
    <row r="604" spans="1:19">
      <c r="A604" s="85" t="s">
        <v>207</v>
      </c>
      <c r="B604" s="85">
        <v>7</v>
      </c>
      <c r="C604" s="85">
        <v>1</v>
      </c>
      <c r="D604" s="108">
        <v>93.848819579813721</v>
      </c>
      <c r="E604" s="108">
        <v>93.848819579813721</v>
      </c>
      <c r="F604" s="108">
        <v>93.296512887156169</v>
      </c>
      <c r="G604" s="108">
        <v>10.29889538661468</v>
      </c>
      <c r="H604" s="108">
        <v>8.8477366255144023</v>
      </c>
      <c r="I604" s="108">
        <v>0</v>
      </c>
      <c r="J604" s="108">
        <v>1</v>
      </c>
      <c r="K604" s="108">
        <v>1</v>
      </c>
      <c r="L604" s="108">
        <v>1</v>
      </c>
      <c r="M604" s="134">
        <v>0</v>
      </c>
      <c r="N604" s="134">
        <v>25</v>
      </c>
      <c r="O604" s="134">
        <v>50000</v>
      </c>
      <c r="P604" s="133">
        <v>0</v>
      </c>
      <c r="Q604" s="133">
        <v>1</v>
      </c>
      <c r="R604" s="133">
        <v>0</v>
      </c>
      <c r="S604" s="133">
        <v>1</v>
      </c>
    </row>
    <row r="605" spans="1:19">
      <c r="A605" s="85" t="s">
        <v>208</v>
      </c>
      <c r="B605" s="85">
        <v>1</v>
      </c>
      <c r="C605" s="85">
        <v>1</v>
      </c>
      <c r="D605" s="108">
        <v>90.732087227414326</v>
      </c>
      <c r="E605" s="108">
        <v>75.415368639667705</v>
      </c>
      <c r="F605" s="108">
        <v>90.719106957424714</v>
      </c>
      <c r="G605" s="108">
        <v>50</v>
      </c>
      <c r="H605" s="108">
        <v>9.1900311526479754</v>
      </c>
      <c r="I605" s="108">
        <v>1</v>
      </c>
      <c r="J605" s="108">
        <v>0</v>
      </c>
      <c r="K605" s="108">
        <v>1</v>
      </c>
      <c r="L605" s="108">
        <v>1</v>
      </c>
      <c r="M605" s="134">
        <v>0</v>
      </c>
      <c r="N605" s="134">
        <v>45</v>
      </c>
      <c r="O605" s="134">
        <v>50000</v>
      </c>
      <c r="P605" s="133">
        <v>0</v>
      </c>
      <c r="Q605" s="133">
        <v>0</v>
      </c>
      <c r="R605" s="133">
        <v>0</v>
      </c>
      <c r="S605" s="133">
        <v>0</v>
      </c>
    </row>
    <row r="606" spans="1:19">
      <c r="A606" s="85" t="s">
        <v>208</v>
      </c>
      <c r="B606" s="85">
        <v>2</v>
      </c>
      <c r="C606" s="85">
        <v>1</v>
      </c>
      <c r="D606" s="108">
        <v>88.226895119418487</v>
      </c>
      <c r="E606" s="108">
        <v>98.637071651090352</v>
      </c>
      <c r="F606" s="108">
        <v>11.2668743509865</v>
      </c>
      <c r="G606" s="108">
        <v>5.5166147455867067</v>
      </c>
      <c r="H606" s="108">
        <v>4.2964693665628273</v>
      </c>
      <c r="I606" s="108">
        <v>0</v>
      </c>
      <c r="J606" s="108">
        <v>0</v>
      </c>
      <c r="K606" s="108">
        <v>1</v>
      </c>
      <c r="L606" s="108">
        <v>1</v>
      </c>
      <c r="M606" s="134">
        <v>0</v>
      </c>
      <c r="N606" s="134">
        <v>45</v>
      </c>
      <c r="O606" s="134">
        <v>50000</v>
      </c>
      <c r="P606" s="133">
        <v>0</v>
      </c>
      <c r="Q606" s="133">
        <v>0</v>
      </c>
      <c r="R606" s="133">
        <v>0</v>
      </c>
      <c r="S606" s="133">
        <v>0</v>
      </c>
    </row>
    <row r="607" spans="1:19">
      <c r="A607" s="85" t="s">
        <v>208</v>
      </c>
      <c r="B607" s="85">
        <v>3</v>
      </c>
      <c r="C607" s="85">
        <v>1</v>
      </c>
      <c r="D607" s="108">
        <v>6.4382139148494284</v>
      </c>
      <c r="E607" s="108">
        <v>0</v>
      </c>
      <c r="F607" s="108">
        <v>6.6718587746625149</v>
      </c>
      <c r="G607" s="108">
        <v>96.209761163032198</v>
      </c>
      <c r="H607" s="108">
        <v>96.469366562824504</v>
      </c>
      <c r="I607" s="108">
        <v>0</v>
      </c>
      <c r="J607" s="108">
        <v>0</v>
      </c>
      <c r="K607" s="108">
        <v>0</v>
      </c>
      <c r="L607" s="108">
        <v>1</v>
      </c>
      <c r="M607" s="134">
        <v>0</v>
      </c>
      <c r="N607" s="134">
        <v>45</v>
      </c>
      <c r="O607" s="134">
        <v>50000</v>
      </c>
      <c r="P607" s="133">
        <v>0</v>
      </c>
      <c r="Q607" s="133">
        <v>0</v>
      </c>
      <c r="R607" s="133">
        <v>0</v>
      </c>
      <c r="S607" s="133">
        <v>0</v>
      </c>
    </row>
    <row r="608" spans="1:19">
      <c r="A608" s="85" t="s">
        <v>208</v>
      </c>
      <c r="B608" s="85">
        <v>4</v>
      </c>
      <c r="C608" s="85">
        <v>1</v>
      </c>
      <c r="D608" s="108">
        <v>2.206645898234683</v>
      </c>
      <c r="E608" s="108">
        <v>3.19314641744548</v>
      </c>
      <c r="F608" s="108">
        <v>5.2829698857736247</v>
      </c>
      <c r="G608" s="108">
        <v>91.342159916926263</v>
      </c>
      <c r="H608" s="108">
        <v>86.461578400830746</v>
      </c>
      <c r="I608" s="108">
        <v>0</v>
      </c>
      <c r="J608" s="108">
        <v>0</v>
      </c>
      <c r="K608" s="108">
        <v>0</v>
      </c>
      <c r="L608" s="108">
        <v>1</v>
      </c>
      <c r="M608" s="134">
        <v>0</v>
      </c>
      <c r="N608" s="134">
        <v>45</v>
      </c>
      <c r="O608" s="134">
        <v>50000</v>
      </c>
      <c r="P608" s="133">
        <v>0</v>
      </c>
      <c r="Q608" s="133">
        <v>0</v>
      </c>
      <c r="R608" s="133">
        <v>0</v>
      </c>
      <c r="S608" s="133">
        <v>0</v>
      </c>
    </row>
    <row r="609" spans="1:19">
      <c r="A609" s="85" t="s">
        <v>208</v>
      </c>
      <c r="B609" s="85">
        <v>5</v>
      </c>
      <c r="C609" s="85">
        <v>1</v>
      </c>
      <c r="D609" s="108">
        <v>3.8032191069574228</v>
      </c>
      <c r="E609" s="108">
        <v>3.8032191069574228</v>
      </c>
      <c r="F609" s="108">
        <v>7.2819314641744519</v>
      </c>
      <c r="G609" s="108">
        <v>97.027518172377981</v>
      </c>
      <c r="H609" s="108">
        <v>94.470404984423666</v>
      </c>
      <c r="I609" s="108">
        <v>0</v>
      </c>
      <c r="J609" s="108">
        <v>0</v>
      </c>
      <c r="K609" s="108">
        <v>0</v>
      </c>
      <c r="L609" s="108">
        <v>1</v>
      </c>
      <c r="M609" s="134">
        <v>0</v>
      </c>
      <c r="N609" s="134">
        <v>45</v>
      </c>
      <c r="O609" s="134">
        <v>50000</v>
      </c>
      <c r="P609" s="133">
        <v>0</v>
      </c>
      <c r="Q609" s="133">
        <v>0</v>
      </c>
      <c r="R609" s="133">
        <v>0</v>
      </c>
      <c r="S609" s="133">
        <v>0</v>
      </c>
    </row>
    <row r="610" spans="1:19">
      <c r="A610" s="85" t="s">
        <v>208</v>
      </c>
      <c r="B610" s="85">
        <v>6</v>
      </c>
      <c r="C610" s="85">
        <v>1</v>
      </c>
      <c r="D610" s="108">
        <v>6.6588785046728933</v>
      </c>
      <c r="E610" s="108">
        <v>2.5311526479750772</v>
      </c>
      <c r="F610" s="108">
        <v>5.7113187954309419</v>
      </c>
      <c r="G610" s="108">
        <v>78.180166147455864</v>
      </c>
      <c r="H610" s="108">
        <v>88.499480789200419</v>
      </c>
      <c r="I610" s="108">
        <v>0</v>
      </c>
      <c r="J610" s="108">
        <v>0</v>
      </c>
      <c r="K610" s="108">
        <v>0</v>
      </c>
      <c r="L610" s="108">
        <v>1</v>
      </c>
      <c r="M610" s="134">
        <v>0</v>
      </c>
      <c r="N610" s="134">
        <v>45</v>
      </c>
      <c r="O610" s="134">
        <v>50000</v>
      </c>
      <c r="P610" s="133">
        <v>0</v>
      </c>
      <c r="Q610" s="133">
        <v>0</v>
      </c>
      <c r="R610" s="133">
        <v>0</v>
      </c>
      <c r="S610" s="133">
        <v>0</v>
      </c>
    </row>
    <row r="611" spans="1:19">
      <c r="A611" s="85" t="s">
        <v>208</v>
      </c>
      <c r="B611" s="85">
        <v>7</v>
      </c>
      <c r="C611" s="85">
        <v>1</v>
      </c>
      <c r="D611" s="108">
        <v>4.5820353063343697</v>
      </c>
      <c r="E611" s="108">
        <v>5.1401869158878508</v>
      </c>
      <c r="F611" s="108">
        <v>1.311007268951192</v>
      </c>
      <c r="G611" s="108">
        <v>89.317237798546216</v>
      </c>
      <c r="H611" s="108">
        <v>96.547248182762203</v>
      </c>
      <c r="I611" s="108">
        <v>0</v>
      </c>
      <c r="J611" s="108">
        <v>1</v>
      </c>
      <c r="K611" s="108">
        <v>0</v>
      </c>
      <c r="L611" s="108">
        <v>1</v>
      </c>
      <c r="M611" s="134">
        <v>0</v>
      </c>
      <c r="N611" s="134">
        <v>45</v>
      </c>
      <c r="O611" s="134">
        <v>50000</v>
      </c>
      <c r="P611" s="133">
        <v>0</v>
      </c>
      <c r="Q611" s="133">
        <v>0</v>
      </c>
      <c r="R611" s="133">
        <v>0</v>
      </c>
      <c r="S611" s="133">
        <v>0</v>
      </c>
    </row>
    <row r="612" spans="1:19">
      <c r="A612" s="85" t="s">
        <v>209</v>
      </c>
      <c r="B612" s="85">
        <v>1</v>
      </c>
      <c r="C612" s="85">
        <v>1</v>
      </c>
      <c r="D612" s="108">
        <v>89.957120288873838</v>
      </c>
      <c r="E612" s="108">
        <v>98.160686075378024</v>
      </c>
      <c r="F612" s="108">
        <v>90.600315955766192</v>
      </c>
      <c r="G612" s="108">
        <v>5.2696908147145116</v>
      </c>
      <c r="H612" s="108">
        <v>97.5739110810201</v>
      </c>
      <c r="I612" s="108">
        <v>1</v>
      </c>
      <c r="J612" s="108">
        <v>0</v>
      </c>
      <c r="K612" s="108">
        <v>1</v>
      </c>
      <c r="L612" s="108">
        <v>1</v>
      </c>
      <c r="M612" s="134">
        <v>1</v>
      </c>
      <c r="N612" s="134">
        <v>27</v>
      </c>
      <c r="O612" s="134">
        <v>80000</v>
      </c>
      <c r="P612" s="133">
        <v>0</v>
      </c>
      <c r="Q612" s="133">
        <v>0</v>
      </c>
      <c r="R612" s="133">
        <v>1</v>
      </c>
      <c r="S612" s="133">
        <v>1</v>
      </c>
    </row>
    <row r="613" spans="1:19">
      <c r="A613" s="85" t="s">
        <v>209</v>
      </c>
      <c r="B613" s="85">
        <v>2</v>
      </c>
      <c r="C613" s="85">
        <v>1</v>
      </c>
      <c r="D613" s="108">
        <v>95.229399680438249</v>
      </c>
      <c r="E613" s="108">
        <v>97.489157726546452</v>
      </c>
      <c r="F613" s="108">
        <v>96.770143802784744</v>
      </c>
      <c r="G613" s="108">
        <v>9.0960967815567226</v>
      </c>
      <c r="H613" s="108">
        <v>50</v>
      </c>
      <c r="I613" s="108">
        <v>0</v>
      </c>
      <c r="J613" s="108">
        <v>0</v>
      </c>
      <c r="K613" s="108">
        <v>1</v>
      </c>
      <c r="L613" s="108">
        <v>1</v>
      </c>
      <c r="M613" s="134">
        <v>1</v>
      </c>
      <c r="N613" s="134">
        <v>27</v>
      </c>
      <c r="O613" s="134">
        <v>80000</v>
      </c>
      <c r="P613" s="133">
        <v>0</v>
      </c>
      <c r="Q613" s="133">
        <v>0</v>
      </c>
      <c r="R613" s="133">
        <v>1</v>
      </c>
      <c r="S613" s="133">
        <v>1</v>
      </c>
    </row>
    <row r="614" spans="1:19">
      <c r="A614" s="85" t="s">
        <v>209</v>
      </c>
      <c r="B614" s="85">
        <v>4</v>
      </c>
      <c r="C614" s="85">
        <v>1</v>
      </c>
      <c r="D614" s="108">
        <v>7.2586167541657147</v>
      </c>
      <c r="E614" s="108">
        <v>96.57612417256334</v>
      </c>
      <c r="F614" s="108">
        <v>96.804382561059128</v>
      </c>
      <c r="G614" s="108">
        <v>22.44921250855969</v>
      </c>
      <c r="H614" s="108">
        <v>6.0944989728372532</v>
      </c>
      <c r="I614" s="108">
        <v>0</v>
      </c>
      <c r="J614" s="108">
        <v>0</v>
      </c>
      <c r="K614" s="108">
        <v>0</v>
      </c>
      <c r="L614" s="108">
        <v>1</v>
      </c>
      <c r="M614" s="134">
        <v>1</v>
      </c>
      <c r="N614" s="134">
        <v>27</v>
      </c>
      <c r="O614" s="134">
        <v>80000</v>
      </c>
      <c r="P614" s="133">
        <v>0</v>
      </c>
      <c r="Q614" s="133">
        <v>0</v>
      </c>
      <c r="R614" s="133">
        <v>1</v>
      </c>
      <c r="S614" s="133">
        <v>1</v>
      </c>
    </row>
    <row r="615" spans="1:19">
      <c r="A615" s="85" t="s">
        <v>209</v>
      </c>
      <c r="B615" s="85">
        <v>5</v>
      </c>
      <c r="C615" s="85">
        <v>1</v>
      </c>
      <c r="D615" s="108">
        <v>0.388039260442824</v>
      </c>
      <c r="E615" s="108">
        <v>3.8005021684546891</v>
      </c>
      <c r="F615" s="108">
        <v>11.5841132161607</v>
      </c>
      <c r="G615" s="108">
        <v>95.400593471810097</v>
      </c>
      <c r="H615" s="108">
        <v>5.5124400821730202</v>
      </c>
      <c r="I615" s="108">
        <v>0</v>
      </c>
      <c r="J615" s="108">
        <v>0</v>
      </c>
      <c r="K615" s="108">
        <v>0</v>
      </c>
      <c r="L615" s="108">
        <v>1</v>
      </c>
      <c r="M615" s="134">
        <v>1</v>
      </c>
      <c r="N615" s="134">
        <v>27</v>
      </c>
      <c r="O615" s="134">
        <v>80000</v>
      </c>
      <c r="P615" s="133">
        <v>0</v>
      </c>
      <c r="Q615" s="133">
        <v>0</v>
      </c>
      <c r="R615" s="133">
        <v>1</v>
      </c>
      <c r="S615" s="133">
        <v>1</v>
      </c>
    </row>
    <row r="616" spans="1:19">
      <c r="A616" s="85" t="s">
        <v>209</v>
      </c>
      <c r="B616" s="85">
        <v>6</v>
      </c>
      <c r="C616" s="85">
        <v>1</v>
      </c>
      <c r="D616" s="108">
        <v>2.4651905957543958</v>
      </c>
      <c r="E616" s="108">
        <v>2.4651905957543958</v>
      </c>
      <c r="F616" s="108">
        <v>10.237388724035609</v>
      </c>
      <c r="G616" s="108">
        <v>93.574526363843873</v>
      </c>
      <c r="H616" s="108">
        <v>5.9803697785893606</v>
      </c>
      <c r="I616" s="108">
        <v>0</v>
      </c>
      <c r="J616" s="108">
        <v>0</v>
      </c>
      <c r="K616" s="108">
        <v>0</v>
      </c>
      <c r="L616" s="108">
        <v>1</v>
      </c>
      <c r="M616" s="134">
        <v>1</v>
      </c>
      <c r="N616" s="134">
        <v>27</v>
      </c>
      <c r="O616" s="134">
        <v>80000</v>
      </c>
      <c r="P616" s="133">
        <v>0</v>
      </c>
      <c r="Q616" s="133">
        <v>0</v>
      </c>
      <c r="R616" s="133">
        <v>1</v>
      </c>
      <c r="S616" s="133">
        <v>1</v>
      </c>
    </row>
    <row r="617" spans="1:19">
      <c r="A617" s="85" t="s">
        <v>209</v>
      </c>
      <c r="B617" s="85">
        <v>7</v>
      </c>
      <c r="C617" s="85">
        <v>1</v>
      </c>
      <c r="D617" s="108">
        <v>3.2640949554896159</v>
      </c>
      <c r="E617" s="108">
        <v>87.240356083086056</v>
      </c>
      <c r="F617" s="108">
        <v>1.5293312029217081</v>
      </c>
      <c r="G617" s="108">
        <v>81.602373887240347</v>
      </c>
      <c r="H617" s="108">
        <v>9.7466331887696871</v>
      </c>
      <c r="I617" s="108">
        <v>0</v>
      </c>
      <c r="J617" s="108">
        <v>1</v>
      </c>
      <c r="K617" s="108">
        <v>0</v>
      </c>
      <c r="L617" s="108">
        <v>1</v>
      </c>
      <c r="M617" s="134">
        <v>1</v>
      </c>
      <c r="N617" s="134">
        <v>27</v>
      </c>
      <c r="O617" s="134">
        <v>80000</v>
      </c>
      <c r="P617" s="133">
        <v>0</v>
      </c>
      <c r="Q617" s="133">
        <v>0</v>
      </c>
      <c r="R617" s="133">
        <v>1</v>
      </c>
      <c r="S617" s="133">
        <v>1</v>
      </c>
    </row>
    <row r="618" spans="1:19">
      <c r="A618" s="85" t="s">
        <v>210</v>
      </c>
      <c r="B618" s="85">
        <v>1</v>
      </c>
      <c r="C618" s="85">
        <v>1</v>
      </c>
      <c r="D618" s="108">
        <v>96.830669779134496</v>
      </c>
      <c r="E618" s="108">
        <v>98.63530256778597</v>
      </c>
      <c r="F618" s="108">
        <v>97.728497037170044</v>
      </c>
      <c r="G618" s="108">
        <v>5.4138983659543891</v>
      </c>
      <c r="H618" s="108">
        <v>94.891362901777697</v>
      </c>
      <c r="I618" s="108">
        <v>1</v>
      </c>
      <c r="J618" s="108">
        <v>0</v>
      </c>
      <c r="K618" s="108">
        <v>1</v>
      </c>
      <c r="L618" s="108">
        <v>1</v>
      </c>
      <c r="M618" s="134">
        <v>1</v>
      </c>
      <c r="N618" s="134">
        <v>33</v>
      </c>
      <c r="O618" s="134">
        <v>50000</v>
      </c>
      <c r="P618" s="133">
        <v>1</v>
      </c>
      <c r="Q618" s="133">
        <v>0</v>
      </c>
      <c r="R618" s="133">
        <v>1</v>
      </c>
      <c r="S618" s="133">
        <v>1</v>
      </c>
    </row>
    <row r="619" spans="1:19">
      <c r="A619" s="85" t="s">
        <v>210</v>
      </c>
      <c r="B619" s="85">
        <v>2</v>
      </c>
      <c r="C619" s="85">
        <v>1</v>
      </c>
      <c r="D619" s="108">
        <v>100</v>
      </c>
      <c r="E619" s="108">
        <v>100</v>
      </c>
      <c r="F619" s="108">
        <v>99.371520919375115</v>
      </c>
      <c r="G619" s="108">
        <v>10.80086191416772</v>
      </c>
      <c r="H619" s="108">
        <v>8.9782725803555401</v>
      </c>
      <c r="I619" s="108">
        <v>0</v>
      </c>
      <c r="J619" s="108">
        <v>0</v>
      </c>
      <c r="K619" s="108">
        <v>1</v>
      </c>
      <c r="L619" s="108">
        <v>1</v>
      </c>
      <c r="M619" s="134">
        <v>1</v>
      </c>
      <c r="N619" s="134">
        <v>33</v>
      </c>
      <c r="O619" s="134">
        <v>50000</v>
      </c>
      <c r="P619" s="133">
        <v>1</v>
      </c>
      <c r="Q619" s="133">
        <v>0</v>
      </c>
      <c r="R619" s="133">
        <v>1</v>
      </c>
      <c r="S619" s="133">
        <v>1</v>
      </c>
    </row>
    <row r="620" spans="1:19">
      <c r="A620" s="85" t="s">
        <v>210</v>
      </c>
      <c r="B620" s="85">
        <v>3</v>
      </c>
      <c r="C620" s="85">
        <v>1</v>
      </c>
      <c r="D620" s="108">
        <v>92.188902855090689</v>
      </c>
      <c r="E620" s="108">
        <v>83.345304363440476</v>
      </c>
      <c r="F620" s="108">
        <v>91.46166277608188</v>
      </c>
      <c r="G620" s="108">
        <v>3.7618962111689691</v>
      </c>
      <c r="H620" s="108">
        <v>5.4138983659543891</v>
      </c>
      <c r="I620" s="108">
        <v>0</v>
      </c>
      <c r="J620" s="108">
        <v>0</v>
      </c>
      <c r="K620" s="108">
        <v>1</v>
      </c>
      <c r="L620" s="108">
        <v>1</v>
      </c>
      <c r="M620" s="134">
        <v>1</v>
      </c>
      <c r="N620" s="134">
        <v>33</v>
      </c>
      <c r="O620" s="134">
        <v>50000</v>
      </c>
      <c r="P620" s="133">
        <v>1</v>
      </c>
      <c r="Q620" s="133">
        <v>0</v>
      </c>
      <c r="R620" s="133">
        <v>1</v>
      </c>
      <c r="S620" s="133">
        <v>1</v>
      </c>
    </row>
    <row r="621" spans="1:19">
      <c r="A621" s="85" t="s">
        <v>210</v>
      </c>
      <c r="B621" s="85">
        <v>4</v>
      </c>
      <c r="C621" s="85">
        <v>1</v>
      </c>
      <c r="D621" s="108">
        <v>50</v>
      </c>
      <c r="E621" s="108">
        <v>97.61511216056671</v>
      </c>
      <c r="F621" s="108">
        <v>97.402597402597408</v>
      </c>
      <c r="G621" s="108">
        <v>24.04958677685951</v>
      </c>
      <c r="H621" s="108">
        <v>6.9067296340023621</v>
      </c>
      <c r="I621" s="108">
        <v>0</v>
      </c>
      <c r="J621" s="108">
        <v>0</v>
      </c>
      <c r="K621" s="108">
        <v>0</v>
      </c>
      <c r="L621" s="108">
        <v>1</v>
      </c>
      <c r="M621" s="134">
        <v>1</v>
      </c>
      <c r="N621" s="134">
        <v>33</v>
      </c>
      <c r="O621" s="134">
        <v>50000</v>
      </c>
      <c r="P621" s="133">
        <v>1</v>
      </c>
      <c r="Q621" s="133">
        <v>0</v>
      </c>
      <c r="R621" s="133">
        <v>1</v>
      </c>
      <c r="S621" s="133">
        <v>1</v>
      </c>
    </row>
    <row r="622" spans="1:19">
      <c r="A622" s="85" t="s">
        <v>210</v>
      </c>
      <c r="B622" s="85">
        <v>5</v>
      </c>
      <c r="C622" s="85">
        <v>1</v>
      </c>
      <c r="D622" s="108">
        <v>4.9468713105076727</v>
      </c>
      <c r="E622" s="108">
        <v>77.721369539551361</v>
      </c>
      <c r="F622" s="108">
        <v>4.5690672963400232</v>
      </c>
      <c r="G622" s="108">
        <v>21.286894923258561</v>
      </c>
      <c r="H622" s="108">
        <v>90.519480519480524</v>
      </c>
      <c r="I622" s="108">
        <v>0</v>
      </c>
      <c r="J622" s="108">
        <v>0</v>
      </c>
      <c r="K622" s="108">
        <v>0</v>
      </c>
      <c r="L622" s="108">
        <v>1</v>
      </c>
      <c r="M622" s="134">
        <v>1</v>
      </c>
      <c r="N622" s="134">
        <v>33</v>
      </c>
      <c r="O622" s="134">
        <v>50000</v>
      </c>
      <c r="P622" s="133">
        <v>1</v>
      </c>
      <c r="Q622" s="133">
        <v>0</v>
      </c>
      <c r="R622" s="133">
        <v>1</v>
      </c>
      <c r="S622" s="133">
        <v>1</v>
      </c>
    </row>
    <row r="623" spans="1:19">
      <c r="A623" s="85" t="s">
        <v>210</v>
      </c>
      <c r="B623" s="85">
        <v>6</v>
      </c>
      <c r="C623" s="85">
        <v>1</v>
      </c>
      <c r="D623" s="108">
        <v>5.7378984651711926</v>
      </c>
      <c r="E623" s="108">
        <v>5.7497048406139326</v>
      </c>
      <c r="F623" s="108">
        <v>5.5371900826446279</v>
      </c>
      <c r="G623" s="108">
        <v>88.77213695395514</v>
      </c>
      <c r="H623" s="108">
        <v>84.5926800472255</v>
      </c>
      <c r="I623" s="108">
        <v>0</v>
      </c>
      <c r="J623" s="108">
        <v>0</v>
      </c>
      <c r="K623" s="108">
        <v>0</v>
      </c>
      <c r="L623" s="108">
        <v>1</v>
      </c>
      <c r="M623" s="134">
        <v>1</v>
      </c>
      <c r="N623" s="134">
        <v>33</v>
      </c>
      <c r="O623" s="134">
        <v>50000</v>
      </c>
      <c r="P623" s="133">
        <v>1</v>
      </c>
      <c r="Q623" s="133">
        <v>0</v>
      </c>
      <c r="R623" s="133">
        <v>1</v>
      </c>
      <c r="S623" s="133">
        <v>1</v>
      </c>
    </row>
    <row r="624" spans="1:19">
      <c r="A624" s="85" t="s">
        <v>210</v>
      </c>
      <c r="B624" s="85">
        <v>7</v>
      </c>
      <c r="C624" s="85">
        <v>1</v>
      </c>
      <c r="D624" s="108">
        <v>18.13459268004722</v>
      </c>
      <c r="E624" s="108">
        <v>21.2987012987013</v>
      </c>
      <c r="F624" s="108">
        <v>5.5371900826446279</v>
      </c>
      <c r="G624" s="108">
        <v>81.664698937426209</v>
      </c>
      <c r="H624" s="108">
        <v>82.833530106257385</v>
      </c>
      <c r="I624" s="108">
        <v>0</v>
      </c>
      <c r="J624" s="108">
        <v>1</v>
      </c>
      <c r="K624" s="108">
        <v>0</v>
      </c>
      <c r="L624" s="108">
        <v>1</v>
      </c>
      <c r="M624" s="134">
        <v>1</v>
      </c>
      <c r="N624" s="134">
        <v>33</v>
      </c>
      <c r="O624" s="134">
        <v>50000</v>
      </c>
      <c r="P624" s="133">
        <v>1</v>
      </c>
      <c r="Q624" s="133">
        <v>0</v>
      </c>
      <c r="R624" s="133">
        <v>1</v>
      </c>
      <c r="S624" s="133">
        <v>1</v>
      </c>
    </row>
    <row r="625" spans="1:19">
      <c r="A625" s="85" t="s">
        <v>211</v>
      </c>
      <c r="B625" s="85">
        <v>1</v>
      </c>
      <c r="C625" s="85">
        <v>1</v>
      </c>
      <c r="D625" s="108">
        <v>50</v>
      </c>
      <c r="E625" s="108">
        <v>14.817610062893079</v>
      </c>
      <c r="F625" s="108">
        <v>21.182389937106919</v>
      </c>
      <c r="G625" s="108">
        <v>30.314465408805031</v>
      </c>
      <c r="H625" s="108">
        <v>14.15094339622641</v>
      </c>
      <c r="I625" s="108">
        <v>1</v>
      </c>
      <c r="J625" s="108">
        <v>0</v>
      </c>
      <c r="K625" s="108">
        <v>0</v>
      </c>
      <c r="L625" s="108">
        <v>1</v>
      </c>
      <c r="M625" s="134">
        <v>0</v>
      </c>
      <c r="N625" s="134">
        <v>46</v>
      </c>
      <c r="O625" s="134">
        <v>80000</v>
      </c>
      <c r="P625" s="133">
        <v>0</v>
      </c>
      <c r="Q625" s="133">
        <v>0</v>
      </c>
      <c r="R625" s="133">
        <v>0</v>
      </c>
      <c r="S625" s="133">
        <v>1</v>
      </c>
    </row>
    <row r="626" spans="1:19">
      <c r="A626" s="85" t="s">
        <v>211</v>
      </c>
      <c r="B626" s="85">
        <v>2</v>
      </c>
      <c r="C626" s="85">
        <v>1</v>
      </c>
      <c r="D626" s="108">
        <v>3.2704402515723259</v>
      </c>
      <c r="E626" s="108">
        <v>7.4339622641509449</v>
      </c>
      <c r="F626" s="108">
        <v>6.1383647798742169</v>
      </c>
      <c r="G626" s="108">
        <v>66.440251572327043</v>
      </c>
      <c r="H626" s="108">
        <v>6.5283018867924536</v>
      </c>
      <c r="I626" s="108">
        <v>0</v>
      </c>
      <c r="J626" s="108">
        <v>0</v>
      </c>
      <c r="K626" s="108">
        <v>0</v>
      </c>
      <c r="L626" s="108">
        <v>1</v>
      </c>
      <c r="M626" s="134">
        <v>0</v>
      </c>
      <c r="N626" s="134">
        <v>46</v>
      </c>
      <c r="O626" s="134">
        <v>80000</v>
      </c>
      <c r="P626" s="133">
        <v>0</v>
      </c>
      <c r="Q626" s="133">
        <v>0</v>
      </c>
      <c r="R626" s="133">
        <v>0</v>
      </c>
      <c r="S626" s="133">
        <v>1</v>
      </c>
    </row>
    <row r="627" spans="1:19">
      <c r="A627" s="85" t="s">
        <v>211</v>
      </c>
      <c r="B627" s="85">
        <v>3</v>
      </c>
      <c r="C627" s="85">
        <v>1</v>
      </c>
      <c r="D627" s="108">
        <v>5.5220125786163532</v>
      </c>
      <c r="E627" s="108">
        <v>15.89937106918239</v>
      </c>
      <c r="F627" s="108">
        <v>27.84905660377359</v>
      </c>
      <c r="G627" s="108">
        <v>85.84905660377359</v>
      </c>
      <c r="H627" s="108">
        <v>1.9748427672955979</v>
      </c>
      <c r="I627" s="108">
        <v>0</v>
      </c>
      <c r="J627" s="108">
        <v>0</v>
      </c>
      <c r="K627" s="108">
        <v>0</v>
      </c>
      <c r="L627" s="108">
        <v>1</v>
      </c>
      <c r="M627" s="134">
        <v>0</v>
      </c>
      <c r="N627" s="134">
        <v>46</v>
      </c>
      <c r="O627" s="134">
        <v>80000</v>
      </c>
      <c r="P627" s="133">
        <v>0</v>
      </c>
      <c r="Q627" s="133">
        <v>0</v>
      </c>
      <c r="R627" s="133">
        <v>0</v>
      </c>
      <c r="S627" s="133">
        <v>1</v>
      </c>
    </row>
    <row r="628" spans="1:19">
      <c r="A628" s="85" t="s">
        <v>211</v>
      </c>
      <c r="B628" s="85">
        <v>4</v>
      </c>
      <c r="C628" s="85">
        <v>1</v>
      </c>
      <c r="D628" s="108">
        <v>30.70440251572327</v>
      </c>
      <c r="E628" s="108">
        <v>1.333333333333331</v>
      </c>
      <c r="F628" s="108">
        <v>3.2327044025157239</v>
      </c>
      <c r="G628" s="108">
        <v>96.767295597484264</v>
      </c>
      <c r="H628" s="108">
        <v>0</v>
      </c>
      <c r="I628" s="108">
        <v>0</v>
      </c>
      <c r="J628" s="108">
        <v>0</v>
      </c>
      <c r="K628" s="108">
        <v>0</v>
      </c>
      <c r="L628" s="108">
        <v>1</v>
      </c>
      <c r="M628" s="134">
        <v>0</v>
      </c>
      <c r="N628" s="134">
        <v>46</v>
      </c>
      <c r="O628" s="134">
        <v>80000</v>
      </c>
      <c r="P628" s="133">
        <v>0</v>
      </c>
      <c r="Q628" s="133">
        <v>0</v>
      </c>
      <c r="R628" s="133">
        <v>0</v>
      </c>
      <c r="S628" s="133">
        <v>1</v>
      </c>
    </row>
    <row r="629" spans="1:19">
      <c r="A629" s="85" t="s">
        <v>211</v>
      </c>
      <c r="B629" s="85">
        <v>5</v>
      </c>
      <c r="C629" s="85">
        <v>1</v>
      </c>
      <c r="D629" s="108">
        <v>3.522012578616351</v>
      </c>
      <c r="E629" s="108">
        <v>19.24528301886793</v>
      </c>
      <c r="F629" s="108">
        <v>4.8930817610062904</v>
      </c>
      <c r="G629" s="108">
        <v>90.830188679245282</v>
      </c>
      <c r="H629" s="108">
        <v>6.0503144654088068</v>
      </c>
      <c r="I629" s="108">
        <v>0</v>
      </c>
      <c r="J629" s="108">
        <v>0</v>
      </c>
      <c r="K629" s="108">
        <v>0</v>
      </c>
      <c r="L629" s="108">
        <v>1</v>
      </c>
      <c r="M629" s="134">
        <v>0</v>
      </c>
      <c r="N629" s="134">
        <v>46</v>
      </c>
      <c r="O629" s="134">
        <v>80000</v>
      </c>
      <c r="P629" s="133">
        <v>0</v>
      </c>
      <c r="Q629" s="133">
        <v>0</v>
      </c>
      <c r="R629" s="133">
        <v>0</v>
      </c>
      <c r="S629" s="133">
        <v>1</v>
      </c>
    </row>
    <row r="630" spans="1:19">
      <c r="A630" s="85" t="s">
        <v>211</v>
      </c>
      <c r="B630" s="85">
        <v>6</v>
      </c>
      <c r="C630" s="85">
        <v>1</v>
      </c>
      <c r="D630" s="108">
        <v>21.773584905660378</v>
      </c>
      <c r="E630" s="108">
        <v>3.2201257861635191</v>
      </c>
      <c r="F630" s="108">
        <v>4.2138364779874209</v>
      </c>
      <c r="G630" s="108">
        <v>77.849056603773576</v>
      </c>
      <c r="H630" s="108">
        <v>6.1383647798742169</v>
      </c>
      <c r="I630" s="108">
        <v>0</v>
      </c>
      <c r="J630" s="108">
        <v>0</v>
      </c>
      <c r="K630" s="108">
        <v>0</v>
      </c>
      <c r="L630" s="108">
        <v>1</v>
      </c>
      <c r="M630" s="134">
        <v>0</v>
      </c>
      <c r="N630" s="134">
        <v>46</v>
      </c>
      <c r="O630" s="134">
        <v>80000</v>
      </c>
      <c r="P630" s="133">
        <v>0</v>
      </c>
      <c r="Q630" s="133">
        <v>0</v>
      </c>
      <c r="R630" s="133">
        <v>0</v>
      </c>
      <c r="S630" s="133">
        <v>1</v>
      </c>
    </row>
    <row r="631" spans="1:19">
      <c r="A631" s="85" t="s">
        <v>211</v>
      </c>
      <c r="B631" s="85">
        <v>7</v>
      </c>
      <c r="C631" s="85">
        <v>1</v>
      </c>
      <c r="D631" s="108">
        <v>6.9559748427672989</v>
      </c>
      <c r="E631" s="108">
        <v>0.49056603773585122</v>
      </c>
      <c r="F631" s="108">
        <v>1.132075471698113</v>
      </c>
      <c r="G631" s="108">
        <v>91.660377358490564</v>
      </c>
      <c r="H631" s="108">
        <v>6.8301886792452846</v>
      </c>
      <c r="I631" s="108">
        <v>0</v>
      </c>
      <c r="J631" s="108">
        <v>1</v>
      </c>
      <c r="K631" s="108">
        <v>0</v>
      </c>
      <c r="L631" s="108">
        <v>1</v>
      </c>
      <c r="M631" s="134">
        <v>0</v>
      </c>
      <c r="N631" s="134">
        <v>46</v>
      </c>
      <c r="O631" s="134">
        <v>80000</v>
      </c>
      <c r="P631" s="133">
        <v>0</v>
      </c>
      <c r="Q631" s="133">
        <v>0</v>
      </c>
      <c r="R631" s="133">
        <v>0</v>
      </c>
      <c r="S631" s="133">
        <v>1</v>
      </c>
    </row>
    <row r="632" spans="1:19">
      <c r="A632" s="85" t="s">
        <v>212</v>
      </c>
      <c r="B632" s="85">
        <v>1</v>
      </c>
      <c r="C632" s="85">
        <v>1</v>
      </c>
      <c r="D632" s="108">
        <v>97.89264413518886</v>
      </c>
      <c r="E632" s="108">
        <v>98.618290258449306</v>
      </c>
      <c r="F632" s="108">
        <v>100</v>
      </c>
      <c r="G632" s="108">
        <v>8.0119284294234596</v>
      </c>
      <c r="H632" s="108">
        <v>1.858846918489065</v>
      </c>
      <c r="I632" s="108">
        <v>1</v>
      </c>
      <c r="J632" s="108">
        <v>0</v>
      </c>
      <c r="K632" s="108">
        <v>1</v>
      </c>
      <c r="L632" s="108">
        <v>1</v>
      </c>
      <c r="M632" s="134">
        <v>0</v>
      </c>
      <c r="N632" s="134">
        <v>43</v>
      </c>
      <c r="O632" s="134">
        <v>75000</v>
      </c>
      <c r="P632" s="133">
        <v>0</v>
      </c>
      <c r="Q632" s="133">
        <v>0</v>
      </c>
      <c r="R632" s="133">
        <v>1</v>
      </c>
      <c r="S632" s="133">
        <v>1</v>
      </c>
    </row>
    <row r="633" spans="1:19">
      <c r="A633" s="85" t="s">
        <v>212</v>
      </c>
      <c r="B633" s="85">
        <v>2</v>
      </c>
      <c r="C633" s="85">
        <v>1</v>
      </c>
      <c r="D633" s="108">
        <v>89.681908548707753</v>
      </c>
      <c r="E633" s="108">
        <v>97.276341948310147</v>
      </c>
      <c r="F633" s="108">
        <v>92.335984095427435</v>
      </c>
      <c r="G633" s="108">
        <v>10.815109343936379</v>
      </c>
      <c r="H633" s="108">
        <v>3.876739562624254</v>
      </c>
      <c r="I633" s="108">
        <v>0</v>
      </c>
      <c r="J633" s="108">
        <v>0</v>
      </c>
      <c r="K633" s="108">
        <v>1</v>
      </c>
      <c r="L633" s="108">
        <v>1</v>
      </c>
      <c r="M633" s="134">
        <v>0</v>
      </c>
      <c r="N633" s="134">
        <v>43</v>
      </c>
      <c r="O633" s="134">
        <v>75000</v>
      </c>
      <c r="P633" s="133">
        <v>0</v>
      </c>
      <c r="Q633" s="133">
        <v>0</v>
      </c>
      <c r="R633" s="133">
        <v>1</v>
      </c>
      <c r="S633" s="133">
        <v>1</v>
      </c>
    </row>
    <row r="634" spans="1:19">
      <c r="A634" s="85" t="s">
        <v>212</v>
      </c>
      <c r="B634" s="85">
        <v>3</v>
      </c>
      <c r="C634" s="85">
        <v>1</v>
      </c>
      <c r="D634" s="108">
        <v>97.992047713717696</v>
      </c>
      <c r="E634" s="108">
        <v>93.151093439363819</v>
      </c>
      <c r="F634" s="108">
        <v>99.74155069582504</v>
      </c>
      <c r="G634" s="108">
        <v>13.836978131212719</v>
      </c>
      <c r="H634" s="108">
        <v>0.3479125248508963</v>
      </c>
      <c r="I634" s="108">
        <v>0</v>
      </c>
      <c r="J634" s="108">
        <v>0</v>
      </c>
      <c r="K634" s="108">
        <v>1</v>
      </c>
      <c r="L634" s="108">
        <v>1</v>
      </c>
      <c r="M634" s="134">
        <v>0</v>
      </c>
      <c r="N634" s="134">
        <v>43</v>
      </c>
      <c r="O634" s="134">
        <v>75000</v>
      </c>
      <c r="P634" s="133">
        <v>0</v>
      </c>
      <c r="Q634" s="133">
        <v>0</v>
      </c>
      <c r="R634" s="133">
        <v>1</v>
      </c>
      <c r="S634" s="133">
        <v>1</v>
      </c>
    </row>
    <row r="635" spans="1:19">
      <c r="A635" s="85" t="s">
        <v>212</v>
      </c>
      <c r="B635" s="85">
        <v>4</v>
      </c>
      <c r="C635" s="85">
        <v>1</v>
      </c>
      <c r="D635" s="108">
        <v>4.0258449304174926</v>
      </c>
      <c r="E635" s="108">
        <v>3.0318091451292268</v>
      </c>
      <c r="F635" s="108">
        <v>80.059642147117287</v>
      </c>
      <c r="G635" s="108">
        <v>83.876739562624252</v>
      </c>
      <c r="H635" s="108">
        <v>71.441351888667995</v>
      </c>
      <c r="I635" s="108">
        <v>0</v>
      </c>
      <c r="J635" s="108">
        <v>0</v>
      </c>
      <c r="K635" s="108">
        <v>0</v>
      </c>
      <c r="L635" s="108">
        <v>1</v>
      </c>
      <c r="M635" s="134">
        <v>0</v>
      </c>
      <c r="N635" s="134">
        <v>43</v>
      </c>
      <c r="O635" s="134">
        <v>75000</v>
      </c>
      <c r="P635" s="133">
        <v>0</v>
      </c>
      <c r="Q635" s="133">
        <v>0</v>
      </c>
      <c r="R635" s="133">
        <v>1</v>
      </c>
      <c r="S635" s="133">
        <v>1</v>
      </c>
    </row>
    <row r="636" spans="1:19">
      <c r="A636" s="85" t="s">
        <v>212</v>
      </c>
      <c r="B636" s="85">
        <v>5</v>
      </c>
      <c r="C636" s="85">
        <v>1</v>
      </c>
      <c r="D636" s="108">
        <v>89.866565961732121</v>
      </c>
      <c r="E636" s="108">
        <v>50</v>
      </c>
      <c r="F636" s="108">
        <v>83.383685800604226</v>
      </c>
      <c r="G636" s="108">
        <v>11.16565961732125</v>
      </c>
      <c r="H636" s="108">
        <v>10.56143001007049</v>
      </c>
      <c r="I636" s="108">
        <v>0</v>
      </c>
      <c r="J636" s="108">
        <v>0</v>
      </c>
      <c r="K636" s="108">
        <v>1</v>
      </c>
      <c r="L636" s="108">
        <v>1</v>
      </c>
      <c r="M636" s="134">
        <v>0</v>
      </c>
      <c r="N636" s="134">
        <v>43</v>
      </c>
      <c r="O636" s="134">
        <v>75000</v>
      </c>
      <c r="P636" s="133">
        <v>0</v>
      </c>
      <c r="Q636" s="133">
        <v>0</v>
      </c>
      <c r="R636" s="133">
        <v>1</v>
      </c>
      <c r="S636" s="133">
        <v>1</v>
      </c>
    </row>
    <row r="637" spans="1:19">
      <c r="A637" s="85" t="s">
        <v>212</v>
      </c>
      <c r="B637" s="85">
        <v>6</v>
      </c>
      <c r="C637" s="85">
        <v>1</v>
      </c>
      <c r="D637" s="108">
        <v>2.16515609264854</v>
      </c>
      <c r="E637" s="108">
        <v>21.878147029204431</v>
      </c>
      <c r="F637" s="108">
        <v>5.9415911379657622</v>
      </c>
      <c r="G637" s="108">
        <v>88.821752265861022</v>
      </c>
      <c r="H637" s="108">
        <v>11.178247734138971</v>
      </c>
      <c r="I637" s="108">
        <v>0</v>
      </c>
      <c r="J637" s="108">
        <v>0</v>
      </c>
      <c r="K637" s="108">
        <v>0</v>
      </c>
      <c r="L637" s="108">
        <v>1</v>
      </c>
      <c r="M637" s="134">
        <v>0</v>
      </c>
      <c r="N637" s="134">
        <v>43</v>
      </c>
      <c r="O637" s="134">
        <v>75000</v>
      </c>
      <c r="P637" s="133">
        <v>0</v>
      </c>
      <c r="Q637" s="133">
        <v>0</v>
      </c>
      <c r="R637" s="133">
        <v>1</v>
      </c>
      <c r="S637" s="133">
        <v>1</v>
      </c>
    </row>
    <row r="638" spans="1:19">
      <c r="A638" s="85" t="s">
        <v>212</v>
      </c>
      <c r="B638" s="85">
        <v>7</v>
      </c>
      <c r="C638" s="85">
        <v>1</v>
      </c>
      <c r="D638" s="108">
        <v>11.37965760322256</v>
      </c>
      <c r="E638" s="108">
        <v>3.0085599194360539</v>
      </c>
      <c r="F638" s="108">
        <v>17.472306143000999</v>
      </c>
      <c r="G638" s="108">
        <v>89.249748237663653</v>
      </c>
      <c r="H638" s="108">
        <v>14.136455186304129</v>
      </c>
      <c r="I638" s="108">
        <v>0</v>
      </c>
      <c r="J638" s="108">
        <v>1</v>
      </c>
      <c r="K638" s="108">
        <v>0</v>
      </c>
      <c r="L638" s="108">
        <v>1</v>
      </c>
      <c r="M638" s="134">
        <v>0</v>
      </c>
      <c r="N638" s="134">
        <v>43</v>
      </c>
      <c r="O638" s="134">
        <v>75000</v>
      </c>
      <c r="P638" s="133">
        <v>0</v>
      </c>
      <c r="Q638" s="133">
        <v>0</v>
      </c>
      <c r="R638" s="133">
        <v>1</v>
      </c>
      <c r="S638" s="133">
        <v>1</v>
      </c>
    </row>
    <row r="639" spans="1:19">
      <c r="A639" s="85" t="s">
        <v>213</v>
      </c>
      <c r="B639" s="85">
        <v>1</v>
      </c>
      <c r="C639" s="85">
        <v>1</v>
      </c>
      <c r="D639" s="108">
        <v>98.331494760066192</v>
      </c>
      <c r="E639" s="108">
        <v>99.627688913403205</v>
      </c>
      <c r="F639" s="108">
        <v>99.200220628792053</v>
      </c>
      <c r="G639" s="108">
        <v>1.6685052399338101</v>
      </c>
      <c r="H639" s="108">
        <v>4.5091009376723674</v>
      </c>
      <c r="I639" s="108">
        <v>1</v>
      </c>
      <c r="J639" s="108">
        <v>0</v>
      </c>
      <c r="K639" s="108">
        <v>1</v>
      </c>
      <c r="L639" s="108">
        <v>1</v>
      </c>
      <c r="M639" s="134">
        <v>1</v>
      </c>
      <c r="N639" s="134">
        <v>31</v>
      </c>
      <c r="O639" s="134">
        <v>75000</v>
      </c>
      <c r="P639" s="133">
        <v>1</v>
      </c>
      <c r="Q639" s="133">
        <v>1</v>
      </c>
      <c r="R639" s="133">
        <v>1</v>
      </c>
      <c r="S639" s="133">
        <v>1</v>
      </c>
    </row>
    <row r="640" spans="1:19">
      <c r="A640" s="85" t="s">
        <v>213</v>
      </c>
      <c r="B640" s="85">
        <v>2</v>
      </c>
      <c r="C640" s="85">
        <v>1</v>
      </c>
      <c r="D640" s="108">
        <v>98.869277440706014</v>
      </c>
      <c r="E640" s="108">
        <v>98.441809156094877</v>
      </c>
      <c r="F640" s="108">
        <v>97.600661886376173</v>
      </c>
      <c r="G640" s="108">
        <v>1.434087148372865</v>
      </c>
      <c r="H640" s="108">
        <v>7.7633756205184756</v>
      </c>
      <c r="I640" s="108">
        <v>0</v>
      </c>
      <c r="J640" s="108">
        <v>0</v>
      </c>
      <c r="K640" s="108">
        <v>1</v>
      </c>
      <c r="L640" s="108">
        <v>1</v>
      </c>
      <c r="M640" s="134">
        <v>1</v>
      </c>
      <c r="N640" s="134">
        <v>31</v>
      </c>
      <c r="O640" s="134">
        <v>75000</v>
      </c>
      <c r="P640" s="133">
        <v>1</v>
      </c>
      <c r="Q640" s="133">
        <v>1</v>
      </c>
      <c r="R640" s="133">
        <v>1</v>
      </c>
      <c r="S640" s="133">
        <v>1</v>
      </c>
    </row>
    <row r="641" spans="1:19">
      <c r="A641" s="85" t="s">
        <v>213</v>
      </c>
      <c r="B641" s="85">
        <v>3</v>
      </c>
      <c r="C641" s="85">
        <v>1</v>
      </c>
      <c r="D641" s="108">
        <v>90.912851627137343</v>
      </c>
      <c r="E641" s="108">
        <v>94.608383894098182</v>
      </c>
      <c r="F641" s="108">
        <v>89.658025372311087</v>
      </c>
      <c r="G641" s="108">
        <v>50</v>
      </c>
      <c r="H641" s="108">
        <v>5.4467733039161637</v>
      </c>
      <c r="I641" s="108">
        <v>0</v>
      </c>
      <c r="J641" s="108">
        <v>0</v>
      </c>
      <c r="K641" s="108">
        <v>1</v>
      </c>
      <c r="L641" s="108">
        <v>1</v>
      </c>
      <c r="M641" s="134">
        <v>1</v>
      </c>
      <c r="N641" s="134">
        <v>31</v>
      </c>
      <c r="O641" s="134">
        <v>75000</v>
      </c>
      <c r="P641" s="133">
        <v>1</v>
      </c>
      <c r="Q641" s="133">
        <v>1</v>
      </c>
      <c r="R641" s="133">
        <v>1</v>
      </c>
      <c r="S641" s="133">
        <v>1</v>
      </c>
    </row>
    <row r="642" spans="1:19">
      <c r="A642" s="85" t="s">
        <v>213</v>
      </c>
      <c r="B642" s="85">
        <v>4</v>
      </c>
      <c r="C642" s="85">
        <v>1</v>
      </c>
      <c r="D642" s="108">
        <v>97.448979591836732</v>
      </c>
      <c r="E642" s="108">
        <v>98.662437948152231</v>
      </c>
      <c r="F642" s="108">
        <v>93.022614451185888</v>
      </c>
      <c r="G642" s="108">
        <v>1.406508549365693</v>
      </c>
      <c r="H642" s="108">
        <v>3.5990071704357418</v>
      </c>
      <c r="I642" s="108">
        <v>0</v>
      </c>
      <c r="J642" s="108">
        <v>0</v>
      </c>
      <c r="K642" s="108">
        <v>1</v>
      </c>
      <c r="L642" s="108">
        <v>1</v>
      </c>
      <c r="M642" s="134">
        <v>1</v>
      </c>
      <c r="N642" s="134">
        <v>31</v>
      </c>
      <c r="O642" s="134">
        <v>75000</v>
      </c>
      <c r="P642" s="133">
        <v>1</v>
      </c>
      <c r="Q642" s="133">
        <v>1</v>
      </c>
      <c r="R642" s="133">
        <v>1</v>
      </c>
      <c r="S642" s="133">
        <v>1</v>
      </c>
    </row>
    <row r="643" spans="1:19">
      <c r="A643" s="85" t="s">
        <v>213</v>
      </c>
      <c r="B643" s="85">
        <v>5</v>
      </c>
      <c r="C643" s="85">
        <v>1</v>
      </c>
      <c r="D643" s="108">
        <v>96.731936017650312</v>
      </c>
      <c r="E643" s="108">
        <v>98.552123552123547</v>
      </c>
      <c r="F643" s="108">
        <v>92.981246552675117</v>
      </c>
      <c r="G643" s="108">
        <v>11.59680088251517</v>
      </c>
      <c r="H643" s="108">
        <v>92.801985659128519</v>
      </c>
      <c r="I643" s="108">
        <v>0</v>
      </c>
      <c r="J643" s="108">
        <v>0</v>
      </c>
      <c r="K643" s="108">
        <v>1</v>
      </c>
      <c r="L643" s="108">
        <v>1</v>
      </c>
      <c r="M643" s="134">
        <v>1</v>
      </c>
      <c r="N643" s="134">
        <v>31</v>
      </c>
      <c r="O643" s="134">
        <v>75000</v>
      </c>
      <c r="P643" s="133">
        <v>1</v>
      </c>
      <c r="Q643" s="133">
        <v>1</v>
      </c>
      <c r="R643" s="133">
        <v>1</v>
      </c>
      <c r="S643" s="133">
        <v>1</v>
      </c>
    </row>
    <row r="644" spans="1:19">
      <c r="A644" s="85" t="s">
        <v>213</v>
      </c>
      <c r="B644" s="85">
        <v>6</v>
      </c>
      <c r="C644" s="85">
        <v>1</v>
      </c>
      <c r="D644" s="108">
        <v>97.090457804743522</v>
      </c>
      <c r="E644" s="108">
        <v>90.843905129619415</v>
      </c>
      <c r="F644" s="108">
        <v>93.918918918918919</v>
      </c>
      <c r="G644" s="108">
        <v>0.93767236624379691</v>
      </c>
      <c r="H644" s="108">
        <v>3.929950358521789</v>
      </c>
      <c r="I644" s="108">
        <v>0</v>
      </c>
      <c r="J644" s="108">
        <v>0</v>
      </c>
      <c r="K644" s="108">
        <v>1</v>
      </c>
      <c r="L644" s="108">
        <v>1</v>
      </c>
      <c r="M644" s="134">
        <v>1</v>
      </c>
      <c r="N644" s="134">
        <v>31</v>
      </c>
      <c r="O644" s="134">
        <v>75000</v>
      </c>
      <c r="P644" s="133">
        <v>1</v>
      </c>
      <c r="Q644" s="133">
        <v>1</v>
      </c>
      <c r="R644" s="133">
        <v>1</v>
      </c>
      <c r="S644" s="133">
        <v>1</v>
      </c>
    </row>
    <row r="645" spans="1:19">
      <c r="A645" s="85" t="s">
        <v>213</v>
      </c>
      <c r="B645" s="85">
        <v>7</v>
      </c>
      <c r="C645" s="85">
        <v>1</v>
      </c>
      <c r="D645" s="108">
        <v>99.214009928295638</v>
      </c>
      <c r="E645" s="108">
        <v>97.53171538885826</v>
      </c>
      <c r="F645" s="108">
        <v>99.131274131274139</v>
      </c>
      <c r="G645" s="108">
        <v>0</v>
      </c>
      <c r="H645" s="108">
        <v>2.0959735245449531</v>
      </c>
      <c r="I645" s="108">
        <v>0</v>
      </c>
      <c r="J645" s="108">
        <v>1</v>
      </c>
      <c r="K645" s="108">
        <v>1</v>
      </c>
      <c r="L645" s="108">
        <v>1</v>
      </c>
      <c r="M645" s="134">
        <v>1</v>
      </c>
      <c r="N645" s="134">
        <v>31</v>
      </c>
      <c r="O645" s="134">
        <v>75000</v>
      </c>
      <c r="P645" s="133">
        <v>1</v>
      </c>
      <c r="Q645" s="133">
        <v>1</v>
      </c>
      <c r="R645" s="133">
        <v>1</v>
      </c>
      <c r="S645" s="133">
        <v>1</v>
      </c>
    </row>
    <row r="646" spans="1:19">
      <c r="A646" s="85" t="s">
        <v>214</v>
      </c>
      <c r="B646" s="85">
        <v>1</v>
      </c>
      <c r="C646" s="85">
        <v>1</v>
      </c>
      <c r="D646" s="108">
        <v>8.2139446036294199</v>
      </c>
      <c r="E646" s="108">
        <v>50</v>
      </c>
      <c r="F646" s="108">
        <v>12.03438395415473</v>
      </c>
      <c r="G646" s="108">
        <v>53.581661891117477</v>
      </c>
      <c r="H646" s="108">
        <v>20.140878701050621</v>
      </c>
      <c r="I646" s="108">
        <v>1</v>
      </c>
      <c r="J646" s="108">
        <v>0</v>
      </c>
      <c r="K646" s="108">
        <v>0</v>
      </c>
      <c r="L646" s="108">
        <v>1</v>
      </c>
      <c r="M646" s="134">
        <v>0</v>
      </c>
      <c r="N646" s="134">
        <v>25</v>
      </c>
      <c r="O646" s="134">
        <v>27000</v>
      </c>
      <c r="P646" s="133">
        <v>1</v>
      </c>
      <c r="Q646" s="133">
        <v>1</v>
      </c>
      <c r="R646" s="133">
        <v>1</v>
      </c>
      <c r="S646" s="133">
        <v>0</v>
      </c>
    </row>
    <row r="647" spans="1:19">
      <c r="A647" s="85" t="s">
        <v>214</v>
      </c>
      <c r="B647" s="85">
        <v>2</v>
      </c>
      <c r="C647" s="85">
        <v>1</v>
      </c>
      <c r="D647" s="108">
        <v>35.088347659980897</v>
      </c>
      <c r="E647" s="108">
        <v>31.01719197707736</v>
      </c>
      <c r="F647" s="108">
        <v>9.336198662846229</v>
      </c>
      <c r="G647" s="108">
        <v>3.545845272206305</v>
      </c>
      <c r="H647" s="108">
        <v>93.51719197707736</v>
      </c>
      <c r="I647" s="108">
        <v>0</v>
      </c>
      <c r="J647" s="108">
        <v>0</v>
      </c>
      <c r="K647" s="108">
        <v>0</v>
      </c>
      <c r="L647" s="108">
        <v>1</v>
      </c>
      <c r="M647" s="134">
        <v>0</v>
      </c>
      <c r="N647" s="134">
        <v>25</v>
      </c>
      <c r="O647" s="134">
        <v>27000</v>
      </c>
      <c r="P647" s="133">
        <v>1</v>
      </c>
      <c r="Q647" s="133">
        <v>1</v>
      </c>
      <c r="R647" s="133">
        <v>1</v>
      </c>
      <c r="S647" s="133">
        <v>0</v>
      </c>
    </row>
    <row r="648" spans="1:19">
      <c r="A648" s="85" t="s">
        <v>214</v>
      </c>
      <c r="B648" s="85">
        <v>3</v>
      </c>
      <c r="C648" s="85">
        <v>1</v>
      </c>
      <c r="D648" s="108">
        <v>91.081661891117477</v>
      </c>
      <c r="E648" s="108">
        <v>100</v>
      </c>
      <c r="F648" s="108">
        <v>0.58500477554918606</v>
      </c>
      <c r="G648" s="108">
        <v>99.582139446036294</v>
      </c>
      <c r="H648" s="108">
        <v>98.770296084049662</v>
      </c>
      <c r="I648" s="108">
        <v>0</v>
      </c>
      <c r="J648" s="108">
        <v>0</v>
      </c>
      <c r="K648" s="108">
        <v>1</v>
      </c>
      <c r="L648" s="108">
        <v>1</v>
      </c>
      <c r="M648" s="134">
        <v>0</v>
      </c>
      <c r="N648" s="134">
        <v>25</v>
      </c>
      <c r="O648" s="134">
        <v>27000</v>
      </c>
      <c r="P648" s="133">
        <v>1</v>
      </c>
      <c r="Q648" s="133">
        <v>1</v>
      </c>
      <c r="R648" s="133">
        <v>1</v>
      </c>
      <c r="S648" s="133">
        <v>0</v>
      </c>
    </row>
    <row r="649" spans="1:19">
      <c r="A649" s="85" t="s">
        <v>214</v>
      </c>
      <c r="B649" s="85">
        <v>4</v>
      </c>
      <c r="C649" s="85">
        <v>1</v>
      </c>
      <c r="D649" s="108">
        <v>0.97898758357211069</v>
      </c>
      <c r="E649" s="108">
        <v>96.573543457497607</v>
      </c>
      <c r="F649" s="108">
        <v>96.824259789875839</v>
      </c>
      <c r="G649" s="108">
        <v>1.659503342884433</v>
      </c>
      <c r="H649" s="108">
        <v>81.5305635148042</v>
      </c>
      <c r="I649" s="108">
        <v>0</v>
      </c>
      <c r="J649" s="108">
        <v>0</v>
      </c>
      <c r="K649" s="108">
        <v>0</v>
      </c>
      <c r="L649" s="108">
        <v>1</v>
      </c>
      <c r="M649" s="134">
        <v>0</v>
      </c>
      <c r="N649" s="134">
        <v>25</v>
      </c>
      <c r="O649" s="134">
        <v>27000</v>
      </c>
      <c r="P649" s="133">
        <v>1</v>
      </c>
      <c r="Q649" s="133">
        <v>1</v>
      </c>
      <c r="R649" s="133">
        <v>1</v>
      </c>
      <c r="S649" s="133">
        <v>0</v>
      </c>
    </row>
    <row r="650" spans="1:19">
      <c r="A650" s="85" t="s">
        <v>214</v>
      </c>
      <c r="B650" s="85">
        <v>5</v>
      </c>
      <c r="C650" s="85">
        <v>1</v>
      </c>
      <c r="D650" s="108">
        <v>72.504775549188153</v>
      </c>
      <c r="E650" s="108">
        <v>98.638968481375358</v>
      </c>
      <c r="F650" s="108">
        <v>89.720630372492835</v>
      </c>
      <c r="G650" s="108">
        <v>2.7936962750716332</v>
      </c>
      <c r="H650" s="108">
        <v>0.71633237822349427</v>
      </c>
      <c r="I650" s="108">
        <v>0</v>
      </c>
      <c r="J650" s="108">
        <v>0</v>
      </c>
      <c r="K650" s="108">
        <v>1</v>
      </c>
      <c r="L650" s="108">
        <v>1</v>
      </c>
      <c r="M650" s="134">
        <v>0</v>
      </c>
      <c r="N650" s="134">
        <v>25</v>
      </c>
      <c r="O650" s="134">
        <v>27000</v>
      </c>
      <c r="P650" s="133">
        <v>1</v>
      </c>
      <c r="Q650" s="133">
        <v>1</v>
      </c>
      <c r="R650" s="133">
        <v>1</v>
      </c>
      <c r="S650" s="133">
        <v>0</v>
      </c>
    </row>
    <row r="651" spans="1:19">
      <c r="A651" s="85" t="s">
        <v>214</v>
      </c>
      <c r="B651" s="85">
        <v>6</v>
      </c>
      <c r="C651" s="85">
        <v>1</v>
      </c>
      <c r="D651" s="108">
        <v>7.6050620821394466</v>
      </c>
      <c r="E651" s="108">
        <v>99.343361986628466</v>
      </c>
      <c r="F651" s="108">
        <v>0.65663801337153549</v>
      </c>
      <c r="G651" s="108">
        <v>3.3906399235912099</v>
      </c>
      <c r="H651" s="108">
        <v>97.946513849092653</v>
      </c>
      <c r="I651" s="108">
        <v>0</v>
      </c>
      <c r="J651" s="108">
        <v>0</v>
      </c>
      <c r="K651" s="108">
        <v>0</v>
      </c>
      <c r="L651" s="108">
        <v>1</v>
      </c>
      <c r="M651" s="134">
        <v>0</v>
      </c>
      <c r="N651" s="134">
        <v>25</v>
      </c>
      <c r="O651" s="134">
        <v>27000</v>
      </c>
      <c r="P651" s="133">
        <v>1</v>
      </c>
      <c r="Q651" s="133">
        <v>1</v>
      </c>
      <c r="R651" s="133">
        <v>1</v>
      </c>
      <c r="S651" s="133">
        <v>0</v>
      </c>
    </row>
    <row r="652" spans="1:19">
      <c r="A652" s="85" t="s">
        <v>214</v>
      </c>
      <c r="B652" s="85">
        <v>7</v>
      </c>
      <c r="C652" s="85">
        <v>1</v>
      </c>
      <c r="D652" s="108">
        <v>5.0740210124164298</v>
      </c>
      <c r="E652" s="108">
        <v>5.9813753581661908</v>
      </c>
      <c r="F652" s="108">
        <v>5.1098376313276006</v>
      </c>
      <c r="G652" s="108">
        <v>82.270773638968492</v>
      </c>
      <c r="H652" s="108">
        <v>61.640401146131808</v>
      </c>
      <c r="I652" s="108">
        <v>0</v>
      </c>
      <c r="J652" s="108">
        <v>1</v>
      </c>
      <c r="K652" s="108">
        <v>0</v>
      </c>
      <c r="L652" s="108">
        <v>1</v>
      </c>
      <c r="M652" s="134">
        <v>0</v>
      </c>
      <c r="N652" s="134">
        <v>25</v>
      </c>
      <c r="O652" s="134">
        <v>27000</v>
      </c>
      <c r="P652" s="133">
        <v>1</v>
      </c>
      <c r="Q652" s="133">
        <v>1</v>
      </c>
      <c r="R652" s="133">
        <v>1</v>
      </c>
      <c r="S652" s="133">
        <v>0</v>
      </c>
    </row>
    <row r="653" spans="1:19">
      <c r="A653" s="85" t="s">
        <v>215</v>
      </c>
      <c r="B653" s="85">
        <v>1</v>
      </c>
      <c r="C653" s="85">
        <v>1</v>
      </c>
      <c r="D653" s="108">
        <v>97.851162790697671</v>
      </c>
      <c r="E653" s="108">
        <v>98.213953488372098</v>
      </c>
      <c r="F653" s="108">
        <v>97.851162790697671</v>
      </c>
      <c r="G653" s="108">
        <v>16.195348837209298</v>
      </c>
      <c r="H653" s="108">
        <v>4.4930232558139549</v>
      </c>
      <c r="I653" s="108">
        <v>1</v>
      </c>
      <c r="J653" s="108">
        <v>0</v>
      </c>
      <c r="K653" s="108">
        <v>1</v>
      </c>
      <c r="L653" s="108">
        <v>1</v>
      </c>
      <c r="M653" s="134">
        <v>0</v>
      </c>
      <c r="N653" s="134">
        <v>25</v>
      </c>
      <c r="O653" s="134">
        <v>50000</v>
      </c>
      <c r="P653" s="133">
        <v>1</v>
      </c>
      <c r="Q653" s="133">
        <v>0</v>
      </c>
      <c r="R653" s="133">
        <v>1</v>
      </c>
      <c r="S653" s="133">
        <v>1</v>
      </c>
    </row>
    <row r="654" spans="1:19">
      <c r="A654" s="85" t="s">
        <v>215</v>
      </c>
      <c r="B654" s="85">
        <v>2</v>
      </c>
      <c r="C654" s="85">
        <v>1</v>
      </c>
      <c r="D654" s="108">
        <v>97.906976744186053</v>
      </c>
      <c r="E654" s="108">
        <v>98.06511627906977</v>
      </c>
      <c r="F654" s="108">
        <v>93.516279069767435</v>
      </c>
      <c r="G654" s="108">
        <v>9.9534883720930232</v>
      </c>
      <c r="H654" s="108">
        <v>12.4</v>
      </c>
      <c r="I654" s="108">
        <v>0</v>
      </c>
      <c r="J654" s="108">
        <v>0</v>
      </c>
      <c r="K654" s="108">
        <v>1</v>
      </c>
      <c r="L654" s="108">
        <v>1</v>
      </c>
      <c r="M654" s="134">
        <v>0</v>
      </c>
      <c r="N654" s="134">
        <v>25</v>
      </c>
      <c r="O654" s="134">
        <v>50000</v>
      </c>
      <c r="P654" s="133">
        <v>1</v>
      </c>
      <c r="Q654" s="133">
        <v>0</v>
      </c>
      <c r="R654" s="133">
        <v>1</v>
      </c>
      <c r="S654" s="133">
        <v>1</v>
      </c>
    </row>
    <row r="655" spans="1:19">
      <c r="A655" s="85" t="s">
        <v>215</v>
      </c>
      <c r="B655" s="85">
        <v>3</v>
      </c>
      <c r="C655" s="85">
        <v>1</v>
      </c>
      <c r="D655" s="108">
        <v>17.40435943060498</v>
      </c>
      <c r="E655" s="108">
        <v>81.761565836298928</v>
      </c>
      <c r="F655" s="108">
        <v>94.628558718861214</v>
      </c>
      <c r="G655" s="108">
        <v>13.356316725978649</v>
      </c>
      <c r="H655" s="108">
        <v>50</v>
      </c>
      <c r="I655" s="108">
        <v>0</v>
      </c>
      <c r="J655" s="108">
        <v>0</v>
      </c>
      <c r="K655" s="108">
        <v>0</v>
      </c>
      <c r="L655" s="108">
        <v>1</v>
      </c>
      <c r="M655" s="134">
        <v>0</v>
      </c>
      <c r="N655" s="134">
        <v>25</v>
      </c>
      <c r="O655" s="134">
        <v>50000</v>
      </c>
      <c r="P655" s="133">
        <v>1</v>
      </c>
      <c r="Q655" s="133">
        <v>0</v>
      </c>
      <c r="R655" s="133">
        <v>1</v>
      </c>
      <c r="S655" s="133">
        <v>1</v>
      </c>
    </row>
    <row r="656" spans="1:19">
      <c r="A656" s="85" t="s">
        <v>215</v>
      </c>
      <c r="B656" s="85">
        <v>5</v>
      </c>
      <c r="C656" s="85">
        <v>1</v>
      </c>
      <c r="D656" s="108">
        <v>3.681049822064058</v>
      </c>
      <c r="E656" s="108">
        <v>95.017793594306042</v>
      </c>
      <c r="F656" s="108">
        <v>6.8282918149466187</v>
      </c>
      <c r="G656" s="108">
        <v>5.971975088967973</v>
      </c>
      <c r="H656" s="108">
        <v>58.262900355871892</v>
      </c>
      <c r="I656" s="108">
        <v>0</v>
      </c>
      <c r="J656" s="108">
        <v>0</v>
      </c>
      <c r="K656" s="108">
        <v>0</v>
      </c>
      <c r="L656" s="108">
        <v>1</v>
      </c>
      <c r="M656" s="134">
        <v>0</v>
      </c>
      <c r="N656" s="134">
        <v>25</v>
      </c>
      <c r="O656" s="134">
        <v>50000</v>
      </c>
      <c r="P656" s="133">
        <v>1</v>
      </c>
      <c r="Q656" s="133">
        <v>0</v>
      </c>
      <c r="R656" s="133">
        <v>1</v>
      </c>
      <c r="S656" s="133">
        <v>1</v>
      </c>
    </row>
    <row r="657" spans="1:19">
      <c r="A657" s="85" t="s">
        <v>215</v>
      </c>
      <c r="B657" s="85">
        <v>6</v>
      </c>
      <c r="C657" s="85">
        <v>1</v>
      </c>
      <c r="D657" s="108">
        <v>5.983096085409251</v>
      </c>
      <c r="E657" s="108">
        <v>90.413701067615662</v>
      </c>
      <c r="F657" s="108">
        <v>9.319395017793596</v>
      </c>
      <c r="G657" s="108">
        <v>14.41281138790036</v>
      </c>
      <c r="H657" s="108">
        <v>1.579181494661924</v>
      </c>
      <c r="I657" s="108">
        <v>0</v>
      </c>
      <c r="J657" s="108">
        <v>0</v>
      </c>
      <c r="K657" s="108">
        <v>0</v>
      </c>
      <c r="L657" s="108">
        <v>1</v>
      </c>
      <c r="M657" s="134">
        <v>0</v>
      </c>
      <c r="N657" s="134">
        <v>25</v>
      </c>
      <c r="O657" s="134">
        <v>50000</v>
      </c>
      <c r="P657" s="133">
        <v>1</v>
      </c>
      <c r="Q657" s="133">
        <v>0</v>
      </c>
      <c r="R657" s="133">
        <v>1</v>
      </c>
      <c r="S657" s="133">
        <v>1</v>
      </c>
    </row>
    <row r="658" spans="1:19">
      <c r="A658" s="85" t="s">
        <v>215</v>
      </c>
      <c r="B658" s="85">
        <v>7</v>
      </c>
      <c r="C658" s="85">
        <v>1</v>
      </c>
      <c r="D658" s="108">
        <v>0</v>
      </c>
      <c r="E658" s="108">
        <v>94.172597864768676</v>
      </c>
      <c r="F658" s="108">
        <v>6.0053380782918167</v>
      </c>
      <c r="G658" s="108">
        <v>11.621441281138789</v>
      </c>
      <c r="H658" s="108">
        <v>6.0831850533807854</v>
      </c>
      <c r="I658" s="108">
        <v>0</v>
      </c>
      <c r="J658" s="108">
        <v>1</v>
      </c>
      <c r="K658" s="108">
        <v>0</v>
      </c>
      <c r="L658" s="108">
        <v>1</v>
      </c>
      <c r="M658" s="134">
        <v>0</v>
      </c>
      <c r="N658" s="134">
        <v>25</v>
      </c>
      <c r="O658" s="134">
        <v>50000</v>
      </c>
      <c r="P658" s="133">
        <v>1</v>
      </c>
      <c r="Q658" s="133">
        <v>0</v>
      </c>
      <c r="R658" s="133">
        <v>1</v>
      </c>
      <c r="S658" s="133">
        <v>1</v>
      </c>
    </row>
    <row r="659" spans="1:19">
      <c r="A659" s="85" t="s">
        <v>216</v>
      </c>
      <c r="B659" s="85">
        <v>1</v>
      </c>
      <c r="C659" s="85">
        <v>1</v>
      </c>
      <c r="D659" s="108">
        <v>95.72403497547451</v>
      </c>
      <c r="E659" s="108">
        <v>95.564086159095751</v>
      </c>
      <c r="F659" s="108">
        <v>98.400511836212416</v>
      </c>
      <c r="G659" s="108">
        <v>2.8470889315419079</v>
      </c>
      <c r="H659" s="108">
        <v>0.88505011729579919</v>
      </c>
      <c r="I659" s="108">
        <v>1</v>
      </c>
      <c r="J659" s="108">
        <v>0</v>
      </c>
      <c r="K659" s="108">
        <v>1</v>
      </c>
      <c r="L659" s="108">
        <v>1</v>
      </c>
      <c r="M659" s="134">
        <v>0</v>
      </c>
      <c r="N659" s="134">
        <v>53</v>
      </c>
      <c r="O659" s="134">
        <v>60000</v>
      </c>
      <c r="P659" s="133">
        <v>1</v>
      </c>
      <c r="Q659" s="133">
        <v>1</v>
      </c>
      <c r="R659" s="133">
        <v>1</v>
      </c>
      <c r="S659" s="133">
        <v>1</v>
      </c>
    </row>
    <row r="660" spans="1:19">
      <c r="A660" s="85" t="s">
        <v>216</v>
      </c>
      <c r="B660" s="85">
        <v>2</v>
      </c>
      <c r="C660" s="85">
        <v>1</v>
      </c>
      <c r="D660" s="108">
        <v>100</v>
      </c>
      <c r="E660" s="108">
        <v>89.336745574749415</v>
      </c>
      <c r="F660" s="108">
        <v>91.650671785028791</v>
      </c>
      <c r="G660" s="108">
        <v>2.324589464704629</v>
      </c>
      <c r="H660" s="108">
        <v>93.250159948816375</v>
      </c>
      <c r="I660" s="108">
        <v>0</v>
      </c>
      <c r="J660" s="108">
        <v>0</v>
      </c>
      <c r="K660" s="108">
        <v>1</v>
      </c>
      <c r="L660" s="108">
        <v>1</v>
      </c>
      <c r="M660" s="134">
        <v>0</v>
      </c>
      <c r="N660" s="134">
        <v>53</v>
      </c>
      <c r="O660" s="134">
        <v>60000</v>
      </c>
      <c r="P660" s="133">
        <v>1</v>
      </c>
      <c r="Q660" s="133">
        <v>1</v>
      </c>
      <c r="R660" s="133">
        <v>1</v>
      </c>
      <c r="S660" s="133">
        <v>1</v>
      </c>
    </row>
    <row r="661" spans="1:19">
      <c r="A661" s="85" t="s">
        <v>216</v>
      </c>
      <c r="B661" s="85">
        <v>3</v>
      </c>
      <c r="C661" s="85">
        <v>1</v>
      </c>
      <c r="D661" s="108">
        <v>98.933674557474944</v>
      </c>
      <c r="E661" s="108">
        <v>98.581787161441667</v>
      </c>
      <c r="F661" s="108">
        <v>98.933674557474944</v>
      </c>
      <c r="G661" s="108">
        <v>6.0460652591170838</v>
      </c>
      <c r="H661" s="108">
        <v>1.066325442525057</v>
      </c>
      <c r="I661" s="108">
        <v>0</v>
      </c>
      <c r="J661" s="108">
        <v>0</v>
      </c>
      <c r="K661" s="108">
        <v>1</v>
      </c>
      <c r="L661" s="108">
        <v>1</v>
      </c>
      <c r="M661" s="134">
        <v>0</v>
      </c>
      <c r="N661" s="134">
        <v>53</v>
      </c>
      <c r="O661" s="134">
        <v>60000</v>
      </c>
      <c r="P661" s="133">
        <v>1</v>
      </c>
      <c r="Q661" s="133">
        <v>1</v>
      </c>
      <c r="R661" s="133">
        <v>1</v>
      </c>
      <c r="S661" s="133">
        <v>1</v>
      </c>
    </row>
    <row r="662" spans="1:19">
      <c r="A662" s="85" t="s">
        <v>216</v>
      </c>
      <c r="B662" s="85">
        <v>6</v>
      </c>
      <c r="C662" s="85">
        <v>1</v>
      </c>
      <c r="D662" s="108">
        <v>99.648112603966737</v>
      </c>
      <c r="E662" s="108">
        <v>99.104286628278942</v>
      </c>
      <c r="F662" s="108">
        <v>97.867349114949874</v>
      </c>
      <c r="G662" s="108">
        <v>4.627852420558753</v>
      </c>
      <c r="H662" s="108">
        <v>1.951375559820856</v>
      </c>
      <c r="I662" s="108">
        <v>0</v>
      </c>
      <c r="J662" s="108">
        <v>0</v>
      </c>
      <c r="K662" s="108">
        <v>1</v>
      </c>
      <c r="L662" s="108">
        <v>1</v>
      </c>
      <c r="M662" s="134">
        <v>0</v>
      </c>
      <c r="N662" s="134">
        <v>53</v>
      </c>
      <c r="O662" s="134">
        <v>60000</v>
      </c>
      <c r="P662" s="133">
        <v>1</v>
      </c>
      <c r="Q662" s="133">
        <v>1</v>
      </c>
      <c r="R662" s="133">
        <v>1</v>
      </c>
      <c r="S662" s="133">
        <v>1</v>
      </c>
    </row>
    <row r="663" spans="1:19">
      <c r="A663" s="85" t="s">
        <v>216</v>
      </c>
      <c r="B663" s="85">
        <v>7</v>
      </c>
      <c r="C663" s="85">
        <v>1</v>
      </c>
      <c r="D663" s="108">
        <v>76.125</v>
      </c>
      <c r="E663" s="108">
        <v>86.45</v>
      </c>
      <c r="F663" s="108">
        <v>97.912500000000009</v>
      </c>
      <c r="G663" s="108">
        <v>6.25</v>
      </c>
      <c r="H663" s="108">
        <v>50</v>
      </c>
      <c r="I663" s="108">
        <v>0</v>
      </c>
      <c r="J663" s="108">
        <v>1</v>
      </c>
      <c r="K663" s="108">
        <v>1</v>
      </c>
      <c r="L663" s="108">
        <v>1</v>
      </c>
      <c r="M663" s="134">
        <v>0</v>
      </c>
      <c r="N663" s="134">
        <v>53</v>
      </c>
      <c r="O663" s="134">
        <v>60000</v>
      </c>
      <c r="P663" s="133">
        <v>1</v>
      </c>
      <c r="Q663" s="133">
        <v>1</v>
      </c>
      <c r="R663" s="133">
        <v>1</v>
      </c>
      <c r="S663" s="133">
        <v>1</v>
      </c>
    </row>
    <row r="664" spans="1:19">
      <c r="A664" s="85" t="s">
        <v>217</v>
      </c>
      <c r="B664" s="85">
        <v>4</v>
      </c>
      <c r="C664" s="85">
        <v>1</v>
      </c>
      <c r="D664" s="108">
        <v>12.32855601787641</v>
      </c>
      <c r="E664" s="108">
        <v>6.1565726614270293</v>
      </c>
      <c r="F664" s="108">
        <v>5.3860379103097547</v>
      </c>
      <c r="G664" s="108">
        <v>91.524117737709958</v>
      </c>
      <c r="H664" s="108">
        <v>91.524117737709958</v>
      </c>
      <c r="I664" s="108">
        <v>0</v>
      </c>
      <c r="J664" s="108">
        <v>0</v>
      </c>
      <c r="K664" s="108">
        <v>0</v>
      </c>
      <c r="L664" s="108">
        <v>1</v>
      </c>
      <c r="M664" s="134">
        <v>0</v>
      </c>
      <c r="N664" s="134">
        <v>31</v>
      </c>
      <c r="O664" s="134">
        <v>30000</v>
      </c>
      <c r="P664" s="133">
        <v>0</v>
      </c>
      <c r="Q664" s="133">
        <v>0</v>
      </c>
      <c r="R664" s="133">
        <v>0</v>
      </c>
      <c r="S664" s="133">
        <v>0</v>
      </c>
    </row>
    <row r="665" spans="1:19">
      <c r="A665" s="85" t="s">
        <v>217</v>
      </c>
      <c r="B665" s="85">
        <v>7</v>
      </c>
      <c r="C665" s="85">
        <v>1</v>
      </c>
      <c r="D665" s="108">
        <v>70.061926115737776</v>
      </c>
      <c r="E665" s="108">
        <v>93.59385009609224</v>
      </c>
      <c r="F665" s="108">
        <v>87.26243860773009</v>
      </c>
      <c r="G665" s="108">
        <v>50</v>
      </c>
      <c r="H665" s="108">
        <v>65.310698270339529</v>
      </c>
      <c r="I665" s="108">
        <v>0</v>
      </c>
      <c r="J665" s="108">
        <v>1</v>
      </c>
      <c r="K665" s="108">
        <v>1</v>
      </c>
      <c r="L665" s="108">
        <v>1</v>
      </c>
      <c r="M665" s="134">
        <v>0</v>
      </c>
      <c r="N665" s="134">
        <v>31</v>
      </c>
      <c r="O665" s="134">
        <v>30000</v>
      </c>
      <c r="P665" s="133">
        <v>0</v>
      </c>
      <c r="Q665" s="133">
        <v>0</v>
      </c>
      <c r="R665" s="133">
        <v>0</v>
      </c>
      <c r="S665" s="133">
        <v>0</v>
      </c>
    </row>
    <row r="666" spans="1:19">
      <c r="A666" s="85" t="s">
        <v>218</v>
      </c>
      <c r="B666" s="85">
        <v>1</v>
      </c>
      <c r="C666" s="85">
        <v>1</v>
      </c>
      <c r="D666" s="108">
        <v>97.23520249221184</v>
      </c>
      <c r="E666" s="108">
        <v>93.837616822429908</v>
      </c>
      <c r="F666" s="108">
        <v>90.430295950155767</v>
      </c>
      <c r="G666" s="108">
        <v>8.917445482866043</v>
      </c>
      <c r="H666" s="108">
        <v>4.2056074766355147</v>
      </c>
      <c r="I666" s="108">
        <v>1</v>
      </c>
      <c r="J666" s="108">
        <v>0</v>
      </c>
      <c r="K666" s="108">
        <v>1</v>
      </c>
      <c r="L666" s="108">
        <v>1</v>
      </c>
      <c r="M666" s="134">
        <v>0</v>
      </c>
      <c r="N666" s="134">
        <v>33</v>
      </c>
      <c r="O666" s="134">
        <v>96000</v>
      </c>
      <c r="P666" s="133">
        <v>0</v>
      </c>
      <c r="Q666" s="133">
        <v>0</v>
      </c>
      <c r="R666" s="133">
        <v>0</v>
      </c>
      <c r="S666" s="133">
        <v>1</v>
      </c>
    </row>
    <row r="667" spans="1:19">
      <c r="A667" s="85" t="s">
        <v>218</v>
      </c>
      <c r="B667" s="85">
        <v>2</v>
      </c>
      <c r="C667" s="85">
        <v>1</v>
      </c>
      <c r="D667" s="108">
        <v>100</v>
      </c>
      <c r="E667" s="108">
        <v>84.657320872274141</v>
      </c>
      <c r="F667" s="108">
        <v>97.089174454828651</v>
      </c>
      <c r="G667" s="108">
        <v>9.890965732087226</v>
      </c>
      <c r="H667" s="108">
        <v>2.9108255451713418</v>
      </c>
      <c r="I667" s="108">
        <v>0</v>
      </c>
      <c r="J667" s="108">
        <v>0</v>
      </c>
      <c r="K667" s="108">
        <v>1</v>
      </c>
      <c r="L667" s="108">
        <v>1</v>
      </c>
      <c r="M667" s="134">
        <v>0</v>
      </c>
      <c r="N667" s="134">
        <v>33</v>
      </c>
      <c r="O667" s="134">
        <v>96000</v>
      </c>
      <c r="P667" s="133">
        <v>0</v>
      </c>
      <c r="Q667" s="133">
        <v>0</v>
      </c>
      <c r="R667" s="133">
        <v>0</v>
      </c>
      <c r="S667" s="133">
        <v>1</v>
      </c>
    </row>
    <row r="668" spans="1:19">
      <c r="A668" s="85" t="s">
        <v>218</v>
      </c>
      <c r="B668" s="85">
        <v>3</v>
      </c>
      <c r="C668" s="85">
        <v>1</v>
      </c>
      <c r="D668" s="108">
        <v>89.887769125057261</v>
      </c>
      <c r="E668" s="108">
        <v>50</v>
      </c>
      <c r="F668" s="108">
        <v>96.209344938158495</v>
      </c>
      <c r="G668" s="108">
        <v>17.063673843334861</v>
      </c>
      <c r="H668" s="108">
        <v>20.029775538250121</v>
      </c>
      <c r="I668" s="108">
        <v>0</v>
      </c>
      <c r="J668" s="108">
        <v>0</v>
      </c>
      <c r="K668" s="108">
        <v>1</v>
      </c>
      <c r="L668" s="108">
        <v>1</v>
      </c>
      <c r="M668" s="134">
        <v>0</v>
      </c>
      <c r="N668" s="134">
        <v>33</v>
      </c>
      <c r="O668" s="134">
        <v>96000</v>
      </c>
      <c r="P668" s="133">
        <v>0</v>
      </c>
      <c r="Q668" s="133">
        <v>0</v>
      </c>
      <c r="R668" s="133">
        <v>0</v>
      </c>
      <c r="S668" s="133">
        <v>1</v>
      </c>
    </row>
    <row r="669" spans="1:19">
      <c r="A669" s="85" t="s">
        <v>218</v>
      </c>
      <c r="B669" s="85">
        <v>4</v>
      </c>
      <c r="C669" s="85">
        <v>1</v>
      </c>
      <c r="D669" s="108">
        <v>95.923041685753546</v>
      </c>
      <c r="E669" s="108">
        <v>93.896014658726529</v>
      </c>
      <c r="F669" s="108">
        <v>89.109024278515804</v>
      </c>
      <c r="G669" s="108">
        <v>5.9207512597343079</v>
      </c>
      <c r="H669" s="108">
        <v>8.302794319743473</v>
      </c>
      <c r="I669" s="108">
        <v>0</v>
      </c>
      <c r="J669" s="108">
        <v>0</v>
      </c>
      <c r="K669" s="108">
        <v>1</v>
      </c>
      <c r="L669" s="108">
        <v>1</v>
      </c>
      <c r="M669" s="134">
        <v>0</v>
      </c>
      <c r="N669" s="134">
        <v>33</v>
      </c>
      <c r="O669" s="134">
        <v>96000</v>
      </c>
      <c r="P669" s="133">
        <v>0</v>
      </c>
      <c r="Q669" s="133">
        <v>0</v>
      </c>
      <c r="R669" s="133">
        <v>0</v>
      </c>
      <c r="S669" s="133">
        <v>1</v>
      </c>
    </row>
    <row r="670" spans="1:19">
      <c r="A670" s="85" t="s">
        <v>218</v>
      </c>
      <c r="B670" s="85">
        <v>5</v>
      </c>
      <c r="C670" s="85">
        <v>1</v>
      </c>
      <c r="D670" s="108">
        <v>91.410902427851582</v>
      </c>
      <c r="E670" s="108">
        <v>95.419147961520849</v>
      </c>
      <c r="F670" s="108">
        <v>94.468621163536412</v>
      </c>
      <c r="G670" s="108">
        <v>17.17819514429684</v>
      </c>
      <c r="H670" s="108">
        <v>5.7146129180027483</v>
      </c>
      <c r="I670" s="108">
        <v>0</v>
      </c>
      <c r="J670" s="108">
        <v>0</v>
      </c>
      <c r="K670" s="108">
        <v>1</v>
      </c>
      <c r="L670" s="108">
        <v>1</v>
      </c>
      <c r="M670" s="134">
        <v>0</v>
      </c>
      <c r="N670" s="134">
        <v>33</v>
      </c>
      <c r="O670" s="134">
        <v>96000</v>
      </c>
      <c r="P670" s="133">
        <v>0</v>
      </c>
      <c r="Q670" s="133">
        <v>0</v>
      </c>
      <c r="R670" s="133">
        <v>0</v>
      </c>
      <c r="S670" s="133">
        <v>1</v>
      </c>
    </row>
    <row r="671" spans="1:19">
      <c r="A671" s="85" t="s">
        <v>218</v>
      </c>
      <c r="B671" s="85">
        <v>6</v>
      </c>
      <c r="C671" s="85">
        <v>1</v>
      </c>
      <c r="D671" s="108">
        <v>6.1154374713696722</v>
      </c>
      <c r="E671" s="108">
        <v>11.81859825927623</v>
      </c>
      <c r="F671" s="108">
        <v>15.83829592304169</v>
      </c>
      <c r="G671" s="108">
        <v>82.065964269354097</v>
      </c>
      <c r="H671" s="108">
        <v>90.655061841502516</v>
      </c>
      <c r="I671" s="108">
        <v>0</v>
      </c>
      <c r="J671" s="108">
        <v>0</v>
      </c>
      <c r="K671" s="108">
        <v>0</v>
      </c>
      <c r="L671" s="108">
        <v>1</v>
      </c>
      <c r="M671" s="134">
        <v>0</v>
      </c>
      <c r="N671" s="134">
        <v>33</v>
      </c>
      <c r="O671" s="134">
        <v>96000</v>
      </c>
      <c r="P671" s="133">
        <v>0</v>
      </c>
      <c r="Q671" s="133">
        <v>0</v>
      </c>
      <c r="R671" s="133">
        <v>0</v>
      </c>
      <c r="S671" s="133">
        <v>1</v>
      </c>
    </row>
    <row r="672" spans="1:19">
      <c r="A672" s="85" t="s">
        <v>218</v>
      </c>
      <c r="B672" s="85">
        <v>7</v>
      </c>
      <c r="C672" s="85">
        <v>1</v>
      </c>
      <c r="D672" s="108">
        <v>7.8103527256069611</v>
      </c>
      <c r="E672" s="108">
        <v>14.120476408611999</v>
      </c>
      <c r="F672" s="108">
        <v>5.9092991296381134</v>
      </c>
      <c r="G672" s="108">
        <v>91.617040769583141</v>
      </c>
      <c r="H672" s="108">
        <v>4.0998625744388448</v>
      </c>
      <c r="I672" s="108">
        <v>0</v>
      </c>
      <c r="J672" s="108">
        <v>1</v>
      </c>
      <c r="K672" s="108">
        <v>0</v>
      </c>
      <c r="L672" s="108">
        <v>1</v>
      </c>
      <c r="M672" s="134">
        <v>0</v>
      </c>
      <c r="N672" s="134">
        <v>33</v>
      </c>
      <c r="O672" s="134">
        <v>96000</v>
      </c>
      <c r="P672" s="133">
        <v>0</v>
      </c>
      <c r="Q672" s="133">
        <v>0</v>
      </c>
      <c r="R672" s="133">
        <v>0</v>
      </c>
      <c r="S672" s="133">
        <v>1</v>
      </c>
    </row>
    <row r="673" spans="1:19">
      <c r="A673" s="85" t="s">
        <v>219</v>
      </c>
      <c r="B673" s="85">
        <v>1</v>
      </c>
      <c r="C673" s="85">
        <v>1</v>
      </c>
      <c r="D673" s="108">
        <v>90.618496628652295</v>
      </c>
      <c r="E673" s="108">
        <v>96.807625072837752</v>
      </c>
      <c r="F673" s="108">
        <v>97.423624406892543</v>
      </c>
      <c r="G673" s="108">
        <v>1.8063764255389969</v>
      </c>
      <c r="H673" s="108">
        <v>3.1008074585865302</v>
      </c>
      <c r="I673" s="108">
        <v>1</v>
      </c>
      <c r="J673" s="108">
        <v>0</v>
      </c>
      <c r="K673" s="108">
        <v>1</v>
      </c>
      <c r="L673" s="108">
        <v>1</v>
      </c>
      <c r="M673" s="134">
        <v>1</v>
      </c>
      <c r="N673" s="134">
        <v>43</v>
      </c>
      <c r="O673" s="134">
        <v>5000</v>
      </c>
      <c r="P673" s="133">
        <v>0</v>
      </c>
      <c r="Q673" s="133">
        <v>0</v>
      </c>
      <c r="R673" s="133">
        <v>0</v>
      </c>
      <c r="S673" s="133">
        <v>0</v>
      </c>
    </row>
    <row r="674" spans="1:19">
      <c r="A674" s="85" t="s">
        <v>219</v>
      </c>
      <c r="B674" s="85">
        <v>2</v>
      </c>
      <c r="C674" s="85">
        <v>1</v>
      </c>
      <c r="D674" s="108">
        <v>4.1871306085074496</v>
      </c>
      <c r="E674" s="108">
        <v>97.585948555731278</v>
      </c>
      <c r="F674" s="108">
        <v>82.277532672937653</v>
      </c>
      <c r="G674" s="108">
        <v>5.577291267793222</v>
      </c>
      <c r="H674" s="108">
        <v>3.8708066261549989</v>
      </c>
      <c r="I674" s="108">
        <v>0</v>
      </c>
      <c r="J674" s="108">
        <v>0</v>
      </c>
      <c r="K674" s="108">
        <v>0</v>
      </c>
      <c r="L674" s="108">
        <v>1</v>
      </c>
      <c r="M674" s="134">
        <v>1</v>
      </c>
      <c r="N674" s="134">
        <v>43</v>
      </c>
      <c r="O674" s="134">
        <v>5000</v>
      </c>
      <c r="P674" s="133">
        <v>0</v>
      </c>
      <c r="Q674" s="133">
        <v>0</v>
      </c>
      <c r="R674" s="133">
        <v>0</v>
      </c>
      <c r="S674" s="133">
        <v>0</v>
      </c>
    </row>
    <row r="675" spans="1:19">
      <c r="A675" s="85" t="s">
        <v>219</v>
      </c>
      <c r="B675" s="85">
        <v>3</v>
      </c>
      <c r="C675" s="85">
        <v>1</v>
      </c>
      <c r="D675" s="108">
        <v>18.241006400353118</v>
      </c>
      <c r="E675" s="108">
        <v>50</v>
      </c>
      <c r="F675" s="108">
        <v>90.41050540719489</v>
      </c>
      <c r="G675" s="108">
        <v>45.067314058706692</v>
      </c>
      <c r="H675" s="108">
        <v>15.30567203707791</v>
      </c>
      <c r="I675" s="108">
        <v>0</v>
      </c>
      <c r="J675" s="108">
        <v>0</v>
      </c>
      <c r="K675" s="108">
        <v>0</v>
      </c>
      <c r="L675" s="108">
        <v>1</v>
      </c>
      <c r="M675" s="134">
        <v>1</v>
      </c>
      <c r="N675" s="134">
        <v>43</v>
      </c>
      <c r="O675" s="134">
        <v>5000</v>
      </c>
      <c r="P675" s="133">
        <v>0</v>
      </c>
      <c r="Q675" s="133">
        <v>0</v>
      </c>
      <c r="R675" s="133">
        <v>0</v>
      </c>
      <c r="S675" s="133">
        <v>0</v>
      </c>
    </row>
    <row r="676" spans="1:19">
      <c r="A676" s="85" t="s">
        <v>219</v>
      </c>
      <c r="B676" s="85">
        <v>4</v>
      </c>
      <c r="C676" s="85">
        <v>1</v>
      </c>
      <c r="D676" s="108">
        <v>4.9547561244758338</v>
      </c>
      <c r="E676" s="108">
        <v>11.344074155815489</v>
      </c>
      <c r="F676" s="108">
        <v>39.196645332156251</v>
      </c>
      <c r="G676" s="108">
        <v>4.656808651511807</v>
      </c>
      <c r="H676" s="108">
        <v>4.535422644007947</v>
      </c>
      <c r="I676" s="108">
        <v>0</v>
      </c>
      <c r="J676" s="108">
        <v>0</v>
      </c>
      <c r="K676" s="108">
        <v>0</v>
      </c>
      <c r="L676" s="108">
        <v>1</v>
      </c>
      <c r="M676" s="134">
        <v>1</v>
      </c>
      <c r="N676" s="134">
        <v>43</v>
      </c>
      <c r="O676" s="134">
        <v>5000</v>
      </c>
      <c r="P676" s="133">
        <v>0</v>
      </c>
      <c r="Q676" s="133">
        <v>0</v>
      </c>
      <c r="R676" s="133">
        <v>0</v>
      </c>
      <c r="S676" s="133">
        <v>0</v>
      </c>
    </row>
    <row r="677" spans="1:19">
      <c r="A677" s="85" t="s">
        <v>219</v>
      </c>
      <c r="B677" s="85">
        <v>5</v>
      </c>
      <c r="C677" s="85">
        <v>1</v>
      </c>
      <c r="D677" s="108">
        <v>5.9368792760979892</v>
      </c>
      <c r="E677" s="108">
        <v>25.7890090487751</v>
      </c>
      <c r="F677" s="108">
        <v>93.423085411608923</v>
      </c>
      <c r="G677" s="108">
        <v>7.3162657250055174</v>
      </c>
      <c r="H677" s="108">
        <v>5.5727212535864048</v>
      </c>
      <c r="I677" s="108">
        <v>0</v>
      </c>
      <c r="J677" s="108">
        <v>0</v>
      </c>
      <c r="K677" s="108">
        <v>0</v>
      </c>
      <c r="L677" s="108">
        <v>1</v>
      </c>
      <c r="M677" s="134">
        <v>1</v>
      </c>
      <c r="N677" s="134">
        <v>43</v>
      </c>
      <c r="O677" s="134">
        <v>5000</v>
      </c>
      <c r="P677" s="133">
        <v>0</v>
      </c>
      <c r="Q677" s="133">
        <v>0</v>
      </c>
      <c r="R677" s="133">
        <v>0</v>
      </c>
      <c r="S677" s="133">
        <v>0</v>
      </c>
    </row>
    <row r="678" spans="1:19">
      <c r="A678" s="85" t="s">
        <v>219</v>
      </c>
      <c r="B678" s="85">
        <v>6</v>
      </c>
      <c r="C678" s="85">
        <v>1</v>
      </c>
      <c r="D678" s="108">
        <v>5.0209666740233967</v>
      </c>
      <c r="E678" s="108">
        <v>15.239461487530351</v>
      </c>
      <c r="F678" s="108">
        <v>16.000882807327301</v>
      </c>
      <c r="G678" s="108">
        <v>35.875082763186931</v>
      </c>
      <c r="H678" s="108">
        <v>8.3204590598101973</v>
      </c>
      <c r="I678" s="108">
        <v>0</v>
      </c>
      <c r="J678" s="108">
        <v>0</v>
      </c>
      <c r="K678" s="108">
        <v>0</v>
      </c>
      <c r="L678" s="108">
        <v>1</v>
      </c>
      <c r="M678" s="134">
        <v>1</v>
      </c>
      <c r="N678" s="134">
        <v>43</v>
      </c>
      <c r="O678" s="134">
        <v>5000</v>
      </c>
      <c r="P678" s="133">
        <v>0</v>
      </c>
      <c r="Q678" s="133">
        <v>0</v>
      </c>
      <c r="R678" s="133">
        <v>0</v>
      </c>
      <c r="S678" s="133">
        <v>0</v>
      </c>
    </row>
    <row r="679" spans="1:19">
      <c r="A679" s="85" t="s">
        <v>220</v>
      </c>
      <c r="B679" s="85">
        <v>1</v>
      </c>
      <c r="C679" s="85">
        <v>1</v>
      </c>
      <c r="D679" s="108">
        <v>94.858342077649525</v>
      </c>
      <c r="E679" s="108">
        <v>98.088742317493626</v>
      </c>
      <c r="F679" s="108">
        <v>94.266226952480878</v>
      </c>
      <c r="G679" s="108">
        <v>4.4296207465147672</v>
      </c>
      <c r="H679" s="108">
        <v>2.098635886673661</v>
      </c>
      <c r="I679" s="108">
        <v>1</v>
      </c>
      <c r="J679" s="108">
        <v>0</v>
      </c>
      <c r="K679" s="108">
        <v>1</v>
      </c>
      <c r="L679" s="108">
        <v>1</v>
      </c>
      <c r="M679" s="134">
        <v>1</v>
      </c>
      <c r="N679" s="134">
        <v>32</v>
      </c>
      <c r="O679" s="134">
        <v>85000</v>
      </c>
      <c r="P679" s="133">
        <v>1</v>
      </c>
      <c r="Q679" s="133">
        <v>1</v>
      </c>
      <c r="R679" s="133">
        <v>1</v>
      </c>
      <c r="S679" s="133">
        <v>0</v>
      </c>
    </row>
    <row r="680" spans="1:19">
      <c r="A680" s="85" t="s">
        <v>220</v>
      </c>
      <c r="B680" s="85">
        <v>2</v>
      </c>
      <c r="C680" s="85">
        <v>1</v>
      </c>
      <c r="D680" s="108">
        <v>96.282416429320932</v>
      </c>
      <c r="E680" s="108">
        <v>97.908859241493033</v>
      </c>
      <c r="F680" s="108">
        <v>95.855194123819516</v>
      </c>
      <c r="G680" s="108">
        <v>30.834957277769451</v>
      </c>
      <c r="H680" s="108">
        <v>2.4434117823414758</v>
      </c>
      <c r="I680" s="108">
        <v>0</v>
      </c>
      <c r="J680" s="108">
        <v>0</v>
      </c>
      <c r="K680" s="108">
        <v>1</v>
      </c>
      <c r="L680" s="108">
        <v>1</v>
      </c>
      <c r="M680" s="134">
        <v>1</v>
      </c>
      <c r="N680" s="134">
        <v>32</v>
      </c>
      <c r="O680" s="134">
        <v>85000</v>
      </c>
      <c r="P680" s="133">
        <v>1</v>
      </c>
      <c r="Q680" s="133">
        <v>1</v>
      </c>
      <c r="R680" s="133">
        <v>1</v>
      </c>
      <c r="S680" s="133">
        <v>0</v>
      </c>
    </row>
    <row r="681" spans="1:19">
      <c r="A681" s="85" t="s">
        <v>220</v>
      </c>
      <c r="B681" s="85">
        <v>3</v>
      </c>
      <c r="C681" s="85">
        <v>1</v>
      </c>
      <c r="D681" s="108">
        <v>99.138060260830457</v>
      </c>
      <c r="E681" s="108">
        <v>99.055613850996863</v>
      </c>
      <c r="F681" s="108">
        <v>99.460350771998193</v>
      </c>
      <c r="G681" s="108">
        <v>0.97436666166991204</v>
      </c>
      <c r="H681" s="108">
        <v>4.2572327986808549</v>
      </c>
      <c r="I681" s="108">
        <v>0</v>
      </c>
      <c r="J681" s="108">
        <v>0</v>
      </c>
      <c r="K681" s="108">
        <v>1</v>
      </c>
      <c r="L681" s="108">
        <v>1</v>
      </c>
      <c r="M681" s="134">
        <v>1</v>
      </c>
      <c r="N681" s="134">
        <v>32</v>
      </c>
      <c r="O681" s="134">
        <v>85000</v>
      </c>
      <c r="P681" s="133">
        <v>1</v>
      </c>
      <c r="Q681" s="133">
        <v>1</v>
      </c>
      <c r="R681" s="133">
        <v>1</v>
      </c>
      <c r="S681" s="133">
        <v>0</v>
      </c>
    </row>
    <row r="682" spans="1:19">
      <c r="A682" s="85" t="s">
        <v>220</v>
      </c>
      <c r="B682" s="85">
        <v>4</v>
      </c>
      <c r="C682" s="85">
        <v>1</v>
      </c>
      <c r="D682" s="108">
        <v>98.328586418827754</v>
      </c>
      <c r="E682" s="108">
        <v>99.445360515664817</v>
      </c>
      <c r="F682" s="108">
        <v>100</v>
      </c>
      <c r="G682" s="108">
        <v>0.23984410133413009</v>
      </c>
      <c r="H682" s="108">
        <v>6.3183930445210654</v>
      </c>
      <c r="I682" s="108">
        <v>0</v>
      </c>
      <c r="J682" s="108">
        <v>0</v>
      </c>
      <c r="K682" s="108">
        <v>1</v>
      </c>
      <c r="L682" s="108">
        <v>1</v>
      </c>
      <c r="M682" s="134">
        <v>1</v>
      </c>
      <c r="N682" s="134">
        <v>32</v>
      </c>
      <c r="O682" s="134">
        <v>85000</v>
      </c>
      <c r="P682" s="133">
        <v>1</v>
      </c>
      <c r="Q682" s="133">
        <v>1</v>
      </c>
      <c r="R682" s="133">
        <v>1</v>
      </c>
      <c r="S682" s="133">
        <v>0</v>
      </c>
    </row>
    <row r="683" spans="1:19">
      <c r="A683" s="85" t="s">
        <v>220</v>
      </c>
      <c r="B683" s="85">
        <v>5</v>
      </c>
      <c r="C683" s="85">
        <v>1</v>
      </c>
      <c r="D683" s="108">
        <v>99.347923849497818</v>
      </c>
      <c r="E683" s="108">
        <v>99.302953080497673</v>
      </c>
      <c r="F683" s="108">
        <v>98.328586418827754</v>
      </c>
      <c r="G683" s="108">
        <v>1.304152301004347</v>
      </c>
      <c r="H683" s="108">
        <v>3.3353320341777848</v>
      </c>
      <c r="I683" s="108">
        <v>0</v>
      </c>
      <c r="J683" s="108">
        <v>0</v>
      </c>
      <c r="K683" s="108">
        <v>1</v>
      </c>
      <c r="L683" s="108">
        <v>1</v>
      </c>
      <c r="M683" s="134">
        <v>1</v>
      </c>
      <c r="N683" s="134">
        <v>32</v>
      </c>
      <c r="O683" s="134">
        <v>85000</v>
      </c>
      <c r="P683" s="133">
        <v>1</v>
      </c>
      <c r="Q683" s="133">
        <v>1</v>
      </c>
      <c r="R683" s="133">
        <v>1</v>
      </c>
      <c r="S683" s="133">
        <v>0</v>
      </c>
    </row>
    <row r="684" spans="1:19">
      <c r="A684" s="85" t="s">
        <v>220</v>
      </c>
      <c r="B684" s="85">
        <v>6</v>
      </c>
      <c r="C684" s="85">
        <v>1</v>
      </c>
      <c r="D684" s="108">
        <v>99.827612052166089</v>
      </c>
      <c r="E684" s="108">
        <v>97.556588217658529</v>
      </c>
      <c r="F684" s="108">
        <v>94.745915155149149</v>
      </c>
      <c r="G684" s="108">
        <v>2.6907510118423019</v>
      </c>
      <c r="H684" s="108">
        <v>4.5045720281816806</v>
      </c>
      <c r="I684" s="108">
        <v>0</v>
      </c>
      <c r="J684" s="108">
        <v>0</v>
      </c>
      <c r="K684" s="108">
        <v>1</v>
      </c>
      <c r="L684" s="108">
        <v>1</v>
      </c>
      <c r="M684" s="134">
        <v>1</v>
      </c>
      <c r="N684" s="134">
        <v>32</v>
      </c>
      <c r="O684" s="134">
        <v>85000</v>
      </c>
      <c r="P684" s="133">
        <v>1</v>
      </c>
      <c r="Q684" s="133">
        <v>1</v>
      </c>
      <c r="R684" s="133">
        <v>1</v>
      </c>
      <c r="S684" s="133">
        <v>0</v>
      </c>
    </row>
    <row r="685" spans="1:19">
      <c r="A685" s="85" t="s">
        <v>220</v>
      </c>
      <c r="B685" s="85">
        <v>7</v>
      </c>
      <c r="C685" s="85">
        <v>1</v>
      </c>
      <c r="D685" s="108">
        <v>97.491039426523301</v>
      </c>
      <c r="E685" s="108">
        <v>96.977299880525678</v>
      </c>
      <c r="F685" s="108">
        <v>97.491039426523301</v>
      </c>
      <c r="G685" s="108">
        <v>2.6523297491039428</v>
      </c>
      <c r="H685" s="108">
        <v>50</v>
      </c>
      <c r="I685" s="108">
        <v>0</v>
      </c>
      <c r="J685" s="108">
        <v>1</v>
      </c>
      <c r="K685" s="108">
        <v>1</v>
      </c>
      <c r="L685" s="108">
        <v>1</v>
      </c>
      <c r="M685" s="134">
        <v>1</v>
      </c>
      <c r="N685" s="134">
        <v>32</v>
      </c>
      <c r="O685" s="134">
        <v>85000</v>
      </c>
      <c r="P685" s="133">
        <v>1</v>
      </c>
      <c r="Q685" s="133">
        <v>1</v>
      </c>
      <c r="R685" s="133">
        <v>1</v>
      </c>
      <c r="S685" s="133">
        <v>0</v>
      </c>
    </row>
    <row r="686" spans="1:19">
      <c r="A686" s="85" t="s">
        <v>221</v>
      </c>
      <c r="B686" s="85">
        <v>1</v>
      </c>
      <c r="C686" s="85">
        <v>1</v>
      </c>
      <c r="D686" s="108">
        <v>1.8312867058195399</v>
      </c>
      <c r="E686" s="108">
        <v>3.7106246663107298</v>
      </c>
      <c r="F686" s="108">
        <v>1.5056059797116941</v>
      </c>
      <c r="G686" s="108">
        <v>87.042178323545116</v>
      </c>
      <c r="H686" s="108">
        <v>97.821676454885207</v>
      </c>
      <c r="I686" s="108">
        <v>1</v>
      </c>
      <c r="J686" s="108">
        <v>0</v>
      </c>
      <c r="K686" s="108">
        <v>0</v>
      </c>
      <c r="L686" s="108">
        <v>1</v>
      </c>
      <c r="M686" s="134">
        <v>1</v>
      </c>
      <c r="N686" s="134">
        <v>62</v>
      </c>
      <c r="O686" s="134">
        <v>-99</v>
      </c>
      <c r="P686" s="133">
        <v>0</v>
      </c>
      <c r="Q686" s="133">
        <v>0</v>
      </c>
      <c r="R686" s="133">
        <v>0</v>
      </c>
      <c r="S686" s="133">
        <v>0</v>
      </c>
    </row>
    <row r="687" spans="1:19">
      <c r="A687" s="85" t="s">
        <v>221</v>
      </c>
      <c r="B687" s="85">
        <v>2</v>
      </c>
      <c r="C687" s="85">
        <v>1</v>
      </c>
      <c r="D687" s="108">
        <v>7.3660714285714306</v>
      </c>
      <c r="E687" s="108">
        <v>9.3618697478991599</v>
      </c>
      <c r="F687" s="108">
        <v>32.773109243697483</v>
      </c>
      <c r="G687" s="108">
        <v>76.404936974789919</v>
      </c>
      <c r="H687" s="108">
        <v>50</v>
      </c>
      <c r="I687" s="108">
        <v>0</v>
      </c>
      <c r="J687" s="108">
        <v>0</v>
      </c>
      <c r="K687" s="108">
        <v>0</v>
      </c>
      <c r="L687" s="108">
        <v>1</v>
      </c>
      <c r="M687" s="134">
        <v>1</v>
      </c>
      <c r="N687" s="134">
        <v>62</v>
      </c>
      <c r="O687" s="134">
        <v>-99</v>
      </c>
      <c r="P687" s="133">
        <v>0</v>
      </c>
      <c r="Q687" s="133">
        <v>0</v>
      </c>
      <c r="R687" s="133">
        <v>0</v>
      </c>
      <c r="S687" s="133">
        <v>0</v>
      </c>
    </row>
    <row r="688" spans="1:19">
      <c r="A688" s="85" t="s">
        <v>221</v>
      </c>
      <c r="B688" s="85">
        <v>4</v>
      </c>
      <c r="C688" s="85">
        <v>1</v>
      </c>
      <c r="D688" s="108">
        <v>8.0882352941176467</v>
      </c>
      <c r="E688" s="108">
        <v>1.6675420168067221</v>
      </c>
      <c r="F688" s="108">
        <v>5.2258403361344516</v>
      </c>
      <c r="G688" s="108">
        <v>14.90283613445378</v>
      </c>
      <c r="H688" s="108">
        <v>73.84453781512606</v>
      </c>
      <c r="I688" s="108">
        <v>0</v>
      </c>
      <c r="J688" s="108">
        <v>0</v>
      </c>
      <c r="K688" s="108">
        <v>0</v>
      </c>
      <c r="L688" s="108">
        <v>1</v>
      </c>
      <c r="M688" s="134">
        <v>1</v>
      </c>
      <c r="N688" s="134">
        <v>62</v>
      </c>
      <c r="O688" s="134">
        <v>-99</v>
      </c>
      <c r="P688" s="133">
        <v>0</v>
      </c>
      <c r="Q688" s="133">
        <v>0</v>
      </c>
      <c r="R688" s="133">
        <v>0</v>
      </c>
      <c r="S688" s="133">
        <v>0</v>
      </c>
    </row>
    <row r="689" spans="1:19">
      <c r="A689" s="85" t="s">
        <v>221</v>
      </c>
      <c r="B689" s="85">
        <v>5</v>
      </c>
      <c r="C689" s="85">
        <v>1</v>
      </c>
      <c r="D689" s="108">
        <v>4.6612394957983199</v>
      </c>
      <c r="E689" s="108">
        <v>5.9611344537815132</v>
      </c>
      <c r="F689" s="108">
        <v>0</v>
      </c>
      <c r="G689" s="108">
        <v>94.288340336134439</v>
      </c>
      <c r="H689" s="108">
        <v>96.165966386554629</v>
      </c>
      <c r="I689" s="108">
        <v>0</v>
      </c>
      <c r="J689" s="108">
        <v>0</v>
      </c>
      <c r="K689" s="108">
        <v>0</v>
      </c>
      <c r="L689" s="108">
        <v>1</v>
      </c>
      <c r="M689" s="134">
        <v>1</v>
      </c>
      <c r="N689" s="134">
        <v>62</v>
      </c>
      <c r="O689" s="134">
        <v>-99</v>
      </c>
      <c r="P689" s="133">
        <v>0</v>
      </c>
      <c r="Q689" s="133">
        <v>0</v>
      </c>
      <c r="R689" s="133">
        <v>0</v>
      </c>
      <c r="S689" s="133">
        <v>0</v>
      </c>
    </row>
    <row r="690" spans="1:19">
      <c r="A690" s="85" t="s">
        <v>221</v>
      </c>
      <c r="B690" s="85">
        <v>6</v>
      </c>
      <c r="C690" s="85">
        <v>1</v>
      </c>
      <c r="D690" s="108">
        <v>12.51313025210084</v>
      </c>
      <c r="E690" s="108">
        <v>5.1207983193277293</v>
      </c>
      <c r="F690" s="108">
        <v>2.8623949579831942</v>
      </c>
      <c r="G690" s="108">
        <v>95.246848739495803</v>
      </c>
      <c r="H690" s="108">
        <v>96.402310924369743</v>
      </c>
      <c r="I690" s="108">
        <v>0</v>
      </c>
      <c r="J690" s="108">
        <v>0</v>
      </c>
      <c r="K690" s="108">
        <v>0</v>
      </c>
      <c r="L690" s="108">
        <v>1</v>
      </c>
      <c r="M690" s="134">
        <v>1</v>
      </c>
      <c r="N690" s="134">
        <v>62</v>
      </c>
      <c r="O690" s="134">
        <v>-99</v>
      </c>
      <c r="P690" s="133">
        <v>0</v>
      </c>
      <c r="Q690" s="133">
        <v>0</v>
      </c>
      <c r="R690" s="133">
        <v>0</v>
      </c>
      <c r="S690" s="133">
        <v>0</v>
      </c>
    </row>
    <row r="691" spans="1:19">
      <c r="A691" s="85" t="s">
        <v>221</v>
      </c>
      <c r="B691" s="85">
        <v>7</v>
      </c>
      <c r="C691" s="85">
        <v>1</v>
      </c>
      <c r="D691" s="108">
        <v>6.840861344537819</v>
      </c>
      <c r="E691" s="108">
        <v>5.580357142857145</v>
      </c>
      <c r="F691" s="108">
        <v>11.042542016806721</v>
      </c>
      <c r="G691" s="108">
        <v>94.419642857142861</v>
      </c>
      <c r="H691" s="108">
        <v>98.923319327731079</v>
      </c>
      <c r="I691" s="108">
        <v>0</v>
      </c>
      <c r="J691" s="108">
        <v>1</v>
      </c>
      <c r="K691" s="108">
        <v>0</v>
      </c>
      <c r="L691" s="108">
        <v>1</v>
      </c>
      <c r="M691" s="134">
        <v>1</v>
      </c>
      <c r="N691" s="134">
        <v>62</v>
      </c>
      <c r="O691" s="134">
        <v>-99</v>
      </c>
      <c r="P691" s="133">
        <v>0</v>
      </c>
      <c r="Q691" s="133">
        <v>0</v>
      </c>
      <c r="R691" s="133">
        <v>0</v>
      </c>
      <c r="S691" s="133">
        <v>0</v>
      </c>
    </row>
    <row r="692" spans="1:19">
      <c r="A692" s="85" t="s">
        <v>222</v>
      </c>
      <c r="B692" s="85">
        <v>1</v>
      </c>
      <c r="C692" s="85">
        <v>1</v>
      </c>
      <c r="D692" s="108">
        <v>14.66997723980964</v>
      </c>
      <c r="E692" s="108">
        <v>50</v>
      </c>
      <c r="F692" s="108">
        <v>13.614732050486239</v>
      </c>
      <c r="G692" s="108">
        <v>50</v>
      </c>
      <c r="H692" s="108">
        <v>86.395613490585561</v>
      </c>
      <c r="I692" s="108">
        <v>1</v>
      </c>
      <c r="J692" s="108">
        <v>0</v>
      </c>
      <c r="K692" s="108">
        <v>0</v>
      </c>
      <c r="L692" s="108">
        <v>1</v>
      </c>
      <c r="M692" s="134">
        <v>0</v>
      </c>
      <c r="N692" s="134">
        <v>39</v>
      </c>
      <c r="O692" s="134">
        <v>50000</v>
      </c>
      <c r="P692" s="133">
        <v>1</v>
      </c>
      <c r="Q692" s="133">
        <v>1</v>
      </c>
      <c r="R692" s="133">
        <v>1</v>
      </c>
      <c r="S692" s="133">
        <v>1</v>
      </c>
    </row>
    <row r="693" spans="1:19">
      <c r="A693" s="85" t="s">
        <v>222</v>
      </c>
      <c r="B693" s="85">
        <v>2</v>
      </c>
      <c r="C693" s="85">
        <v>1</v>
      </c>
      <c r="D693" s="108">
        <v>97.531914893617028</v>
      </c>
      <c r="E693" s="108">
        <v>100</v>
      </c>
      <c r="F693" s="108">
        <v>90.776595744680847</v>
      </c>
      <c r="G693" s="108">
        <v>17.542553191489361</v>
      </c>
      <c r="H693" s="108">
        <v>100</v>
      </c>
      <c r="I693" s="108">
        <v>0</v>
      </c>
      <c r="J693" s="108">
        <v>0</v>
      </c>
      <c r="K693" s="108">
        <v>1</v>
      </c>
      <c r="L693" s="108">
        <v>1</v>
      </c>
      <c r="M693" s="134">
        <v>0</v>
      </c>
      <c r="N693" s="134">
        <v>39</v>
      </c>
      <c r="O693" s="134">
        <v>50000</v>
      </c>
      <c r="P693" s="133">
        <v>1</v>
      </c>
      <c r="Q693" s="133">
        <v>1</v>
      </c>
      <c r="R693" s="133">
        <v>1</v>
      </c>
      <c r="S693" s="133">
        <v>1</v>
      </c>
    </row>
    <row r="694" spans="1:19">
      <c r="A694" s="85" t="s">
        <v>222</v>
      </c>
      <c r="B694" s="85">
        <v>4</v>
      </c>
      <c r="C694" s="85">
        <v>1</v>
      </c>
      <c r="D694" s="108">
        <v>90.063829787234042</v>
      </c>
      <c r="E694" s="108">
        <v>89.542553191489361</v>
      </c>
      <c r="F694" s="108">
        <v>90.074468085106389</v>
      </c>
      <c r="G694" s="108">
        <v>9.9255319148936145</v>
      </c>
      <c r="H694" s="108">
        <v>9.2021276595744652</v>
      </c>
      <c r="I694" s="108">
        <v>0</v>
      </c>
      <c r="J694" s="108">
        <v>0</v>
      </c>
      <c r="K694" s="108">
        <v>1</v>
      </c>
      <c r="L694" s="108">
        <v>1</v>
      </c>
      <c r="M694" s="134">
        <v>0</v>
      </c>
      <c r="N694" s="134">
        <v>39</v>
      </c>
      <c r="O694" s="134">
        <v>50000</v>
      </c>
      <c r="P694" s="133">
        <v>1</v>
      </c>
      <c r="Q694" s="133">
        <v>1</v>
      </c>
      <c r="R694" s="133">
        <v>1</v>
      </c>
      <c r="S694" s="133">
        <v>1</v>
      </c>
    </row>
    <row r="695" spans="1:19">
      <c r="A695" s="85" t="s">
        <v>222</v>
      </c>
      <c r="B695" s="85">
        <v>5</v>
      </c>
      <c r="C695" s="85">
        <v>1</v>
      </c>
      <c r="D695" s="108">
        <v>4.6276595744680851</v>
      </c>
      <c r="E695" s="108">
        <v>11.702127659574471</v>
      </c>
      <c r="F695" s="108">
        <v>92.38297872340425</v>
      </c>
      <c r="G695" s="108">
        <v>9.0531914893617014</v>
      </c>
      <c r="H695" s="108">
        <v>8.3297872340425521</v>
      </c>
      <c r="I695" s="108">
        <v>0</v>
      </c>
      <c r="J695" s="108">
        <v>0</v>
      </c>
      <c r="K695" s="108">
        <v>0</v>
      </c>
      <c r="L695" s="108">
        <v>1</v>
      </c>
      <c r="M695" s="134">
        <v>0</v>
      </c>
      <c r="N695" s="134">
        <v>39</v>
      </c>
      <c r="O695" s="134">
        <v>50000</v>
      </c>
      <c r="P695" s="133">
        <v>1</v>
      </c>
      <c r="Q695" s="133">
        <v>1</v>
      </c>
      <c r="R695" s="133">
        <v>1</v>
      </c>
      <c r="S695" s="133">
        <v>1</v>
      </c>
    </row>
    <row r="696" spans="1:19">
      <c r="A696" s="85" t="s">
        <v>223</v>
      </c>
      <c r="B696" s="85">
        <v>1</v>
      </c>
      <c r="C696" s="85">
        <v>1</v>
      </c>
      <c r="D696" s="108">
        <v>13.329225713698911</v>
      </c>
      <c r="E696" s="108">
        <v>89.926062846580407</v>
      </c>
      <c r="F696" s="108">
        <v>10.597658656808379</v>
      </c>
      <c r="G696" s="108">
        <v>22.047648387759299</v>
      </c>
      <c r="H696" s="108">
        <v>30.591497227356751</v>
      </c>
      <c r="I696" s="108">
        <v>1</v>
      </c>
      <c r="J696" s="108">
        <v>0</v>
      </c>
      <c r="K696" s="108">
        <v>0</v>
      </c>
      <c r="L696" s="108">
        <v>1</v>
      </c>
      <c r="M696" s="134">
        <v>1</v>
      </c>
      <c r="N696" s="134">
        <v>28</v>
      </c>
      <c r="O696" s="134">
        <v>-99</v>
      </c>
      <c r="P696" s="133">
        <v>0</v>
      </c>
      <c r="Q696" s="133">
        <v>0</v>
      </c>
      <c r="R696" s="133">
        <v>0</v>
      </c>
      <c r="S696" s="133">
        <v>0</v>
      </c>
    </row>
    <row r="697" spans="1:19">
      <c r="A697" s="85" t="s">
        <v>223</v>
      </c>
      <c r="B697" s="85">
        <v>2</v>
      </c>
      <c r="C697" s="85">
        <v>1</v>
      </c>
      <c r="D697" s="108">
        <v>12.64583333333333</v>
      </c>
      <c r="E697" s="108">
        <v>40.916666666666671</v>
      </c>
      <c r="F697" s="108">
        <v>9.4479166666666679</v>
      </c>
      <c r="G697" s="108">
        <v>50</v>
      </c>
      <c r="H697" s="108">
        <v>22.979166666666671</v>
      </c>
      <c r="I697" s="108">
        <v>0</v>
      </c>
      <c r="J697" s="108">
        <v>0</v>
      </c>
      <c r="K697" s="108">
        <v>0</v>
      </c>
      <c r="L697" s="108">
        <v>1</v>
      </c>
      <c r="M697" s="134">
        <v>1</v>
      </c>
      <c r="N697" s="134">
        <v>28</v>
      </c>
      <c r="O697" s="134">
        <v>-99</v>
      </c>
      <c r="P697" s="133">
        <v>0</v>
      </c>
      <c r="Q697" s="133">
        <v>0</v>
      </c>
      <c r="R697" s="133">
        <v>0</v>
      </c>
      <c r="S697" s="133">
        <v>0</v>
      </c>
    </row>
    <row r="698" spans="1:19">
      <c r="A698" s="85" t="s">
        <v>224</v>
      </c>
      <c r="B698" s="85">
        <v>1</v>
      </c>
      <c r="C698" s="85">
        <v>1</v>
      </c>
      <c r="D698" s="108">
        <v>86.6745632217945</v>
      </c>
      <c r="E698" s="108">
        <v>90.153982824992596</v>
      </c>
      <c r="F698" s="108">
        <v>68.196624222682857</v>
      </c>
      <c r="G698" s="108">
        <v>10.11252591057151</v>
      </c>
      <c r="H698" s="108">
        <v>50</v>
      </c>
      <c r="I698" s="108">
        <v>1</v>
      </c>
      <c r="J698" s="108">
        <v>0</v>
      </c>
      <c r="K698" s="108">
        <v>1</v>
      </c>
      <c r="L698" s="108">
        <v>1</v>
      </c>
      <c r="M698" s="134">
        <v>1</v>
      </c>
      <c r="N698" s="134">
        <v>20</v>
      </c>
      <c r="O698" s="134">
        <v>7000</v>
      </c>
      <c r="P698" s="133">
        <v>0</v>
      </c>
      <c r="Q698" s="133">
        <v>0</v>
      </c>
      <c r="R698" s="133">
        <v>1</v>
      </c>
      <c r="S698" s="133">
        <v>1</v>
      </c>
    </row>
    <row r="699" spans="1:19">
      <c r="A699" s="85" t="s">
        <v>224</v>
      </c>
      <c r="B699" s="85">
        <v>2</v>
      </c>
      <c r="C699" s="85">
        <v>1</v>
      </c>
      <c r="D699" s="108">
        <v>98.534201954397389</v>
      </c>
      <c r="E699" s="108">
        <v>97.808705952028433</v>
      </c>
      <c r="F699" s="108">
        <v>79.286348830322765</v>
      </c>
      <c r="G699" s="108">
        <v>3.1832987859046482</v>
      </c>
      <c r="H699" s="108">
        <v>0</v>
      </c>
      <c r="I699" s="108">
        <v>0</v>
      </c>
      <c r="J699" s="108">
        <v>0</v>
      </c>
      <c r="K699" s="108">
        <v>1</v>
      </c>
      <c r="L699" s="108">
        <v>1</v>
      </c>
      <c r="M699" s="134">
        <v>1</v>
      </c>
      <c r="N699" s="134">
        <v>20</v>
      </c>
      <c r="O699" s="134">
        <v>7000</v>
      </c>
      <c r="P699" s="133">
        <v>0</v>
      </c>
      <c r="Q699" s="133">
        <v>0</v>
      </c>
      <c r="R699" s="133">
        <v>1</v>
      </c>
      <c r="S699" s="133">
        <v>1</v>
      </c>
    </row>
    <row r="700" spans="1:19">
      <c r="A700" s="85" t="s">
        <v>224</v>
      </c>
      <c r="B700" s="85">
        <v>3</v>
      </c>
      <c r="C700" s="85">
        <v>1</v>
      </c>
      <c r="D700" s="108">
        <v>97.571809298193671</v>
      </c>
      <c r="E700" s="108">
        <v>97.557003257328986</v>
      </c>
      <c r="F700" s="108">
        <v>96.535386437666574</v>
      </c>
      <c r="G700" s="108">
        <v>2.694699437370446</v>
      </c>
      <c r="H700" s="108">
        <v>8.3802191294047983</v>
      </c>
      <c r="I700" s="108">
        <v>0</v>
      </c>
      <c r="J700" s="108">
        <v>0</v>
      </c>
      <c r="K700" s="108">
        <v>1</v>
      </c>
      <c r="L700" s="108">
        <v>1</v>
      </c>
      <c r="M700" s="134">
        <v>1</v>
      </c>
      <c r="N700" s="134">
        <v>20</v>
      </c>
      <c r="O700" s="134">
        <v>7000</v>
      </c>
      <c r="P700" s="133">
        <v>0</v>
      </c>
      <c r="Q700" s="133">
        <v>0</v>
      </c>
      <c r="R700" s="133">
        <v>1</v>
      </c>
      <c r="S700" s="133">
        <v>1</v>
      </c>
    </row>
    <row r="701" spans="1:19">
      <c r="A701" s="85" t="s">
        <v>224</v>
      </c>
      <c r="B701" s="85">
        <v>4</v>
      </c>
      <c r="C701" s="85">
        <v>1</v>
      </c>
      <c r="D701" s="108">
        <v>97.305300562629554</v>
      </c>
      <c r="E701" s="108">
        <v>65.457506662718387</v>
      </c>
      <c r="F701" s="108">
        <v>97.053597867930108</v>
      </c>
      <c r="G701" s="108">
        <v>9.8460171750074039</v>
      </c>
      <c r="H701" s="108">
        <v>91.871483565294639</v>
      </c>
      <c r="I701" s="108">
        <v>0</v>
      </c>
      <c r="J701" s="108">
        <v>0</v>
      </c>
      <c r="K701" s="108">
        <v>1</v>
      </c>
      <c r="L701" s="108">
        <v>1</v>
      </c>
      <c r="M701" s="134">
        <v>1</v>
      </c>
      <c r="N701" s="134">
        <v>20</v>
      </c>
      <c r="O701" s="134">
        <v>7000</v>
      </c>
      <c r="P701" s="133">
        <v>0</v>
      </c>
      <c r="Q701" s="133">
        <v>0</v>
      </c>
      <c r="R701" s="133">
        <v>1</v>
      </c>
      <c r="S701" s="133">
        <v>1</v>
      </c>
    </row>
    <row r="702" spans="1:19">
      <c r="A702" s="85" t="s">
        <v>224</v>
      </c>
      <c r="B702" s="85">
        <v>6</v>
      </c>
      <c r="C702" s="85">
        <v>1</v>
      </c>
      <c r="D702" s="108">
        <v>7.6251110453064879</v>
      </c>
      <c r="E702" s="108">
        <v>20.461948474977788</v>
      </c>
      <c r="F702" s="108">
        <v>80.011844832691736</v>
      </c>
      <c r="G702" s="108">
        <v>2.2209061297009169</v>
      </c>
      <c r="H702" s="108">
        <v>19.98815516730826</v>
      </c>
      <c r="I702" s="108">
        <v>0</v>
      </c>
      <c r="J702" s="108">
        <v>0</v>
      </c>
      <c r="K702" s="108">
        <v>0</v>
      </c>
      <c r="L702" s="108">
        <v>1</v>
      </c>
      <c r="M702" s="134">
        <v>1</v>
      </c>
      <c r="N702" s="134">
        <v>20</v>
      </c>
      <c r="O702" s="134">
        <v>7000</v>
      </c>
      <c r="P702" s="133">
        <v>0</v>
      </c>
      <c r="Q702" s="133">
        <v>0</v>
      </c>
      <c r="R702" s="133">
        <v>1</v>
      </c>
      <c r="S702" s="133">
        <v>1</v>
      </c>
    </row>
    <row r="703" spans="1:19">
      <c r="A703" s="85" t="s">
        <v>224</v>
      </c>
      <c r="B703" s="85">
        <v>7</v>
      </c>
      <c r="C703" s="85">
        <v>1</v>
      </c>
      <c r="D703" s="108">
        <v>97.038791827065438</v>
      </c>
      <c r="E703" s="108">
        <v>99.037607343796282</v>
      </c>
      <c r="F703" s="108">
        <v>99.526206692330476</v>
      </c>
      <c r="G703" s="108">
        <v>7.151317737636953</v>
      </c>
      <c r="H703" s="108">
        <v>77.835356825584839</v>
      </c>
      <c r="I703" s="108">
        <v>0</v>
      </c>
      <c r="J703" s="108">
        <v>1</v>
      </c>
      <c r="K703" s="108">
        <v>1</v>
      </c>
      <c r="L703" s="108">
        <v>1</v>
      </c>
      <c r="M703" s="134">
        <v>1</v>
      </c>
      <c r="N703" s="134">
        <v>20</v>
      </c>
      <c r="O703" s="134">
        <v>7000</v>
      </c>
      <c r="P703" s="133">
        <v>0</v>
      </c>
      <c r="Q703" s="133">
        <v>0</v>
      </c>
      <c r="R703" s="133">
        <v>1</v>
      </c>
      <c r="S703" s="133">
        <v>1</v>
      </c>
    </row>
    <row r="704" spans="1:19">
      <c r="A704" s="85" t="s">
        <v>225</v>
      </c>
      <c r="B704" s="85">
        <v>1</v>
      </c>
      <c r="C704" s="85">
        <v>1</v>
      </c>
      <c r="D704" s="108">
        <v>0.53699284009546266</v>
      </c>
      <c r="E704" s="108">
        <v>0.245682998736485</v>
      </c>
      <c r="F704" s="108">
        <v>1.1336515513126479</v>
      </c>
      <c r="G704" s="108">
        <v>94.110627544573916</v>
      </c>
      <c r="H704" s="108">
        <v>96.813140530675284</v>
      </c>
      <c r="I704" s="108">
        <v>1</v>
      </c>
      <c r="J704" s="108">
        <v>0</v>
      </c>
      <c r="K704" s="108">
        <v>0</v>
      </c>
      <c r="L704" s="108">
        <v>1</v>
      </c>
      <c r="M704" s="134">
        <v>1</v>
      </c>
      <c r="N704" s="134">
        <v>43</v>
      </c>
      <c r="O704" s="134">
        <v>80000</v>
      </c>
      <c r="P704" s="133">
        <v>0</v>
      </c>
      <c r="Q704" s="133">
        <v>0</v>
      </c>
      <c r="R704" s="133">
        <v>0</v>
      </c>
      <c r="S704" s="133">
        <v>1</v>
      </c>
    </row>
    <row r="705" spans="1:19">
      <c r="A705" s="85" t="s">
        <v>225</v>
      </c>
      <c r="B705" s="85">
        <v>2</v>
      </c>
      <c r="C705" s="85">
        <v>1</v>
      </c>
      <c r="D705" s="108">
        <v>1.930366418643831</v>
      </c>
      <c r="E705" s="108">
        <v>0</v>
      </c>
      <c r="F705" s="108">
        <v>0.3755440123543452</v>
      </c>
      <c r="G705" s="108">
        <v>99.112031447423846</v>
      </c>
      <c r="H705" s="108">
        <v>98.420609293836876</v>
      </c>
      <c r="I705" s="108">
        <v>0</v>
      </c>
      <c r="J705" s="108">
        <v>0</v>
      </c>
      <c r="K705" s="108">
        <v>0</v>
      </c>
      <c r="L705" s="108">
        <v>1</v>
      </c>
      <c r="M705" s="134">
        <v>1</v>
      </c>
      <c r="N705" s="134">
        <v>43</v>
      </c>
      <c r="O705" s="134">
        <v>80000</v>
      </c>
      <c r="P705" s="133">
        <v>0</v>
      </c>
      <c r="Q705" s="133">
        <v>0</v>
      </c>
      <c r="R705" s="133">
        <v>0</v>
      </c>
      <c r="S705" s="133">
        <v>1</v>
      </c>
    </row>
    <row r="706" spans="1:19">
      <c r="A706" s="85" t="s">
        <v>225</v>
      </c>
      <c r="B706" s="85">
        <v>3</v>
      </c>
      <c r="C706" s="85">
        <v>1</v>
      </c>
      <c r="D706" s="108">
        <v>1.038888108942859</v>
      </c>
      <c r="E706" s="108">
        <v>0.53348308297065938</v>
      </c>
      <c r="F706" s="108">
        <v>0.64228555383967212</v>
      </c>
      <c r="G706" s="108">
        <v>96.609574617436465</v>
      </c>
      <c r="H706" s="108">
        <v>95.781271935982033</v>
      </c>
      <c r="I706" s="108">
        <v>0</v>
      </c>
      <c r="J706" s="108">
        <v>0</v>
      </c>
      <c r="K706" s="108">
        <v>0</v>
      </c>
      <c r="L706" s="108">
        <v>1</v>
      </c>
      <c r="M706" s="134">
        <v>1</v>
      </c>
      <c r="N706" s="134">
        <v>43</v>
      </c>
      <c r="O706" s="134">
        <v>80000</v>
      </c>
      <c r="P706" s="133">
        <v>0</v>
      </c>
      <c r="Q706" s="133">
        <v>0</v>
      </c>
      <c r="R706" s="133">
        <v>0</v>
      </c>
      <c r="S706" s="133">
        <v>1</v>
      </c>
    </row>
    <row r="707" spans="1:19">
      <c r="A707" s="85" t="s">
        <v>225</v>
      </c>
      <c r="B707" s="85">
        <v>4</v>
      </c>
      <c r="C707" s="85">
        <v>1</v>
      </c>
      <c r="D707" s="108">
        <v>4.6416730425911767</v>
      </c>
      <c r="E707" s="108">
        <v>6.5289466972711043</v>
      </c>
      <c r="F707" s="108">
        <v>14.32032644733486</v>
      </c>
      <c r="G707" s="108">
        <v>59.627646008671263</v>
      </c>
      <c r="H707" s="108">
        <v>50</v>
      </c>
      <c r="I707" s="108">
        <v>0</v>
      </c>
      <c r="J707" s="108">
        <v>0</v>
      </c>
      <c r="K707" s="108">
        <v>0</v>
      </c>
      <c r="L707" s="108">
        <v>1</v>
      </c>
      <c r="M707" s="134">
        <v>1</v>
      </c>
      <c r="N707" s="134">
        <v>43</v>
      </c>
      <c r="O707" s="134">
        <v>80000</v>
      </c>
      <c r="P707" s="133">
        <v>0</v>
      </c>
      <c r="Q707" s="133">
        <v>0</v>
      </c>
      <c r="R707" s="133">
        <v>0</v>
      </c>
      <c r="S707" s="133">
        <v>1</v>
      </c>
    </row>
    <row r="708" spans="1:19">
      <c r="A708" s="85" t="s">
        <v>225</v>
      </c>
      <c r="B708" s="85">
        <v>5</v>
      </c>
      <c r="C708" s="85">
        <v>1</v>
      </c>
      <c r="D708" s="108">
        <v>1.402703391991839</v>
      </c>
      <c r="E708" s="108">
        <v>16.131089007906152</v>
      </c>
      <c r="F708" s="108">
        <v>1.032899770466716</v>
      </c>
      <c r="G708" s="108">
        <v>84.111196123437892</v>
      </c>
      <c r="H708" s="108">
        <v>98.967100229533273</v>
      </c>
      <c r="I708" s="108">
        <v>0</v>
      </c>
      <c r="J708" s="108">
        <v>0</v>
      </c>
      <c r="K708" s="108">
        <v>0</v>
      </c>
      <c r="L708" s="108">
        <v>1</v>
      </c>
      <c r="M708" s="134">
        <v>1</v>
      </c>
      <c r="N708" s="134">
        <v>43</v>
      </c>
      <c r="O708" s="134">
        <v>80000</v>
      </c>
      <c r="P708" s="133">
        <v>0</v>
      </c>
      <c r="Q708" s="133">
        <v>0</v>
      </c>
      <c r="R708" s="133">
        <v>0</v>
      </c>
      <c r="S708" s="133">
        <v>1</v>
      </c>
    </row>
    <row r="709" spans="1:19">
      <c r="A709" s="85" t="s">
        <v>225</v>
      </c>
      <c r="B709" s="85">
        <v>6</v>
      </c>
      <c r="C709" s="85">
        <v>1</v>
      </c>
      <c r="D709" s="108">
        <v>3.2007141035450162</v>
      </c>
      <c r="E709" s="108">
        <v>0.99464422341239422</v>
      </c>
      <c r="F709" s="108">
        <v>0.9181331293037498</v>
      </c>
      <c r="G709" s="108">
        <v>57.485335373629177</v>
      </c>
      <c r="H709" s="108">
        <v>37.018617699566427</v>
      </c>
      <c r="I709" s="108">
        <v>0</v>
      </c>
      <c r="J709" s="108">
        <v>0</v>
      </c>
      <c r="K709" s="108">
        <v>0</v>
      </c>
      <c r="L709" s="108">
        <v>1</v>
      </c>
      <c r="M709" s="134">
        <v>1</v>
      </c>
      <c r="N709" s="134">
        <v>43</v>
      </c>
      <c r="O709" s="134">
        <v>80000</v>
      </c>
      <c r="P709" s="133">
        <v>0</v>
      </c>
      <c r="Q709" s="133">
        <v>0</v>
      </c>
      <c r="R709" s="133">
        <v>0</v>
      </c>
      <c r="S709" s="133">
        <v>1</v>
      </c>
    </row>
    <row r="710" spans="1:19">
      <c r="A710" s="85" t="s">
        <v>225</v>
      </c>
      <c r="B710" s="85">
        <v>7</v>
      </c>
      <c r="C710" s="85">
        <v>1</v>
      </c>
      <c r="D710" s="108">
        <v>1.963784748788572</v>
      </c>
      <c r="E710" s="108">
        <v>3.0094363682733989</v>
      </c>
      <c r="F710" s="108">
        <v>0.51007396072430544</v>
      </c>
      <c r="G710" s="108">
        <v>20.67074725835246</v>
      </c>
      <c r="H710" s="108">
        <v>93.024738587095129</v>
      </c>
      <c r="I710" s="108">
        <v>0</v>
      </c>
      <c r="J710" s="108">
        <v>1</v>
      </c>
      <c r="K710" s="108">
        <v>0</v>
      </c>
      <c r="L710" s="108">
        <v>1</v>
      </c>
      <c r="M710" s="134">
        <v>1</v>
      </c>
      <c r="N710" s="134">
        <v>43</v>
      </c>
      <c r="O710" s="134">
        <v>80000</v>
      </c>
      <c r="P710" s="133">
        <v>0</v>
      </c>
      <c r="Q710" s="133">
        <v>0</v>
      </c>
      <c r="R710" s="133">
        <v>0</v>
      </c>
      <c r="S710" s="133">
        <v>1</v>
      </c>
    </row>
    <row r="711" spans="1:19">
      <c r="A711" s="85" t="s">
        <v>226</v>
      </c>
      <c r="B711" s="85">
        <v>1</v>
      </c>
      <c r="C711" s="85">
        <v>1</v>
      </c>
      <c r="D711" s="108">
        <v>87.440305635148036</v>
      </c>
      <c r="E711" s="108">
        <v>95.200573065902574</v>
      </c>
      <c r="F711" s="108">
        <v>96.883954154727789</v>
      </c>
      <c r="G711" s="108">
        <v>50</v>
      </c>
      <c r="H711" s="108">
        <v>13.72970391595033</v>
      </c>
      <c r="I711" s="108">
        <v>1</v>
      </c>
      <c r="J711" s="108">
        <v>0</v>
      </c>
      <c r="K711" s="108">
        <v>1</v>
      </c>
      <c r="L711" s="108">
        <v>1</v>
      </c>
      <c r="M711" s="134">
        <v>0</v>
      </c>
      <c r="N711" s="134">
        <v>47</v>
      </c>
      <c r="O711" s="134">
        <v>112800</v>
      </c>
      <c r="P711" s="133">
        <v>0</v>
      </c>
      <c r="Q711" s="133">
        <v>0</v>
      </c>
      <c r="R711" s="133">
        <v>1</v>
      </c>
      <c r="S711" s="133">
        <v>1</v>
      </c>
    </row>
    <row r="712" spans="1:19">
      <c r="A712" s="85" t="s">
        <v>226</v>
      </c>
      <c r="B712" s="85">
        <v>2</v>
      </c>
      <c r="C712" s="85">
        <v>1</v>
      </c>
      <c r="D712" s="108">
        <v>98.758357211079272</v>
      </c>
      <c r="E712" s="108">
        <v>87.786532951289402</v>
      </c>
      <c r="F712" s="108">
        <v>88.837153772683862</v>
      </c>
      <c r="G712" s="108">
        <v>4.071155682903532</v>
      </c>
      <c r="H712" s="108">
        <v>6.363419293218719</v>
      </c>
      <c r="I712" s="108">
        <v>0</v>
      </c>
      <c r="J712" s="108">
        <v>0</v>
      </c>
      <c r="K712" s="108">
        <v>1</v>
      </c>
      <c r="L712" s="108">
        <v>1</v>
      </c>
      <c r="M712" s="134">
        <v>0</v>
      </c>
      <c r="N712" s="134">
        <v>47</v>
      </c>
      <c r="O712" s="134">
        <v>112800</v>
      </c>
      <c r="P712" s="133">
        <v>0</v>
      </c>
      <c r="Q712" s="133">
        <v>0</v>
      </c>
      <c r="R712" s="133">
        <v>1</v>
      </c>
      <c r="S712" s="133">
        <v>1</v>
      </c>
    </row>
    <row r="713" spans="1:19">
      <c r="A713" s="85" t="s">
        <v>226</v>
      </c>
      <c r="B713" s="85">
        <v>3</v>
      </c>
      <c r="C713" s="85">
        <v>1</v>
      </c>
      <c r="D713" s="108">
        <v>96.788443170964669</v>
      </c>
      <c r="E713" s="108">
        <v>96.263132760267439</v>
      </c>
      <c r="F713" s="108">
        <v>94.878223495702002</v>
      </c>
      <c r="G713" s="108">
        <v>2.3042024832855779</v>
      </c>
      <c r="H713" s="108">
        <v>5.6112702960840473</v>
      </c>
      <c r="I713" s="108">
        <v>0</v>
      </c>
      <c r="J713" s="108">
        <v>0</v>
      </c>
      <c r="K713" s="108">
        <v>1</v>
      </c>
      <c r="L713" s="108">
        <v>1</v>
      </c>
      <c r="M713" s="134">
        <v>0</v>
      </c>
      <c r="N713" s="134">
        <v>47</v>
      </c>
      <c r="O713" s="134">
        <v>112800</v>
      </c>
      <c r="P713" s="133">
        <v>0</v>
      </c>
      <c r="Q713" s="133">
        <v>0</v>
      </c>
      <c r="R713" s="133">
        <v>1</v>
      </c>
      <c r="S713" s="133">
        <v>1</v>
      </c>
    </row>
    <row r="714" spans="1:19">
      <c r="A714" s="85" t="s">
        <v>226</v>
      </c>
      <c r="B714" s="85">
        <v>4</v>
      </c>
      <c r="C714" s="85">
        <v>1</v>
      </c>
      <c r="D714" s="108">
        <v>96.310888252148999</v>
      </c>
      <c r="E714" s="108">
        <v>88.849092645654252</v>
      </c>
      <c r="F714" s="108">
        <v>98.125596943648517</v>
      </c>
      <c r="G714" s="108">
        <v>4.1308500477554908</v>
      </c>
      <c r="H714" s="108">
        <v>5.7784145176695336</v>
      </c>
      <c r="I714" s="108">
        <v>0</v>
      </c>
      <c r="J714" s="108">
        <v>0</v>
      </c>
      <c r="K714" s="108">
        <v>1</v>
      </c>
      <c r="L714" s="108">
        <v>1</v>
      </c>
      <c r="M714" s="134">
        <v>0</v>
      </c>
      <c r="N714" s="134">
        <v>47</v>
      </c>
      <c r="O714" s="134">
        <v>112800</v>
      </c>
      <c r="P714" s="133">
        <v>0</v>
      </c>
      <c r="Q714" s="133">
        <v>0</v>
      </c>
      <c r="R714" s="133">
        <v>1</v>
      </c>
      <c r="S714" s="133">
        <v>1</v>
      </c>
    </row>
    <row r="715" spans="1:19">
      <c r="A715" s="85" t="s">
        <v>226</v>
      </c>
      <c r="B715" s="85">
        <v>5</v>
      </c>
      <c r="C715" s="85">
        <v>1</v>
      </c>
      <c r="D715" s="108">
        <v>98.149474689589297</v>
      </c>
      <c r="E715" s="108">
        <v>93.194842406876788</v>
      </c>
      <c r="F715" s="108">
        <v>99.200095510983772</v>
      </c>
      <c r="G715" s="108">
        <v>4.1427889207258817</v>
      </c>
      <c r="H715" s="108">
        <v>3.987583572110792</v>
      </c>
      <c r="I715" s="108">
        <v>0</v>
      </c>
      <c r="J715" s="108">
        <v>0</v>
      </c>
      <c r="K715" s="108">
        <v>1</v>
      </c>
      <c r="L715" s="108">
        <v>1</v>
      </c>
      <c r="M715" s="134">
        <v>0</v>
      </c>
      <c r="N715" s="134">
        <v>47</v>
      </c>
      <c r="O715" s="134">
        <v>112800</v>
      </c>
      <c r="P715" s="133">
        <v>0</v>
      </c>
      <c r="Q715" s="133">
        <v>0</v>
      </c>
      <c r="R715" s="133">
        <v>1</v>
      </c>
      <c r="S715" s="133">
        <v>1</v>
      </c>
    </row>
    <row r="716" spans="1:19">
      <c r="A716" s="85" t="s">
        <v>226</v>
      </c>
      <c r="B716" s="85">
        <v>6</v>
      </c>
      <c r="C716" s="85">
        <v>1</v>
      </c>
      <c r="D716" s="108">
        <v>98.316618911174785</v>
      </c>
      <c r="E716" s="108">
        <v>96.215377268385865</v>
      </c>
      <c r="F716" s="108">
        <v>87.96561604584528</v>
      </c>
      <c r="G716" s="108">
        <v>3.7846227316141339</v>
      </c>
      <c r="H716" s="108">
        <v>6.0052531041069734</v>
      </c>
      <c r="I716" s="108">
        <v>0</v>
      </c>
      <c r="J716" s="108">
        <v>0</v>
      </c>
      <c r="K716" s="108">
        <v>1</v>
      </c>
      <c r="L716" s="108">
        <v>1</v>
      </c>
      <c r="M716" s="134">
        <v>0</v>
      </c>
      <c r="N716" s="134">
        <v>47</v>
      </c>
      <c r="O716" s="134">
        <v>112800</v>
      </c>
      <c r="P716" s="133">
        <v>0</v>
      </c>
      <c r="Q716" s="133">
        <v>0</v>
      </c>
      <c r="R716" s="133">
        <v>1</v>
      </c>
      <c r="S716" s="133">
        <v>1</v>
      </c>
    </row>
    <row r="717" spans="1:19">
      <c r="A717" s="85" t="s">
        <v>226</v>
      </c>
      <c r="B717" s="85">
        <v>7</v>
      </c>
      <c r="C717" s="85">
        <v>1</v>
      </c>
      <c r="D717" s="108">
        <v>99.152340019102198</v>
      </c>
      <c r="E717" s="108">
        <v>100</v>
      </c>
      <c r="F717" s="108">
        <v>99.152340019102198</v>
      </c>
      <c r="G717" s="108">
        <v>3.6055396370582642</v>
      </c>
      <c r="H717" s="108">
        <v>3.545845272206305</v>
      </c>
      <c r="I717" s="108">
        <v>0</v>
      </c>
      <c r="J717" s="108">
        <v>1</v>
      </c>
      <c r="K717" s="108">
        <v>1</v>
      </c>
      <c r="L717" s="108">
        <v>1</v>
      </c>
      <c r="M717" s="134">
        <v>0</v>
      </c>
      <c r="N717" s="134">
        <v>47</v>
      </c>
      <c r="O717" s="134">
        <v>112800</v>
      </c>
      <c r="P717" s="133">
        <v>0</v>
      </c>
      <c r="Q717" s="133">
        <v>0</v>
      </c>
      <c r="R717" s="133">
        <v>1</v>
      </c>
      <c r="S717" s="133">
        <v>1</v>
      </c>
    </row>
    <row r="718" spans="1:19">
      <c r="A718" s="85" t="s">
        <v>227</v>
      </c>
      <c r="B718" s="85">
        <v>3</v>
      </c>
      <c r="C718" s="85">
        <v>1</v>
      </c>
      <c r="D718" s="108">
        <v>94.570593525179859</v>
      </c>
      <c r="E718" s="108">
        <v>93.997302158273371</v>
      </c>
      <c r="F718" s="108">
        <v>92.209982014388487</v>
      </c>
      <c r="G718" s="108">
        <v>79.462679856115102</v>
      </c>
      <c r="H718" s="108">
        <v>50</v>
      </c>
      <c r="I718" s="108">
        <v>0</v>
      </c>
      <c r="J718" s="108">
        <v>0</v>
      </c>
      <c r="K718" s="108">
        <v>1</v>
      </c>
      <c r="L718" s="108">
        <v>1</v>
      </c>
      <c r="M718" s="134">
        <v>1</v>
      </c>
      <c r="N718" s="134">
        <v>38</v>
      </c>
      <c r="O718" s="134">
        <v>48000</v>
      </c>
      <c r="P718" s="133">
        <v>0</v>
      </c>
      <c r="Q718" s="133">
        <v>0</v>
      </c>
      <c r="R718" s="133">
        <v>1</v>
      </c>
      <c r="S718" s="133">
        <v>1</v>
      </c>
    </row>
    <row r="719" spans="1:19">
      <c r="A719" s="85" t="s">
        <v>228</v>
      </c>
      <c r="B719" s="85">
        <v>2</v>
      </c>
      <c r="C719" s="85">
        <v>1</v>
      </c>
      <c r="D719" s="108">
        <v>50</v>
      </c>
      <c r="E719" s="108">
        <v>93.879968412740197</v>
      </c>
      <c r="F719" s="108">
        <v>73.94051066070017</v>
      </c>
      <c r="G719" s="108">
        <v>39.918399578836542</v>
      </c>
      <c r="H719" s="108">
        <v>50</v>
      </c>
      <c r="I719" s="108">
        <v>0</v>
      </c>
      <c r="J719" s="108">
        <v>0</v>
      </c>
      <c r="K719" s="108">
        <v>1</v>
      </c>
      <c r="L719" s="108">
        <v>1</v>
      </c>
      <c r="M719" s="134">
        <v>1</v>
      </c>
      <c r="N719" s="134">
        <v>62</v>
      </c>
      <c r="O719" s="134">
        <v>70000</v>
      </c>
      <c r="P719" s="133">
        <v>0</v>
      </c>
      <c r="Q719" s="133">
        <v>0</v>
      </c>
      <c r="R719" s="133">
        <v>0</v>
      </c>
      <c r="S719" s="133">
        <v>1</v>
      </c>
    </row>
    <row r="720" spans="1:19">
      <c r="A720" s="85" t="s">
        <v>228</v>
      </c>
      <c r="B720" s="85">
        <v>3</v>
      </c>
      <c r="C720" s="85">
        <v>1</v>
      </c>
      <c r="D720" s="108">
        <v>12.70071071334562</v>
      </c>
      <c r="E720" s="108">
        <v>3.2640168465385639</v>
      </c>
      <c r="F720" s="108">
        <v>50</v>
      </c>
      <c r="G720" s="108">
        <v>0</v>
      </c>
      <c r="H720" s="108">
        <v>0.40800210581731777</v>
      </c>
      <c r="I720" s="108">
        <v>0</v>
      </c>
      <c r="J720" s="108">
        <v>0</v>
      </c>
      <c r="K720" s="108">
        <v>0</v>
      </c>
      <c r="L720" s="108">
        <v>1</v>
      </c>
      <c r="M720" s="134">
        <v>1</v>
      </c>
      <c r="N720" s="134">
        <v>62</v>
      </c>
      <c r="O720" s="134">
        <v>70000</v>
      </c>
      <c r="P720" s="133">
        <v>0</v>
      </c>
      <c r="Q720" s="133">
        <v>0</v>
      </c>
      <c r="R720" s="133">
        <v>0</v>
      </c>
      <c r="S720" s="133">
        <v>1</v>
      </c>
    </row>
    <row r="721" spans="1:19">
      <c r="A721" s="85" t="s">
        <v>228</v>
      </c>
      <c r="B721" s="85">
        <v>4</v>
      </c>
      <c r="C721" s="85">
        <v>1</v>
      </c>
      <c r="D721" s="108">
        <v>15.95156620163201</v>
      </c>
      <c r="E721" s="108">
        <v>23.53250855488286</v>
      </c>
      <c r="F721" s="108">
        <v>11.37141352987628</v>
      </c>
      <c r="G721" s="108">
        <v>89.273493024480132</v>
      </c>
      <c r="H721" s="108">
        <v>2.6059489339299802</v>
      </c>
      <c r="I721" s="108">
        <v>0</v>
      </c>
      <c r="J721" s="108">
        <v>0</v>
      </c>
      <c r="K721" s="108">
        <v>0</v>
      </c>
      <c r="L721" s="108">
        <v>1</v>
      </c>
      <c r="M721" s="134">
        <v>1</v>
      </c>
      <c r="N721" s="134">
        <v>62</v>
      </c>
      <c r="O721" s="134">
        <v>70000</v>
      </c>
      <c r="P721" s="133">
        <v>0</v>
      </c>
      <c r="Q721" s="133">
        <v>0</v>
      </c>
      <c r="R721" s="133">
        <v>0</v>
      </c>
      <c r="S721" s="133">
        <v>1</v>
      </c>
    </row>
    <row r="722" spans="1:19">
      <c r="A722" s="85" t="s">
        <v>228</v>
      </c>
      <c r="B722" s="85">
        <v>5</v>
      </c>
      <c r="C722" s="85">
        <v>1</v>
      </c>
      <c r="D722" s="108">
        <v>6.1200315872598052</v>
      </c>
      <c r="E722" s="108">
        <v>16.24111608317979</v>
      </c>
      <c r="F722" s="108">
        <v>4.6064753882600673</v>
      </c>
      <c r="G722" s="108">
        <v>71.689918399578829</v>
      </c>
      <c r="H722" s="108">
        <v>98.065280336930769</v>
      </c>
      <c r="I722" s="108">
        <v>0</v>
      </c>
      <c r="J722" s="108">
        <v>0</v>
      </c>
      <c r="K722" s="108">
        <v>0</v>
      </c>
      <c r="L722" s="108">
        <v>1</v>
      </c>
      <c r="M722" s="134">
        <v>1</v>
      </c>
      <c r="N722" s="134">
        <v>62</v>
      </c>
      <c r="O722" s="134">
        <v>70000</v>
      </c>
      <c r="P722" s="133">
        <v>0</v>
      </c>
      <c r="Q722" s="133">
        <v>0</v>
      </c>
      <c r="R722" s="133">
        <v>0</v>
      </c>
      <c r="S722" s="133">
        <v>1</v>
      </c>
    </row>
    <row r="723" spans="1:19">
      <c r="A723" s="85" t="s">
        <v>228</v>
      </c>
      <c r="B723" s="85">
        <v>6</v>
      </c>
      <c r="C723" s="85">
        <v>1</v>
      </c>
      <c r="D723" s="108">
        <v>17.09660436957094</v>
      </c>
      <c r="E723" s="108">
        <v>2.8823374572255869</v>
      </c>
      <c r="F723" s="108">
        <v>19.49197157146617</v>
      </c>
      <c r="G723" s="108">
        <v>93.261384574888126</v>
      </c>
      <c r="H723" s="108">
        <v>83.772045275072387</v>
      </c>
      <c r="I723" s="108">
        <v>0</v>
      </c>
      <c r="J723" s="108">
        <v>0</v>
      </c>
      <c r="K723" s="108">
        <v>0</v>
      </c>
      <c r="L723" s="108">
        <v>1</v>
      </c>
      <c r="M723" s="134">
        <v>1</v>
      </c>
      <c r="N723" s="134">
        <v>62</v>
      </c>
      <c r="O723" s="134">
        <v>70000</v>
      </c>
      <c r="P723" s="133">
        <v>0</v>
      </c>
      <c r="Q723" s="133">
        <v>0</v>
      </c>
      <c r="R723" s="133">
        <v>0</v>
      </c>
      <c r="S723" s="133">
        <v>1</v>
      </c>
    </row>
    <row r="724" spans="1:19">
      <c r="A724" s="85" t="s">
        <v>228</v>
      </c>
      <c r="B724" s="85">
        <v>7</v>
      </c>
      <c r="C724" s="85">
        <v>1</v>
      </c>
      <c r="D724" s="108">
        <v>0.19742037378257529</v>
      </c>
      <c r="E724" s="108">
        <v>28.731245064490661</v>
      </c>
      <c r="F724" s="108">
        <v>6.5411950513292956</v>
      </c>
      <c r="G724" s="108">
        <v>70.597525664648586</v>
      </c>
      <c r="H724" s="108">
        <v>99.802579626217423</v>
      </c>
      <c r="I724" s="108">
        <v>0</v>
      </c>
      <c r="J724" s="108">
        <v>1</v>
      </c>
      <c r="K724" s="108">
        <v>0</v>
      </c>
      <c r="L724" s="108">
        <v>1</v>
      </c>
      <c r="M724" s="134">
        <v>1</v>
      </c>
      <c r="N724" s="134">
        <v>62</v>
      </c>
      <c r="O724" s="134">
        <v>70000</v>
      </c>
      <c r="P724" s="133">
        <v>0</v>
      </c>
      <c r="Q724" s="133">
        <v>0</v>
      </c>
      <c r="R724" s="133">
        <v>0</v>
      </c>
      <c r="S724" s="133">
        <v>1</v>
      </c>
    </row>
    <row r="725" spans="1:19">
      <c r="A725" s="85" t="s">
        <v>229</v>
      </c>
      <c r="B725" s="85">
        <v>2</v>
      </c>
      <c r="C725" s="85">
        <v>1</v>
      </c>
      <c r="D725" s="108">
        <v>2.1945729648618242</v>
      </c>
      <c r="E725" s="108">
        <v>0</v>
      </c>
      <c r="F725" s="108">
        <v>14.99937476553708</v>
      </c>
      <c r="G725" s="108">
        <v>99.381017881705631</v>
      </c>
      <c r="H725" s="108">
        <v>20.726522445917219</v>
      </c>
      <c r="I725" s="108">
        <v>0</v>
      </c>
      <c r="J725" s="108">
        <v>0</v>
      </c>
      <c r="K725" s="108">
        <v>0</v>
      </c>
      <c r="L725" s="108">
        <v>1</v>
      </c>
      <c r="M725" s="134">
        <v>1</v>
      </c>
      <c r="N725" s="134">
        <v>24</v>
      </c>
      <c r="O725" s="134">
        <v>-99</v>
      </c>
      <c r="P725" s="133">
        <v>0</v>
      </c>
      <c r="Q725" s="133">
        <v>0</v>
      </c>
      <c r="R725" s="133">
        <v>0</v>
      </c>
      <c r="S725" s="133">
        <v>0</v>
      </c>
    </row>
    <row r="726" spans="1:19">
      <c r="A726" s="85" t="s">
        <v>229</v>
      </c>
      <c r="B726" s="85">
        <v>4</v>
      </c>
      <c r="C726" s="85">
        <v>1</v>
      </c>
      <c r="D726" s="108">
        <v>3.432537201450542</v>
      </c>
      <c r="E726" s="108">
        <v>5.9397273977741634</v>
      </c>
      <c r="F726" s="108">
        <v>2.1883206202325871</v>
      </c>
      <c r="G726" s="108">
        <v>89.052144554207828</v>
      </c>
      <c r="H726" s="108">
        <v>97.599099662373391</v>
      </c>
      <c r="I726" s="108">
        <v>0</v>
      </c>
      <c r="J726" s="108">
        <v>0</v>
      </c>
      <c r="K726" s="108">
        <v>0</v>
      </c>
      <c r="L726" s="108">
        <v>1</v>
      </c>
      <c r="M726" s="134">
        <v>1</v>
      </c>
      <c r="N726" s="134">
        <v>24</v>
      </c>
      <c r="O726" s="134">
        <v>-99</v>
      </c>
      <c r="P726" s="133">
        <v>0</v>
      </c>
      <c r="Q726" s="133">
        <v>0</v>
      </c>
      <c r="R726" s="133">
        <v>0</v>
      </c>
      <c r="S726" s="133">
        <v>0</v>
      </c>
    </row>
    <row r="727" spans="1:19">
      <c r="A727" s="85" t="s">
        <v>229</v>
      </c>
      <c r="B727" s="85">
        <v>5</v>
      </c>
      <c r="C727" s="85">
        <v>1</v>
      </c>
      <c r="D727" s="108">
        <v>3.2137051394272871</v>
      </c>
      <c r="E727" s="108">
        <v>0.3063648868325608</v>
      </c>
      <c r="F727" s="108">
        <v>7.108915843441288</v>
      </c>
      <c r="G727" s="108">
        <v>97.424034012754788</v>
      </c>
      <c r="H727" s="108">
        <v>6.0522696011004129</v>
      </c>
      <c r="I727" s="108">
        <v>0</v>
      </c>
      <c r="J727" s="108">
        <v>0</v>
      </c>
      <c r="K727" s="108">
        <v>0</v>
      </c>
      <c r="L727" s="108">
        <v>1</v>
      </c>
      <c r="M727" s="134">
        <v>1</v>
      </c>
      <c r="N727" s="134">
        <v>24</v>
      </c>
      <c r="O727" s="134">
        <v>-99</v>
      </c>
      <c r="P727" s="133">
        <v>0</v>
      </c>
      <c r="Q727" s="133">
        <v>0</v>
      </c>
      <c r="R727" s="133">
        <v>0</v>
      </c>
      <c r="S727" s="133">
        <v>0</v>
      </c>
    </row>
    <row r="728" spans="1:19">
      <c r="A728" s="85" t="s">
        <v>229</v>
      </c>
      <c r="B728" s="85">
        <v>7</v>
      </c>
      <c r="C728" s="85">
        <v>1</v>
      </c>
      <c r="D728" s="108">
        <v>12.378048780487809</v>
      </c>
      <c r="E728" s="108">
        <v>50</v>
      </c>
      <c r="F728" s="108">
        <v>85.365853658536579</v>
      </c>
      <c r="G728" s="108">
        <v>92.707317073170728</v>
      </c>
      <c r="H728" s="108">
        <v>3.0731707317073198</v>
      </c>
      <c r="I728" s="108">
        <v>0</v>
      </c>
      <c r="J728" s="108">
        <v>1</v>
      </c>
      <c r="K728" s="108">
        <v>0</v>
      </c>
      <c r="L728" s="108">
        <v>1</v>
      </c>
      <c r="M728" s="134">
        <v>1</v>
      </c>
      <c r="N728" s="134">
        <v>24</v>
      </c>
      <c r="O728" s="134">
        <v>-99</v>
      </c>
      <c r="P728" s="133">
        <v>0</v>
      </c>
      <c r="Q728" s="133">
        <v>0</v>
      </c>
      <c r="R728" s="133">
        <v>0</v>
      </c>
      <c r="S728" s="133">
        <v>0</v>
      </c>
    </row>
    <row r="729" spans="1:19">
      <c r="A729" s="85" t="s">
        <v>230</v>
      </c>
      <c r="B729" s="85">
        <v>1</v>
      </c>
      <c r="C729" s="85">
        <v>1</v>
      </c>
      <c r="D729" s="108">
        <v>50</v>
      </c>
      <c r="E729" s="108">
        <v>50</v>
      </c>
      <c r="F729" s="108">
        <v>99.358638743455501</v>
      </c>
      <c r="G729" s="108">
        <v>41.099476439790578</v>
      </c>
      <c r="H729" s="108">
        <v>10.641361256544499</v>
      </c>
      <c r="I729" s="108">
        <v>1</v>
      </c>
      <c r="J729" s="108">
        <v>0</v>
      </c>
      <c r="K729" s="108">
        <v>1</v>
      </c>
      <c r="L729" s="108">
        <v>1</v>
      </c>
      <c r="M729" s="134">
        <v>0</v>
      </c>
      <c r="N729" s="134">
        <v>45</v>
      </c>
      <c r="O729" s="134">
        <v>80000</v>
      </c>
      <c r="P729" s="133">
        <v>1</v>
      </c>
      <c r="Q729" s="133">
        <v>0</v>
      </c>
      <c r="R729" s="133">
        <v>1</v>
      </c>
      <c r="S729" s="133">
        <v>0</v>
      </c>
    </row>
    <row r="730" spans="1:19">
      <c r="A730" s="85" t="s">
        <v>230</v>
      </c>
      <c r="B730" s="85">
        <v>2</v>
      </c>
      <c r="C730" s="85">
        <v>1</v>
      </c>
      <c r="D730" s="108">
        <v>50</v>
      </c>
      <c r="E730" s="108">
        <v>50</v>
      </c>
      <c r="F730" s="108">
        <v>6.9371727748691114</v>
      </c>
      <c r="G730" s="108">
        <v>77.827225130890056</v>
      </c>
      <c r="H730" s="108">
        <v>95.876963350785331</v>
      </c>
      <c r="I730" s="108">
        <v>0</v>
      </c>
      <c r="J730" s="108">
        <v>0</v>
      </c>
      <c r="K730" s="108">
        <v>0</v>
      </c>
      <c r="L730" s="108">
        <v>1</v>
      </c>
      <c r="M730" s="134">
        <v>0</v>
      </c>
      <c r="N730" s="134">
        <v>45</v>
      </c>
      <c r="O730" s="134">
        <v>80000</v>
      </c>
      <c r="P730" s="133">
        <v>1</v>
      </c>
      <c r="Q730" s="133">
        <v>0</v>
      </c>
      <c r="R730" s="133">
        <v>1</v>
      </c>
      <c r="S730" s="133">
        <v>0</v>
      </c>
    </row>
    <row r="731" spans="1:19">
      <c r="A731" s="85" t="s">
        <v>230</v>
      </c>
      <c r="B731" s="85">
        <v>3</v>
      </c>
      <c r="C731" s="85">
        <v>1</v>
      </c>
      <c r="D731" s="108">
        <v>87.814136125654457</v>
      </c>
      <c r="E731" s="108">
        <v>100</v>
      </c>
      <c r="F731" s="108">
        <v>99.3848167539267</v>
      </c>
      <c r="G731" s="108">
        <v>50</v>
      </c>
      <c r="H731" s="108">
        <v>5.6675392670157088</v>
      </c>
      <c r="I731" s="108">
        <v>0</v>
      </c>
      <c r="J731" s="108">
        <v>0</v>
      </c>
      <c r="K731" s="108">
        <v>1</v>
      </c>
      <c r="L731" s="108">
        <v>1</v>
      </c>
      <c r="M731" s="134">
        <v>0</v>
      </c>
      <c r="N731" s="134">
        <v>45</v>
      </c>
      <c r="O731" s="134">
        <v>80000</v>
      </c>
      <c r="P731" s="133">
        <v>1</v>
      </c>
      <c r="Q731" s="133">
        <v>0</v>
      </c>
      <c r="R731" s="133">
        <v>1</v>
      </c>
      <c r="S731" s="133">
        <v>0</v>
      </c>
    </row>
    <row r="732" spans="1:19">
      <c r="A732" s="85" t="s">
        <v>230</v>
      </c>
      <c r="B732" s="85">
        <v>4</v>
      </c>
      <c r="C732" s="85">
        <v>1</v>
      </c>
      <c r="D732" s="108">
        <v>50</v>
      </c>
      <c r="E732" s="108">
        <v>95.222513089005233</v>
      </c>
      <c r="F732" s="108">
        <v>76.950261780104711</v>
      </c>
      <c r="G732" s="108">
        <v>60.654450261780113</v>
      </c>
      <c r="H732" s="108">
        <v>50</v>
      </c>
      <c r="I732" s="108">
        <v>0</v>
      </c>
      <c r="J732" s="108">
        <v>0</v>
      </c>
      <c r="K732" s="108">
        <v>1</v>
      </c>
      <c r="L732" s="108">
        <v>1</v>
      </c>
      <c r="M732" s="134">
        <v>0</v>
      </c>
      <c r="N732" s="134">
        <v>45</v>
      </c>
      <c r="O732" s="134">
        <v>80000</v>
      </c>
      <c r="P732" s="133">
        <v>1</v>
      </c>
      <c r="Q732" s="133">
        <v>0</v>
      </c>
      <c r="R732" s="133">
        <v>1</v>
      </c>
      <c r="S732" s="133">
        <v>0</v>
      </c>
    </row>
    <row r="733" spans="1:19">
      <c r="A733" s="85" t="s">
        <v>230</v>
      </c>
      <c r="B733" s="85">
        <v>5</v>
      </c>
      <c r="C733" s="85">
        <v>1</v>
      </c>
      <c r="D733" s="108">
        <v>22.408376963350779</v>
      </c>
      <c r="E733" s="108">
        <v>22.408376963350779</v>
      </c>
      <c r="F733" s="108">
        <v>4.7643979057591599</v>
      </c>
      <c r="G733" s="108">
        <v>69.123036649214669</v>
      </c>
      <c r="H733" s="108">
        <v>73.900523560209422</v>
      </c>
      <c r="I733" s="108">
        <v>0</v>
      </c>
      <c r="J733" s="108">
        <v>0</v>
      </c>
      <c r="K733" s="108">
        <v>0</v>
      </c>
      <c r="L733" s="108">
        <v>1</v>
      </c>
      <c r="M733" s="134">
        <v>0</v>
      </c>
      <c r="N733" s="134">
        <v>45</v>
      </c>
      <c r="O733" s="134">
        <v>80000</v>
      </c>
      <c r="P733" s="133">
        <v>1</v>
      </c>
      <c r="Q733" s="133">
        <v>0</v>
      </c>
      <c r="R733" s="133">
        <v>1</v>
      </c>
      <c r="S733" s="133">
        <v>0</v>
      </c>
    </row>
    <row r="734" spans="1:19">
      <c r="A734" s="85" t="s">
        <v>230</v>
      </c>
      <c r="B734" s="85">
        <v>7</v>
      </c>
      <c r="C734" s="85">
        <v>1</v>
      </c>
      <c r="D734" s="108">
        <v>4.1492146596858621</v>
      </c>
      <c r="E734" s="108">
        <v>9.3455497382198942</v>
      </c>
      <c r="F734" s="108">
        <v>13.91361256544503</v>
      </c>
      <c r="G734" s="108">
        <v>81.099476439790578</v>
      </c>
      <c r="H734" s="108">
        <v>50</v>
      </c>
      <c r="I734" s="108">
        <v>0</v>
      </c>
      <c r="J734" s="108">
        <v>1</v>
      </c>
      <c r="K734" s="108">
        <v>0</v>
      </c>
      <c r="L734" s="108">
        <v>1</v>
      </c>
      <c r="M734" s="134">
        <v>0</v>
      </c>
      <c r="N734" s="134">
        <v>45</v>
      </c>
      <c r="O734" s="134">
        <v>80000</v>
      </c>
      <c r="P734" s="133">
        <v>1</v>
      </c>
      <c r="Q734" s="133">
        <v>0</v>
      </c>
      <c r="R734" s="133">
        <v>1</v>
      </c>
      <c r="S734" s="133">
        <v>0</v>
      </c>
    </row>
    <row r="735" spans="1:19">
      <c r="A735" s="85" t="s">
        <v>231</v>
      </c>
      <c r="B735" s="85">
        <v>1</v>
      </c>
      <c r="C735" s="85">
        <v>1</v>
      </c>
      <c r="D735" s="108">
        <v>50</v>
      </c>
      <c r="E735" s="108">
        <v>92.046770085667973</v>
      </c>
      <c r="F735" s="108">
        <v>94.732576985413289</v>
      </c>
      <c r="G735" s="108">
        <v>6.019912016670526</v>
      </c>
      <c r="H735" s="108">
        <v>8.1384579763834228</v>
      </c>
      <c r="I735" s="108">
        <v>1</v>
      </c>
      <c r="J735" s="108">
        <v>0</v>
      </c>
      <c r="K735" s="108">
        <v>1</v>
      </c>
      <c r="L735" s="108">
        <v>1</v>
      </c>
      <c r="M735" s="134">
        <v>1</v>
      </c>
      <c r="N735" s="134">
        <v>32</v>
      </c>
      <c r="O735" s="134">
        <v>75000</v>
      </c>
      <c r="P735" s="133">
        <v>1</v>
      </c>
      <c r="Q735" s="133">
        <v>0</v>
      </c>
      <c r="R735" s="133">
        <v>1</v>
      </c>
      <c r="S735" s="133">
        <v>1</v>
      </c>
    </row>
    <row r="736" spans="1:19">
      <c r="A736" s="85" t="s">
        <v>231</v>
      </c>
      <c r="B736" s="85">
        <v>2</v>
      </c>
      <c r="C736" s="85">
        <v>1</v>
      </c>
      <c r="D736" s="108">
        <v>97.45311414679324</v>
      </c>
      <c r="E736" s="108">
        <v>95.612410280157448</v>
      </c>
      <c r="F736" s="108">
        <v>97.256309330863616</v>
      </c>
      <c r="G736" s="108">
        <v>6.7608242648761312</v>
      </c>
      <c r="H736" s="108">
        <v>4.3297059504514959</v>
      </c>
      <c r="I736" s="108">
        <v>0</v>
      </c>
      <c r="J736" s="108">
        <v>0</v>
      </c>
      <c r="K736" s="108">
        <v>1</v>
      </c>
      <c r="L736" s="108">
        <v>1</v>
      </c>
      <c r="M736" s="134">
        <v>1</v>
      </c>
      <c r="N736" s="134">
        <v>32</v>
      </c>
      <c r="O736" s="134">
        <v>75000</v>
      </c>
      <c r="P736" s="133">
        <v>1</v>
      </c>
      <c r="Q736" s="133">
        <v>0</v>
      </c>
      <c r="R736" s="133">
        <v>1</v>
      </c>
      <c r="S736" s="133">
        <v>1</v>
      </c>
    </row>
    <row r="737" spans="1:19">
      <c r="A737" s="85" t="s">
        <v>231</v>
      </c>
      <c r="B737" s="85">
        <v>3</v>
      </c>
      <c r="C737" s="85">
        <v>1</v>
      </c>
      <c r="D737" s="108">
        <v>100</v>
      </c>
      <c r="E737" s="108">
        <v>94.836767770317195</v>
      </c>
      <c r="F737" s="108">
        <v>92.787682333873576</v>
      </c>
      <c r="G737" s="108">
        <v>3.6003704561241019</v>
      </c>
      <c r="H737" s="108">
        <v>3.7855985181755041</v>
      </c>
      <c r="I737" s="108">
        <v>0</v>
      </c>
      <c r="J737" s="108">
        <v>0</v>
      </c>
      <c r="K737" s="108">
        <v>1</v>
      </c>
      <c r="L737" s="108">
        <v>1</v>
      </c>
      <c r="M737" s="134">
        <v>1</v>
      </c>
      <c r="N737" s="134">
        <v>32</v>
      </c>
      <c r="O737" s="134">
        <v>75000</v>
      </c>
      <c r="P737" s="133">
        <v>1</v>
      </c>
      <c r="Q737" s="133">
        <v>0</v>
      </c>
      <c r="R737" s="133">
        <v>1</v>
      </c>
      <c r="S737" s="133">
        <v>1</v>
      </c>
    </row>
    <row r="738" spans="1:19">
      <c r="A738" s="85" t="s">
        <v>231</v>
      </c>
      <c r="B738" s="85">
        <v>4</v>
      </c>
      <c r="C738" s="85">
        <v>1</v>
      </c>
      <c r="D738" s="108">
        <v>95.380875202593202</v>
      </c>
      <c r="E738" s="108">
        <v>97.696225978235702</v>
      </c>
      <c r="F738" s="108">
        <v>97.788840009261406</v>
      </c>
      <c r="G738" s="108">
        <v>4.5265107663811088</v>
      </c>
      <c r="H738" s="108">
        <v>6.274600601991204</v>
      </c>
      <c r="I738" s="108">
        <v>0</v>
      </c>
      <c r="J738" s="108">
        <v>0</v>
      </c>
      <c r="K738" s="108">
        <v>1</v>
      </c>
      <c r="L738" s="108">
        <v>1</v>
      </c>
      <c r="M738" s="134">
        <v>1</v>
      </c>
      <c r="N738" s="134">
        <v>32</v>
      </c>
      <c r="O738" s="134">
        <v>75000</v>
      </c>
      <c r="P738" s="133">
        <v>1</v>
      </c>
      <c r="Q738" s="133">
        <v>0</v>
      </c>
      <c r="R738" s="133">
        <v>1</v>
      </c>
      <c r="S738" s="133">
        <v>1</v>
      </c>
    </row>
    <row r="739" spans="1:19">
      <c r="A739" s="85" t="s">
        <v>231</v>
      </c>
      <c r="B739" s="85">
        <v>5</v>
      </c>
      <c r="C739" s="85">
        <v>1</v>
      </c>
      <c r="D739" s="108">
        <v>90.541792081500347</v>
      </c>
      <c r="E739" s="108">
        <v>90.657559620282484</v>
      </c>
      <c r="F739" s="108">
        <v>96.990043991664734</v>
      </c>
      <c r="G739" s="108">
        <v>3.8203287798101391</v>
      </c>
      <c r="H739" s="108">
        <v>14.42463533225283</v>
      </c>
      <c r="I739" s="108">
        <v>0</v>
      </c>
      <c r="J739" s="108">
        <v>0</v>
      </c>
      <c r="K739" s="108">
        <v>1</v>
      </c>
      <c r="L739" s="108">
        <v>1</v>
      </c>
      <c r="M739" s="134">
        <v>1</v>
      </c>
      <c r="N739" s="134">
        <v>32</v>
      </c>
      <c r="O739" s="134">
        <v>75000</v>
      </c>
      <c r="P739" s="133">
        <v>1</v>
      </c>
      <c r="Q739" s="133">
        <v>0</v>
      </c>
      <c r="R739" s="133">
        <v>1</v>
      </c>
      <c r="S739" s="133">
        <v>1</v>
      </c>
    </row>
    <row r="740" spans="1:19">
      <c r="A740" s="85" t="s">
        <v>231</v>
      </c>
      <c r="B740" s="85">
        <v>6</v>
      </c>
      <c r="C740" s="85">
        <v>1</v>
      </c>
      <c r="D740" s="108">
        <v>83.630470016207454</v>
      </c>
      <c r="E740" s="108">
        <v>97.615188701088201</v>
      </c>
      <c r="F740" s="108">
        <v>90.56494558925678</v>
      </c>
      <c r="G740" s="108">
        <v>18.04815929613336</v>
      </c>
      <c r="H740" s="108">
        <v>4.9201203982403356</v>
      </c>
      <c r="I740" s="108">
        <v>0</v>
      </c>
      <c r="J740" s="108">
        <v>0</v>
      </c>
      <c r="K740" s="108">
        <v>1</v>
      </c>
      <c r="L740" s="108">
        <v>1</v>
      </c>
      <c r="M740" s="134">
        <v>1</v>
      </c>
      <c r="N740" s="134">
        <v>32</v>
      </c>
      <c r="O740" s="134">
        <v>75000</v>
      </c>
      <c r="P740" s="133">
        <v>1</v>
      </c>
      <c r="Q740" s="133">
        <v>0</v>
      </c>
      <c r="R740" s="133">
        <v>1</v>
      </c>
      <c r="S740" s="133">
        <v>1</v>
      </c>
    </row>
    <row r="741" spans="1:19">
      <c r="A741" s="85" t="s">
        <v>231</v>
      </c>
      <c r="B741" s="85">
        <v>7</v>
      </c>
      <c r="C741" s="85">
        <v>1</v>
      </c>
      <c r="D741" s="108">
        <v>95.936559388747384</v>
      </c>
      <c r="E741" s="108">
        <v>98.356100949293818</v>
      </c>
      <c r="F741" s="108">
        <v>6.274600601991204</v>
      </c>
      <c r="G741" s="108">
        <v>4.0634406112526058</v>
      </c>
      <c r="H741" s="108">
        <v>4.5380875202593209</v>
      </c>
      <c r="I741" s="108">
        <v>0</v>
      </c>
      <c r="J741" s="108">
        <v>1</v>
      </c>
      <c r="K741" s="108">
        <v>1</v>
      </c>
      <c r="L741" s="108">
        <v>1</v>
      </c>
      <c r="M741" s="134">
        <v>1</v>
      </c>
      <c r="N741" s="134">
        <v>32</v>
      </c>
      <c r="O741" s="134">
        <v>75000</v>
      </c>
      <c r="P741" s="133">
        <v>1</v>
      </c>
      <c r="Q741" s="133">
        <v>0</v>
      </c>
      <c r="R741" s="133">
        <v>1</v>
      </c>
      <c r="S741" s="133">
        <v>1</v>
      </c>
    </row>
    <row r="742" spans="1:19">
      <c r="A742" s="85" t="s">
        <v>232</v>
      </c>
      <c r="B742" s="85">
        <v>1</v>
      </c>
      <c r="C742" s="85">
        <v>1</v>
      </c>
      <c r="D742" s="108">
        <v>19.42438402718777</v>
      </c>
      <c r="E742" s="108">
        <v>16.217077315208151</v>
      </c>
      <c r="F742" s="108">
        <v>11.0875106202209</v>
      </c>
      <c r="G742" s="108">
        <v>86.958368734069666</v>
      </c>
      <c r="H742" s="108">
        <v>50</v>
      </c>
      <c r="I742" s="108">
        <v>1</v>
      </c>
      <c r="J742" s="108">
        <v>0</v>
      </c>
      <c r="K742" s="108">
        <v>0</v>
      </c>
      <c r="L742" s="108">
        <v>1</v>
      </c>
      <c r="M742" s="134">
        <v>0</v>
      </c>
      <c r="N742" s="134">
        <v>41</v>
      </c>
      <c r="O742" s="134">
        <v>80000</v>
      </c>
      <c r="P742" s="133">
        <v>1</v>
      </c>
      <c r="Q742" s="133">
        <v>0</v>
      </c>
      <c r="R742" s="133">
        <v>1</v>
      </c>
      <c r="S742" s="133">
        <v>1</v>
      </c>
    </row>
    <row r="743" spans="1:19">
      <c r="A743" s="85" t="s">
        <v>232</v>
      </c>
      <c r="B743" s="85">
        <v>2</v>
      </c>
      <c r="C743" s="85">
        <v>1</v>
      </c>
      <c r="D743" s="108">
        <v>10.37595581988105</v>
      </c>
      <c r="E743" s="108">
        <v>10.11045029736619</v>
      </c>
      <c r="F743" s="108">
        <v>11.799065420560749</v>
      </c>
      <c r="G743" s="108">
        <v>84.919286321155482</v>
      </c>
      <c r="H743" s="108">
        <v>25.637213254035689</v>
      </c>
      <c r="I743" s="108">
        <v>0</v>
      </c>
      <c r="J743" s="108">
        <v>0</v>
      </c>
      <c r="K743" s="108">
        <v>0</v>
      </c>
      <c r="L743" s="108">
        <v>1</v>
      </c>
      <c r="M743" s="134">
        <v>0</v>
      </c>
      <c r="N743" s="134">
        <v>41</v>
      </c>
      <c r="O743" s="134">
        <v>80000</v>
      </c>
      <c r="P743" s="133">
        <v>1</v>
      </c>
      <c r="Q743" s="133">
        <v>0</v>
      </c>
      <c r="R743" s="133">
        <v>1</v>
      </c>
      <c r="S743" s="133">
        <v>1</v>
      </c>
    </row>
    <row r="744" spans="1:19">
      <c r="A744" s="85" t="s">
        <v>232</v>
      </c>
      <c r="B744" s="85">
        <v>3</v>
      </c>
      <c r="C744" s="85">
        <v>1</v>
      </c>
      <c r="D744" s="108">
        <v>18.277400169923531</v>
      </c>
      <c r="E744" s="108">
        <v>8.4324553950722194</v>
      </c>
      <c r="F744" s="108">
        <v>16.142735768903989</v>
      </c>
      <c r="G744" s="108">
        <v>91.047153780798638</v>
      </c>
      <c r="H744" s="108">
        <v>24.11852166525064</v>
      </c>
      <c r="I744" s="108">
        <v>0</v>
      </c>
      <c r="J744" s="108">
        <v>0</v>
      </c>
      <c r="K744" s="108">
        <v>0</v>
      </c>
      <c r="L744" s="108">
        <v>1</v>
      </c>
      <c r="M744" s="134">
        <v>0</v>
      </c>
      <c r="N744" s="134">
        <v>41</v>
      </c>
      <c r="O744" s="134">
        <v>80000</v>
      </c>
      <c r="P744" s="133">
        <v>1</v>
      </c>
      <c r="Q744" s="133">
        <v>0</v>
      </c>
      <c r="R744" s="133">
        <v>1</v>
      </c>
      <c r="S744" s="133">
        <v>1</v>
      </c>
    </row>
    <row r="745" spans="1:19">
      <c r="A745" s="85" t="s">
        <v>232</v>
      </c>
      <c r="B745" s="85">
        <v>4</v>
      </c>
      <c r="C745" s="85">
        <v>1</v>
      </c>
      <c r="D745" s="108">
        <v>16.673746813933729</v>
      </c>
      <c r="E745" s="108">
        <v>5.8517417162276981</v>
      </c>
      <c r="F745" s="108">
        <v>9.7599830076465608</v>
      </c>
      <c r="G745" s="108">
        <v>81.287170773152084</v>
      </c>
      <c r="H745" s="108">
        <v>86.161852166525065</v>
      </c>
      <c r="I745" s="108">
        <v>0</v>
      </c>
      <c r="J745" s="108">
        <v>0</v>
      </c>
      <c r="K745" s="108">
        <v>0</v>
      </c>
      <c r="L745" s="108">
        <v>1</v>
      </c>
      <c r="M745" s="134">
        <v>0</v>
      </c>
      <c r="N745" s="134">
        <v>41</v>
      </c>
      <c r="O745" s="134">
        <v>80000</v>
      </c>
      <c r="P745" s="133">
        <v>1</v>
      </c>
      <c r="Q745" s="133">
        <v>0</v>
      </c>
      <c r="R745" s="133">
        <v>1</v>
      </c>
      <c r="S745" s="133">
        <v>1</v>
      </c>
    </row>
    <row r="746" spans="1:19">
      <c r="A746" s="85" t="s">
        <v>232</v>
      </c>
      <c r="B746" s="85">
        <v>5</v>
      </c>
      <c r="C746" s="85">
        <v>1</v>
      </c>
      <c r="D746" s="108">
        <v>15.70730671197961</v>
      </c>
      <c r="E746" s="108">
        <v>11.629141886151229</v>
      </c>
      <c r="F746" s="108">
        <v>9.1333899745114682</v>
      </c>
      <c r="G746" s="108">
        <v>93.787170773152084</v>
      </c>
      <c r="H746" s="108">
        <v>13.115972812234491</v>
      </c>
      <c r="I746" s="108">
        <v>0</v>
      </c>
      <c r="J746" s="108">
        <v>0</v>
      </c>
      <c r="K746" s="108">
        <v>0</v>
      </c>
      <c r="L746" s="108">
        <v>1</v>
      </c>
      <c r="M746" s="134">
        <v>0</v>
      </c>
      <c r="N746" s="134">
        <v>41</v>
      </c>
      <c r="O746" s="134">
        <v>80000</v>
      </c>
      <c r="P746" s="133">
        <v>1</v>
      </c>
      <c r="Q746" s="133">
        <v>0</v>
      </c>
      <c r="R746" s="133">
        <v>1</v>
      </c>
      <c r="S746" s="133">
        <v>1</v>
      </c>
    </row>
    <row r="747" spans="1:19">
      <c r="A747" s="85" t="s">
        <v>232</v>
      </c>
      <c r="B747" s="85">
        <v>6</v>
      </c>
      <c r="C747" s="85">
        <v>1</v>
      </c>
      <c r="D747" s="108">
        <v>0</v>
      </c>
      <c r="E747" s="108">
        <v>11.402387041773229</v>
      </c>
      <c r="F747" s="108">
        <v>9.1751918158567758</v>
      </c>
      <c r="G747" s="108">
        <v>91.890451832907075</v>
      </c>
      <c r="H747" s="108">
        <v>85.837595907928389</v>
      </c>
      <c r="I747" s="108">
        <v>0</v>
      </c>
      <c r="J747" s="108">
        <v>0</v>
      </c>
      <c r="K747" s="108">
        <v>0</v>
      </c>
      <c r="L747" s="108">
        <v>1</v>
      </c>
      <c r="M747" s="134">
        <v>0</v>
      </c>
      <c r="N747" s="134">
        <v>41</v>
      </c>
      <c r="O747" s="134">
        <v>80000</v>
      </c>
      <c r="P747" s="133">
        <v>1</v>
      </c>
      <c r="Q747" s="133">
        <v>0</v>
      </c>
      <c r="R747" s="133">
        <v>1</v>
      </c>
      <c r="S747" s="133">
        <v>1</v>
      </c>
    </row>
    <row r="748" spans="1:19">
      <c r="A748" s="85" t="s">
        <v>232</v>
      </c>
      <c r="B748" s="85">
        <v>7</v>
      </c>
      <c r="C748" s="85">
        <v>1</v>
      </c>
      <c r="D748" s="108">
        <v>21.813725490196081</v>
      </c>
      <c r="E748" s="108">
        <v>21.813725490196081</v>
      </c>
      <c r="F748" s="108">
        <v>93.595481670929232</v>
      </c>
      <c r="G748" s="108">
        <v>87.87297527706734</v>
      </c>
      <c r="H748" s="108">
        <v>10.144927536231879</v>
      </c>
      <c r="I748" s="108">
        <v>0</v>
      </c>
      <c r="J748" s="108">
        <v>1</v>
      </c>
      <c r="K748" s="108">
        <v>0</v>
      </c>
      <c r="L748" s="108">
        <v>1</v>
      </c>
      <c r="M748" s="134">
        <v>0</v>
      </c>
      <c r="N748" s="134">
        <v>41</v>
      </c>
      <c r="O748" s="134">
        <v>80000</v>
      </c>
      <c r="P748" s="133">
        <v>1</v>
      </c>
      <c r="Q748" s="133">
        <v>0</v>
      </c>
      <c r="R748" s="133">
        <v>1</v>
      </c>
      <c r="S748" s="133">
        <v>1</v>
      </c>
    </row>
    <row r="749" spans="1:19">
      <c r="A749" s="85" t="s">
        <v>233</v>
      </c>
      <c r="B749" s="85">
        <v>2</v>
      </c>
      <c r="C749" s="85">
        <v>1</v>
      </c>
      <c r="D749" s="108">
        <v>14.149504195270779</v>
      </c>
      <c r="E749" s="108">
        <v>12.547673531655221</v>
      </c>
      <c r="F749" s="108">
        <v>47.063310450038138</v>
      </c>
      <c r="G749" s="108">
        <v>50</v>
      </c>
      <c r="H749" s="108">
        <v>50</v>
      </c>
      <c r="I749" s="108">
        <v>0</v>
      </c>
      <c r="J749" s="108">
        <v>0</v>
      </c>
      <c r="K749" s="108">
        <v>0</v>
      </c>
      <c r="L749" s="108">
        <v>1</v>
      </c>
      <c r="M749" s="134">
        <v>1</v>
      </c>
      <c r="N749" s="134">
        <v>38</v>
      </c>
      <c r="O749" s="134">
        <v>7000</v>
      </c>
      <c r="P749" s="133">
        <v>0</v>
      </c>
      <c r="Q749" s="133">
        <v>0</v>
      </c>
      <c r="R749" s="133">
        <v>0</v>
      </c>
      <c r="S749" s="133">
        <v>0</v>
      </c>
    </row>
    <row r="750" spans="1:19">
      <c r="A750" s="85" t="s">
        <v>233</v>
      </c>
      <c r="B750" s="85">
        <v>3</v>
      </c>
      <c r="C750" s="85">
        <v>1</v>
      </c>
      <c r="D750" s="108">
        <v>20.1627256547165</v>
      </c>
      <c r="E750" s="108">
        <v>0.22883295194507941</v>
      </c>
      <c r="F750" s="108">
        <v>7.9583015509788968</v>
      </c>
      <c r="G750" s="108">
        <v>31.52809560132215</v>
      </c>
      <c r="H750" s="108">
        <v>82.074752097635397</v>
      </c>
      <c r="I750" s="108">
        <v>0</v>
      </c>
      <c r="J750" s="108">
        <v>0</v>
      </c>
      <c r="K750" s="108">
        <v>0</v>
      </c>
      <c r="L750" s="108">
        <v>1</v>
      </c>
      <c r="M750" s="134">
        <v>1</v>
      </c>
      <c r="N750" s="134">
        <v>38</v>
      </c>
      <c r="O750" s="134">
        <v>7000</v>
      </c>
      <c r="P750" s="133">
        <v>0</v>
      </c>
      <c r="Q750" s="133">
        <v>0</v>
      </c>
      <c r="R750" s="133">
        <v>0</v>
      </c>
      <c r="S750" s="133">
        <v>0</v>
      </c>
    </row>
    <row r="751" spans="1:19">
      <c r="A751" s="85" t="s">
        <v>234</v>
      </c>
      <c r="B751" s="85">
        <v>1</v>
      </c>
      <c r="C751" s="85">
        <v>1</v>
      </c>
      <c r="D751" s="108">
        <v>50</v>
      </c>
      <c r="E751" s="108">
        <v>86.135957066189633</v>
      </c>
      <c r="F751" s="108">
        <v>50</v>
      </c>
      <c r="G751" s="108">
        <v>50</v>
      </c>
      <c r="H751" s="108">
        <v>92.128801431127002</v>
      </c>
      <c r="I751" s="108">
        <v>1</v>
      </c>
      <c r="J751" s="108">
        <v>0</v>
      </c>
      <c r="K751" s="108">
        <v>1</v>
      </c>
      <c r="L751" s="108">
        <v>1</v>
      </c>
      <c r="M751" s="134">
        <v>0</v>
      </c>
      <c r="N751" s="134">
        <v>35</v>
      </c>
      <c r="O751" s="134">
        <v>575000</v>
      </c>
      <c r="P751" s="133">
        <v>1</v>
      </c>
      <c r="Q751" s="133">
        <v>1</v>
      </c>
      <c r="R751" s="133">
        <v>1</v>
      </c>
      <c r="S751" s="133">
        <v>1</v>
      </c>
    </row>
    <row r="752" spans="1:19">
      <c r="A752" s="85" t="s">
        <v>234</v>
      </c>
      <c r="B752" s="85">
        <v>2</v>
      </c>
      <c r="C752" s="85">
        <v>1</v>
      </c>
      <c r="D752" s="108">
        <v>92.587209302325576</v>
      </c>
      <c r="E752" s="108">
        <v>97.752683363148492</v>
      </c>
      <c r="F752" s="108">
        <v>97.31663685152057</v>
      </c>
      <c r="G752" s="108">
        <v>86.32602862254025</v>
      </c>
      <c r="H752" s="108">
        <v>96.589892665474068</v>
      </c>
      <c r="I752" s="108">
        <v>0</v>
      </c>
      <c r="J752" s="108">
        <v>0</v>
      </c>
      <c r="K752" s="108">
        <v>1</v>
      </c>
      <c r="L752" s="108">
        <v>1</v>
      </c>
      <c r="M752" s="134">
        <v>0</v>
      </c>
      <c r="N752" s="134">
        <v>35</v>
      </c>
      <c r="O752" s="134">
        <v>575000</v>
      </c>
      <c r="P752" s="133">
        <v>1</v>
      </c>
      <c r="Q752" s="133">
        <v>1</v>
      </c>
      <c r="R752" s="133">
        <v>1</v>
      </c>
      <c r="S752" s="133">
        <v>1</v>
      </c>
    </row>
    <row r="753" spans="1:19">
      <c r="A753" s="85" t="s">
        <v>235</v>
      </c>
      <c r="B753" s="85">
        <v>3</v>
      </c>
      <c r="C753" s="85">
        <v>1</v>
      </c>
      <c r="D753" s="108">
        <v>11.132561132561129</v>
      </c>
      <c r="E753" s="108">
        <v>1.9691119691119701</v>
      </c>
      <c r="F753" s="108">
        <v>29.961389961389958</v>
      </c>
      <c r="G753" s="108">
        <v>3.4362934362934361</v>
      </c>
      <c r="H753" s="108">
        <v>1.7117117117117111</v>
      </c>
      <c r="I753" s="108">
        <v>0</v>
      </c>
      <c r="J753" s="108">
        <v>0</v>
      </c>
      <c r="K753" s="108">
        <v>0</v>
      </c>
      <c r="L753" s="108">
        <v>1</v>
      </c>
      <c r="M753" s="134">
        <v>1</v>
      </c>
      <c r="N753" s="134">
        <v>51</v>
      </c>
      <c r="O753" s="134">
        <v>-99</v>
      </c>
      <c r="P753" s="133">
        <v>0</v>
      </c>
      <c r="Q753" s="133">
        <v>0</v>
      </c>
      <c r="R753" s="133">
        <v>0</v>
      </c>
      <c r="S753" s="133">
        <v>0</v>
      </c>
    </row>
    <row r="754" spans="1:19">
      <c r="A754" s="85" t="s">
        <v>235</v>
      </c>
      <c r="B754" s="85">
        <v>7</v>
      </c>
      <c r="C754" s="85">
        <v>1</v>
      </c>
      <c r="D754" s="108">
        <v>13.26898326898327</v>
      </c>
      <c r="E754" s="108">
        <v>40.476190476190467</v>
      </c>
      <c r="F754" s="108">
        <v>28.906048906048898</v>
      </c>
      <c r="G754" s="108">
        <v>50</v>
      </c>
      <c r="H754" s="108">
        <v>23.333333333333329</v>
      </c>
      <c r="I754" s="108">
        <v>0</v>
      </c>
      <c r="J754" s="108">
        <v>1</v>
      </c>
      <c r="K754" s="108">
        <v>0</v>
      </c>
      <c r="L754" s="108">
        <v>1</v>
      </c>
      <c r="M754" s="134">
        <v>1</v>
      </c>
      <c r="N754" s="134">
        <v>51</v>
      </c>
      <c r="O754" s="134">
        <v>-99</v>
      </c>
      <c r="P754" s="133">
        <v>0</v>
      </c>
      <c r="Q754" s="133">
        <v>0</v>
      </c>
      <c r="R754" s="133">
        <v>0</v>
      </c>
      <c r="S754" s="133">
        <v>0</v>
      </c>
    </row>
    <row r="755" spans="1:19">
      <c r="A755" s="85" t="s">
        <v>236</v>
      </c>
      <c r="B755" s="85">
        <v>1</v>
      </c>
      <c r="C755" s="85">
        <v>1</v>
      </c>
      <c r="D755" s="108">
        <v>92.712700369913676</v>
      </c>
      <c r="E755" s="108">
        <v>88.766954377311961</v>
      </c>
      <c r="F755" s="108">
        <v>99.61775585696671</v>
      </c>
      <c r="G755" s="108">
        <v>4.2293464858199741</v>
      </c>
      <c r="H755" s="108">
        <v>50</v>
      </c>
      <c r="I755" s="108">
        <v>1</v>
      </c>
      <c r="J755" s="108">
        <v>0</v>
      </c>
      <c r="K755" s="108">
        <v>1</v>
      </c>
      <c r="L755" s="108">
        <v>1</v>
      </c>
      <c r="M755" s="134">
        <v>0</v>
      </c>
      <c r="N755" s="134">
        <v>28</v>
      </c>
      <c r="O755" s="134">
        <v>105000</v>
      </c>
      <c r="P755" s="133">
        <v>0</v>
      </c>
      <c r="Q755" s="133">
        <v>1</v>
      </c>
      <c r="R755" s="133">
        <v>1</v>
      </c>
      <c r="S755" s="133">
        <v>0</v>
      </c>
    </row>
    <row r="756" spans="1:19">
      <c r="A756" s="85" t="s">
        <v>236</v>
      </c>
      <c r="B756" s="85">
        <v>2</v>
      </c>
      <c r="C756" s="85">
        <v>1</v>
      </c>
      <c r="D756" s="108">
        <v>99.420468557336619</v>
      </c>
      <c r="E756" s="108">
        <v>99.210850801479651</v>
      </c>
      <c r="F756" s="108">
        <v>96.954377311960542</v>
      </c>
      <c r="G756" s="108">
        <v>4.8212083847102347</v>
      </c>
      <c r="H756" s="108">
        <v>6.5844636251541298</v>
      </c>
      <c r="I756" s="108">
        <v>0</v>
      </c>
      <c r="J756" s="108">
        <v>0</v>
      </c>
      <c r="K756" s="108">
        <v>1</v>
      </c>
      <c r="L756" s="108">
        <v>1</v>
      </c>
      <c r="M756" s="134">
        <v>0</v>
      </c>
      <c r="N756" s="134">
        <v>28</v>
      </c>
      <c r="O756" s="134">
        <v>105000</v>
      </c>
      <c r="P756" s="133">
        <v>0</v>
      </c>
      <c r="Q756" s="133">
        <v>1</v>
      </c>
      <c r="R756" s="133">
        <v>1</v>
      </c>
      <c r="S756" s="133">
        <v>0</v>
      </c>
    </row>
    <row r="757" spans="1:19">
      <c r="A757" s="85" t="s">
        <v>236</v>
      </c>
      <c r="B757" s="85">
        <v>3</v>
      </c>
      <c r="C757" s="85">
        <v>1</v>
      </c>
      <c r="D757" s="108">
        <v>96.954377311960542</v>
      </c>
      <c r="E757" s="108">
        <v>100</v>
      </c>
      <c r="F757" s="108">
        <v>98.446362515413071</v>
      </c>
      <c r="G757" s="108">
        <v>2.2564734895191121</v>
      </c>
      <c r="H757" s="108">
        <v>9.9506781750924755</v>
      </c>
      <c r="I757" s="108">
        <v>0</v>
      </c>
      <c r="J757" s="108">
        <v>0</v>
      </c>
      <c r="K757" s="108">
        <v>1</v>
      </c>
      <c r="L757" s="108">
        <v>1</v>
      </c>
      <c r="M757" s="134">
        <v>0</v>
      </c>
      <c r="N757" s="134">
        <v>28</v>
      </c>
      <c r="O757" s="134">
        <v>105000</v>
      </c>
      <c r="P757" s="133">
        <v>0</v>
      </c>
      <c r="Q757" s="133">
        <v>1</v>
      </c>
      <c r="R757" s="133">
        <v>1</v>
      </c>
      <c r="S757" s="133">
        <v>0</v>
      </c>
    </row>
    <row r="758" spans="1:19">
      <c r="A758" s="85" t="s">
        <v>236</v>
      </c>
      <c r="B758" s="85">
        <v>4</v>
      </c>
      <c r="C758" s="85">
        <v>1</v>
      </c>
      <c r="D758" s="108">
        <v>97.829839704069045</v>
      </c>
      <c r="E758" s="108">
        <v>78.618988902589393</v>
      </c>
      <c r="F758" s="108">
        <v>92.799013563501845</v>
      </c>
      <c r="G758" s="108">
        <v>4.5129469790382242</v>
      </c>
      <c r="H758" s="108">
        <v>1.8495684340320619</v>
      </c>
      <c r="I758" s="108">
        <v>0</v>
      </c>
      <c r="J758" s="108">
        <v>0</v>
      </c>
      <c r="K758" s="108">
        <v>1</v>
      </c>
      <c r="L758" s="108">
        <v>1</v>
      </c>
      <c r="M758" s="134">
        <v>0</v>
      </c>
      <c r="N758" s="134">
        <v>28</v>
      </c>
      <c r="O758" s="134">
        <v>105000</v>
      </c>
      <c r="P758" s="133">
        <v>0</v>
      </c>
      <c r="Q758" s="133">
        <v>1</v>
      </c>
      <c r="R758" s="133">
        <v>1</v>
      </c>
      <c r="S758" s="133">
        <v>0</v>
      </c>
    </row>
    <row r="759" spans="1:19">
      <c r="A759" s="85" t="s">
        <v>236</v>
      </c>
      <c r="B759" s="85">
        <v>5</v>
      </c>
      <c r="C759" s="85">
        <v>1</v>
      </c>
      <c r="D759" s="108">
        <v>3.341553637484584</v>
      </c>
      <c r="E759" s="108">
        <v>8.2614056720098645</v>
      </c>
      <c r="F759" s="108">
        <v>5.0308261405672017</v>
      </c>
      <c r="G759" s="108">
        <v>88.766954377311961</v>
      </c>
      <c r="H759" s="108">
        <v>60.949445129469787</v>
      </c>
      <c r="I759" s="108">
        <v>0</v>
      </c>
      <c r="J759" s="108">
        <v>0</v>
      </c>
      <c r="K759" s="108">
        <v>0</v>
      </c>
      <c r="L759" s="108">
        <v>1</v>
      </c>
      <c r="M759" s="134">
        <v>0</v>
      </c>
      <c r="N759" s="134">
        <v>28</v>
      </c>
      <c r="O759" s="134">
        <v>105000</v>
      </c>
      <c r="P759" s="133">
        <v>0</v>
      </c>
      <c r="Q759" s="133">
        <v>1</v>
      </c>
      <c r="R759" s="133">
        <v>1</v>
      </c>
      <c r="S759" s="133">
        <v>0</v>
      </c>
    </row>
    <row r="760" spans="1:19">
      <c r="A760" s="85" t="s">
        <v>236</v>
      </c>
      <c r="B760" s="85">
        <v>6</v>
      </c>
      <c r="C760" s="85">
        <v>1</v>
      </c>
      <c r="D760" s="108">
        <v>2.7620221948212058</v>
      </c>
      <c r="E760" s="108">
        <v>2.3674475955610341</v>
      </c>
      <c r="F760" s="108">
        <v>1.4549938347718889</v>
      </c>
      <c r="G760" s="108">
        <v>80.086313193588168</v>
      </c>
      <c r="H760" s="108">
        <v>95.092478421701614</v>
      </c>
      <c r="I760" s="108">
        <v>0</v>
      </c>
      <c r="J760" s="108">
        <v>0</v>
      </c>
      <c r="K760" s="108">
        <v>0</v>
      </c>
      <c r="L760" s="108">
        <v>1</v>
      </c>
      <c r="M760" s="134">
        <v>0</v>
      </c>
      <c r="N760" s="134">
        <v>28</v>
      </c>
      <c r="O760" s="134">
        <v>105000</v>
      </c>
      <c r="P760" s="133">
        <v>0</v>
      </c>
      <c r="Q760" s="133">
        <v>1</v>
      </c>
      <c r="R760" s="133">
        <v>1</v>
      </c>
      <c r="S760" s="133">
        <v>0</v>
      </c>
    </row>
    <row r="761" spans="1:19">
      <c r="A761" s="85" t="s">
        <v>236</v>
      </c>
      <c r="B761" s="85">
        <v>7</v>
      </c>
      <c r="C761" s="85">
        <v>1</v>
      </c>
      <c r="D761" s="108">
        <v>9.3711467324291036</v>
      </c>
      <c r="E761" s="108">
        <v>3.625154130702835</v>
      </c>
      <c r="F761" s="108">
        <v>1.282367447595562</v>
      </c>
      <c r="G761" s="108">
        <v>98.039457459926012</v>
      </c>
      <c r="H761" s="108">
        <v>98.717632552404439</v>
      </c>
      <c r="I761" s="108">
        <v>0</v>
      </c>
      <c r="J761" s="108">
        <v>1</v>
      </c>
      <c r="K761" s="108">
        <v>0</v>
      </c>
      <c r="L761" s="108">
        <v>1</v>
      </c>
      <c r="M761" s="134">
        <v>0</v>
      </c>
      <c r="N761" s="134">
        <v>28</v>
      </c>
      <c r="O761" s="134">
        <v>105000</v>
      </c>
      <c r="P761" s="133">
        <v>0</v>
      </c>
      <c r="Q761" s="133">
        <v>1</v>
      </c>
      <c r="R761" s="133">
        <v>1</v>
      </c>
      <c r="S761" s="133">
        <v>0</v>
      </c>
    </row>
    <row r="762" spans="1:19">
      <c r="A762" s="85" t="s">
        <v>237</v>
      </c>
      <c r="B762" s="85">
        <v>1</v>
      </c>
      <c r="C762" s="85">
        <v>1</v>
      </c>
      <c r="D762" s="108">
        <v>8.3601831439715113</v>
      </c>
      <c r="E762" s="108">
        <v>11.8619637103612</v>
      </c>
      <c r="F762" s="108">
        <v>17.542818382228251</v>
      </c>
      <c r="G762" s="108">
        <v>93.08970663049007</v>
      </c>
      <c r="H762" s="108">
        <v>25.724944887230791</v>
      </c>
      <c r="I762" s="108">
        <v>1</v>
      </c>
      <c r="J762" s="108">
        <v>0</v>
      </c>
      <c r="K762" s="108">
        <v>0</v>
      </c>
      <c r="L762" s="108">
        <v>1</v>
      </c>
      <c r="M762" s="134">
        <v>1</v>
      </c>
      <c r="N762" s="134">
        <v>18</v>
      </c>
      <c r="O762" s="134">
        <v>17000</v>
      </c>
      <c r="P762" s="133">
        <v>0</v>
      </c>
      <c r="Q762" s="133">
        <v>0</v>
      </c>
      <c r="R762" s="133">
        <v>0</v>
      </c>
      <c r="S762" s="133">
        <v>0</v>
      </c>
    </row>
    <row r="763" spans="1:19">
      <c r="A763" s="85" t="s">
        <v>237</v>
      </c>
      <c r="B763" s="85">
        <v>6</v>
      </c>
      <c r="C763" s="85">
        <v>1</v>
      </c>
      <c r="D763" s="108">
        <v>0</v>
      </c>
      <c r="E763" s="108">
        <v>1.8439108061749589</v>
      </c>
      <c r="F763" s="108">
        <v>0</v>
      </c>
      <c r="G763" s="108">
        <v>19.871355060034301</v>
      </c>
      <c r="H763" s="108">
        <v>4.159519725557459</v>
      </c>
      <c r="I763" s="108">
        <v>0</v>
      </c>
      <c r="J763" s="108">
        <v>0</v>
      </c>
      <c r="K763" s="108">
        <v>0</v>
      </c>
      <c r="L763" s="108">
        <v>1</v>
      </c>
      <c r="M763" s="134">
        <v>1</v>
      </c>
      <c r="N763" s="134">
        <v>18</v>
      </c>
      <c r="O763" s="134">
        <v>17000</v>
      </c>
      <c r="P763" s="133">
        <v>0</v>
      </c>
      <c r="Q763" s="133">
        <v>0</v>
      </c>
      <c r="R763" s="133">
        <v>0</v>
      </c>
      <c r="S763" s="133">
        <v>0</v>
      </c>
    </row>
    <row r="764" spans="1:19">
      <c r="A764" s="85" t="s">
        <v>237</v>
      </c>
      <c r="B764" s="85">
        <v>7</v>
      </c>
      <c r="C764" s="85">
        <v>1</v>
      </c>
      <c r="D764" s="108">
        <v>9.7553191489361701</v>
      </c>
      <c r="E764" s="108">
        <v>42.904255319148938</v>
      </c>
      <c r="F764" s="108">
        <v>50</v>
      </c>
      <c r="G764" s="108">
        <v>65.436170212765958</v>
      </c>
      <c r="H764" s="108">
        <v>86.340425531914903</v>
      </c>
      <c r="I764" s="108">
        <v>0</v>
      </c>
      <c r="J764" s="108">
        <v>1</v>
      </c>
      <c r="K764" s="108">
        <v>0</v>
      </c>
      <c r="L764" s="108">
        <v>1</v>
      </c>
      <c r="M764" s="134">
        <v>1</v>
      </c>
      <c r="N764" s="134">
        <v>18</v>
      </c>
      <c r="O764" s="134">
        <v>17000</v>
      </c>
      <c r="P764" s="133">
        <v>0</v>
      </c>
      <c r="Q764" s="133">
        <v>0</v>
      </c>
      <c r="R764" s="133">
        <v>0</v>
      </c>
      <c r="S764" s="133">
        <v>0</v>
      </c>
    </row>
    <row r="765" spans="1:19">
      <c r="A765" s="85" t="s">
        <v>238</v>
      </c>
      <c r="B765" s="85">
        <v>1</v>
      </c>
      <c r="C765" s="85">
        <v>1</v>
      </c>
      <c r="D765" s="108">
        <v>98.176238999536821</v>
      </c>
      <c r="E765" s="108">
        <v>98.737841593330245</v>
      </c>
      <c r="F765" s="108">
        <v>98.297823066234372</v>
      </c>
      <c r="G765" s="108">
        <v>3.3580361278369608</v>
      </c>
      <c r="H765" s="108">
        <v>0.57318202871700086</v>
      </c>
      <c r="I765" s="108">
        <v>1</v>
      </c>
      <c r="J765" s="108">
        <v>0</v>
      </c>
      <c r="K765" s="108">
        <v>1</v>
      </c>
      <c r="L765" s="108">
        <v>1</v>
      </c>
      <c r="M765" s="134">
        <v>1</v>
      </c>
      <c r="N765" s="134">
        <v>30</v>
      </c>
      <c r="O765" s="134">
        <v>75000</v>
      </c>
      <c r="P765" s="133">
        <v>1</v>
      </c>
      <c r="Q765" s="133">
        <v>1</v>
      </c>
      <c r="R765" s="133">
        <v>1</v>
      </c>
      <c r="S765" s="133">
        <v>0</v>
      </c>
    </row>
    <row r="766" spans="1:19">
      <c r="A766" s="85" t="s">
        <v>238</v>
      </c>
      <c r="B766" s="85">
        <v>2</v>
      </c>
      <c r="C766" s="85">
        <v>1</v>
      </c>
      <c r="D766" s="108">
        <v>100</v>
      </c>
      <c r="E766" s="108">
        <v>99.409448818897644</v>
      </c>
      <c r="F766" s="108">
        <v>91.981241315423802</v>
      </c>
      <c r="G766" s="108">
        <v>0.82213987957387435</v>
      </c>
      <c r="H766" s="108">
        <v>1.0942566002779039</v>
      </c>
      <c r="I766" s="108">
        <v>0</v>
      </c>
      <c r="J766" s="108">
        <v>0</v>
      </c>
      <c r="K766" s="108">
        <v>1</v>
      </c>
      <c r="L766" s="108">
        <v>1</v>
      </c>
      <c r="M766" s="134">
        <v>1</v>
      </c>
      <c r="N766" s="134">
        <v>30</v>
      </c>
      <c r="O766" s="134">
        <v>75000</v>
      </c>
      <c r="P766" s="133">
        <v>1</v>
      </c>
      <c r="Q766" s="133">
        <v>1</v>
      </c>
      <c r="R766" s="133">
        <v>1</v>
      </c>
      <c r="S766" s="133">
        <v>0</v>
      </c>
    </row>
    <row r="767" spans="1:19">
      <c r="A767" s="85" t="s">
        <v>238</v>
      </c>
      <c r="B767" s="85">
        <v>3</v>
      </c>
      <c r="C767" s="85">
        <v>1</v>
      </c>
      <c r="D767" s="108">
        <v>99.756831866604912</v>
      </c>
      <c r="E767" s="108">
        <v>98.176238999536821</v>
      </c>
      <c r="F767" s="108">
        <v>98.639416396479845</v>
      </c>
      <c r="G767" s="108">
        <v>1.592172301991662</v>
      </c>
      <c r="H767" s="108">
        <v>1.0421491431218179</v>
      </c>
      <c r="I767" s="108">
        <v>0</v>
      </c>
      <c r="J767" s="108">
        <v>0</v>
      </c>
      <c r="K767" s="108">
        <v>1</v>
      </c>
      <c r="L767" s="108">
        <v>1</v>
      </c>
      <c r="M767" s="134">
        <v>1</v>
      </c>
      <c r="N767" s="134">
        <v>30</v>
      </c>
      <c r="O767" s="134">
        <v>75000</v>
      </c>
      <c r="P767" s="133">
        <v>1</v>
      </c>
      <c r="Q767" s="133">
        <v>1</v>
      </c>
      <c r="R767" s="133">
        <v>1</v>
      </c>
      <c r="S767" s="133">
        <v>0</v>
      </c>
    </row>
    <row r="768" spans="1:19">
      <c r="A768" s="85" t="s">
        <v>238</v>
      </c>
      <c r="B768" s="85">
        <v>4</v>
      </c>
      <c r="C768" s="85">
        <v>1</v>
      </c>
      <c r="D768" s="108">
        <v>98.604678091709118</v>
      </c>
      <c r="E768" s="108">
        <v>96.636174154701251</v>
      </c>
      <c r="F768" s="108">
        <v>99.473135710977317</v>
      </c>
      <c r="G768" s="108">
        <v>0.36475220009263293</v>
      </c>
      <c r="H768" s="108">
        <v>1.065308012968968</v>
      </c>
      <c r="I768" s="108">
        <v>0</v>
      </c>
      <c r="J768" s="108">
        <v>0</v>
      </c>
      <c r="K768" s="108">
        <v>1</v>
      </c>
      <c r="L768" s="108">
        <v>1</v>
      </c>
      <c r="M768" s="134">
        <v>1</v>
      </c>
      <c r="N768" s="134">
        <v>30</v>
      </c>
      <c r="O768" s="134">
        <v>75000</v>
      </c>
      <c r="P768" s="133">
        <v>1</v>
      </c>
      <c r="Q768" s="133">
        <v>1</v>
      </c>
      <c r="R768" s="133">
        <v>1</v>
      </c>
      <c r="S768" s="133">
        <v>0</v>
      </c>
    </row>
    <row r="769" spans="1:19">
      <c r="A769" s="85" t="s">
        <v>238</v>
      </c>
      <c r="B769" s="85">
        <v>5</v>
      </c>
      <c r="C769" s="85">
        <v>1</v>
      </c>
      <c r="D769" s="108">
        <v>99.687355257063444</v>
      </c>
      <c r="E769" s="108">
        <v>97.684113015284851</v>
      </c>
      <c r="F769" s="108">
        <v>99.444187123668357</v>
      </c>
      <c r="G769" s="108">
        <v>2.3158869847151431</v>
      </c>
      <c r="H769" s="108">
        <v>1.036359425660027</v>
      </c>
      <c r="I769" s="108">
        <v>0</v>
      </c>
      <c r="J769" s="108">
        <v>0</v>
      </c>
      <c r="K769" s="108">
        <v>1</v>
      </c>
      <c r="L769" s="108">
        <v>1</v>
      </c>
      <c r="M769" s="134">
        <v>1</v>
      </c>
      <c r="N769" s="134">
        <v>30</v>
      </c>
      <c r="O769" s="134">
        <v>75000</v>
      </c>
      <c r="P769" s="133">
        <v>1</v>
      </c>
      <c r="Q769" s="133">
        <v>1</v>
      </c>
      <c r="R769" s="133">
        <v>1</v>
      </c>
      <c r="S769" s="133">
        <v>0</v>
      </c>
    </row>
    <row r="770" spans="1:19">
      <c r="A770" s="85" t="s">
        <v>238</v>
      </c>
      <c r="B770" s="85">
        <v>6</v>
      </c>
      <c r="C770" s="85">
        <v>1</v>
      </c>
      <c r="D770" s="108">
        <v>4.7359696897939836</v>
      </c>
      <c r="E770" s="108">
        <v>91.842292209329869</v>
      </c>
      <c r="F770" s="108">
        <v>50</v>
      </c>
      <c r="G770" s="108">
        <v>4.0255742363248856</v>
      </c>
      <c r="H770" s="108">
        <v>2.7705422685294798</v>
      </c>
      <c r="I770" s="108">
        <v>0</v>
      </c>
      <c r="J770" s="108">
        <v>0</v>
      </c>
      <c r="K770" s="108">
        <v>0</v>
      </c>
      <c r="L770" s="108">
        <v>1</v>
      </c>
      <c r="M770" s="134">
        <v>1</v>
      </c>
      <c r="N770" s="134">
        <v>30</v>
      </c>
      <c r="O770" s="134">
        <v>75000</v>
      </c>
      <c r="P770" s="133">
        <v>1</v>
      </c>
      <c r="Q770" s="133">
        <v>1</v>
      </c>
      <c r="R770" s="133">
        <v>1</v>
      </c>
      <c r="S770" s="133">
        <v>0</v>
      </c>
    </row>
    <row r="771" spans="1:19">
      <c r="A771" s="85" t="s">
        <v>238</v>
      </c>
      <c r="B771" s="85">
        <v>7</v>
      </c>
      <c r="C771" s="85">
        <v>1</v>
      </c>
      <c r="D771" s="108">
        <v>97.170258110348101</v>
      </c>
      <c r="E771" s="108">
        <v>99.254084773857443</v>
      </c>
      <c r="F771" s="108">
        <v>94.754913568553164</v>
      </c>
      <c r="G771" s="108">
        <v>1.0182334833057081</v>
      </c>
      <c r="H771" s="108">
        <v>3.4690977977740949</v>
      </c>
      <c r="I771" s="108">
        <v>0</v>
      </c>
      <c r="J771" s="108">
        <v>1</v>
      </c>
      <c r="K771" s="108">
        <v>1</v>
      </c>
      <c r="L771" s="108">
        <v>1</v>
      </c>
      <c r="M771" s="134">
        <v>1</v>
      </c>
      <c r="N771" s="134">
        <v>30</v>
      </c>
      <c r="O771" s="134">
        <v>75000</v>
      </c>
      <c r="P771" s="133">
        <v>1</v>
      </c>
      <c r="Q771" s="133">
        <v>1</v>
      </c>
      <c r="R771" s="133">
        <v>1</v>
      </c>
      <c r="S771" s="133">
        <v>0</v>
      </c>
    </row>
    <row r="772" spans="1:19">
      <c r="A772" s="85" t="s">
        <v>239</v>
      </c>
      <c r="B772" s="85">
        <v>1</v>
      </c>
      <c r="C772" s="85">
        <v>1</v>
      </c>
      <c r="D772" s="108">
        <v>0</v>
      </c>
      <c r="E772" s="108">
        <v>100</v>
      </c>
      <c r="F772" s="108">
        <v>0</v>
      </c>
      <c r="G772" s="108">
        <v>100</v>
      </c>
      <c r="H772" s="108">
        <v>0</v>
      </c>
      <c r="I772" s="108">
        <v>1</v>
      </c>
      <c r="J772" s="108">
        <v>0</v>
      </c>
      <c r="K772" s="108">
        <v>0</v>
      </c>
      <c r="L772" s="108">
        <v>1</v>
      </c>
      <c r="M772" s="134">
        <v>0</v>
      </c>
      <c r="N772" s="134">
        <v>29</v>
      </c>
      <c r="O772" s="134">
        <v>85000</v>
      </c>
      <c r="P772" s="133">
        <v>1</v>
      </c>
      <c r="Q772" s="133">
        <v>1</v>
      </c>
      <c r="R772" s="133">
        <v>1</v>
      </c>
      <c r="S772" s="133">
        <v>0</v>
      </c>
    </row>
    <row r="773" spans="1:19">
      <c r="A773" s="85" t="s">
        <v>239</v>
      </c>
      <c r="B773" s="85">
        <v>2</v>
      </c>
      <c r="C773" s="85">
        <v>1</v>
      </c>
      <c r="D773" s="108">
        <v>99.26103247293922</v>
      </c>
      <c r="E773" s="108">
        <v>0.26280183180683042</v>
      </c>
      <c r="F773" s="108">
        <v>99.385928393005827</v>
      </c>
      <c r="G773" s="108">
        <v>0.30183180682764599</v>
      </c>
      <c r="H773" s="108">
        <v>0.25239383846794577</v>
      </c>
      <c r="I773" s="108">
        <v>0</v>
      </c>
      <c r="J773" s="108">
        <v>0</v>
      </c>
      <c r="K773" s="108">
        <v>1</v>
      </c>
      <c r="L773" s="108">
        <v>1</v>
      </c>
      <c r="M773" s="134">
        <v>0</v>
      </c>
      <c r="N773" s="134">
        <v>29</v>
      </c>
      <c r="O773" s="134">
        <v>85000</v>
      </c>
      <c r="P773" s="133">
        <v>1</v>
      </c>
      <c r="Q773" s="133">
        <v>1</v>
      </c>
      <c r="R773" s="133">
        <v>1</v>
      </c>
      <c r="S773" s="133">
        <v>0</v>
      </c>
    </row>
    <row r="774" spans="1:19">
      <c r="A774" s="85" t="s">
        <v>239</v>
      </c>
      <c r="B774" s="85">
        <v>3</v>
      </c>
      <c r="C774" s="85">
        <v>1</v>
      </c>
      <c r="D774" s="108">
        <v>3.9574468085106398</v>
      </c>
      <c r="E774" s="108">
        <v>40.638297872340416</v>
      </c>
      <c r="F774" s="108">
        <v>50</v>
      </c>
      <c r="G774" s="108">
        <v>95.191489361702125</v>
      </c>
      <c r="H774" s="108">
        <v>56.38297872340425</v>
      </c>
      <c r="I774" s="108">
        <v>0</v>
      </c>
      <c r="J774" s="108">
        <v>0</v>
      </c>
      <c r="K774" s="108">
        <v>0</v>
      </c>
      <c r="L774" s="108">
        <v>1</v>
      </c>
      <c r="M774" s="134">
        <v>0</v>
      </c>
      <c r="N774" s="134">
        <v>29</v>
      </c>
      <c r="O774" s="134">
        <v>85000</v>
      </c>
      <c r="P774" s="133">
        <v>1</v>
      </c>
      <c r="Q774" s="133">
        <v>1</v>
      </c>
      <c r="R774" s="133">
        <v>1</v>
      </c>
      <c r="S774" s="133">
        <v>0</v>
      </c>
    </row>
    <row r="775" spans="1:19">
      <c r="A775" s="85" t="s">
        <v>239</v>
      </c>
      <c r="B775" s="85">
        <v>4</v>
      </c>
      <c r="C775" s="85">
        <v>1</v>
      </c>
      <c r="D775" s="108">
        <v>100</v>
      </c>
      <c r="E775" s="108">
        <v>100</v>
      </c>
      <c r="F775" s="108">
        <v>99.78723404255318</v>
      </c>
      <c r="G775" s="108">
        <v>0</v>
      </c>
      <c r="H775" s="108">
        <v>100</v>
      </c>
      <c r="I775" s="108">
        <v>0</v>
      </c>
      <c r="J775" s="108">
        <v>0</v>
      </c>
      <c r="K775" s="108">
        <v>1</v>
      </c>
      <c r="L775" s="108">
        <v>1</v>
      </c>
      <c r="M775" s="134">
        <v>0</v>
      </c>
      <c r="N775" s="134">
        <v>29</v>
      </c>
      <c r="O775" s="134">
        <v>85000</v>
      </c>
      <c r="P775" s="133">
        <v>1</v>
      </c>
      <c r="Q775" s="133">
        <v>1</v>
      </c>
      <c r="R775" s="133">
        <v>1</v>
      </c>
      <c r="S775" s="133">
        <v>0</v>
      </c>
    </row>
    <row r="776" spans="1:19">
      <c r="A776" s="85" t="s">
        <v>239</v>
      </c>
      <c r="B776" s="85">
        <v>5</v>
      </c>
      <c r="C776" s="85">
        <v>1</v>
      </c>
      <c r="D776" s="108">
        <v>0</v>
      </c>
      <c r="E776" s="108">
        <v>0</v>
      </c>
      <c r="F776" s="108">
        <v>100</v>
      </c>
      <c r="G776" s="108">
        <v>100</v>
      </c>
      <c r="H776" s="108">
        <v>100</v>
      </c>
      <c r="I776" s="108">
        <v>0</v>
      </c>
      <c r="J776" s="108">
        <v>0</v>
      </c>
      <c r="K776" s="108">
        <v>0</v>
      </c>
      <c r="L776" s="108">
        <v>1</v>
      </c>
      <c r="M776" s="134">
        <v>0</v>
      </c>
      <c r="N776" s="134">
        <v>29</v>
      </c>
      <c r="O776" s="134">
        <v>85000</v>
      </c>
      <c r="P776" s="133">
        <v>1</v>
      </c>
      <c r="Q776" s="133">
        <v>1</v>
      </c>
      <c r="R776" s="133">
        <v>1</v>
      </c>
      <c r="S776" s="133">
        <v>0</v>
      </c>
    </row>
    <row r="777" spans="1:19">
      <c r="A777" s="85" t="s">
        <v>239</v>
      </c>
      <c r="B777" s="85">
        <v>6</v>
      </c>
      <c r="C777" s="85">
        <v>1</v>
      </c>
      <c r="D777" s="108">
        <v>0</v>
      </c>
      <c r="E777" s="108">
        <v>0</v>
      </c>
      <c r="F777" s="108">
        <v>100</v>
      </c>
      <c r="G777" s="108">
        <v>0</v>
      </c>
      <c r="H777" s="108">
        <v>100</v>
      </c>
      <c r="I777" s="108">
        <v>0</v>
      </c>
      <c r="J777" s="108">
        <v>0</v>
      </c>
      <c r="K777" s="108">
        <v>0</v>
      </c>
      <c r="L777" s="108">
        <v>1</v>
      </c>
      <c r="M777" s="134">
        <v>0</v>
      </c>
      <c r="N777" s="134">
        <v>29</v>
      </c>
      <c r="O777" s="134">
        <v>85000</v>
      </c>
      <c r="P777" s="133">
        <v>1</v>
      </c>
      <c r="Q777" s="133">
        <v>1</v>
      </c>
      <c r="R777" s="133">
        <v>1</v>
      </c>
      <c r="S777" s="133">
        <v>0</v>
      </c>
    </row>
    <row r="778" spans="1:19">
      <c r="A778" s="85" t="s">
        <v>239</v>
      </c>
      <c r="B778" s="85">
        <v>7</v>
      </c>
      <c r="C778" s="85">
        <v>1</v>
      </c>
      <c r="D778" s="108">
        <v>0</v>
      </c>
      <c r="E778" s="108">
        <v>0</v>
      </c>
      <c r="F778" s="108">
        <v>100</v>
      </c>
      <c r="G778" s="108">
        <v>100</v>
      </c>
      <c r="H778" s="108">
        <v>0</v>
      </c>
      <c r="I778" s="108">
        <v>0</v>
      </c>
      <c r="J778" s="108">
        <v>1</v>
      </c>
      <c r="K778" s="108">
        <v>0</v>
      </c>
      <c r="L778" s="108">
        <v>1</v>
      </c>
      <c r="M778" s="134">
        <v>0</v>
      </c>
      <c r="N778" s="134">
        <v>29</v>
      </c>
      <c r="O778" s="134">
        <v>85000</v>
      </c>
      <c r="P778" s="133">
        <v>1</v>
      </c>
      <c r="Q778" s="133">
        <v>1</v>
      </c>
      <c r="R778" s="133">
        <v>1</v>
      </c>
      <c r="S778" s="133">
        <v>0</v>
      </c>
    </row>
    <row r="779" spans="1:19">
      <c r="A779" s="85" t="s">
        <v>240</v>
      </c>
      <c r="B779" s="85">
        <v>1</v>
      </c>
      <c r="C779" s="85">
        <v>1</v>
      </c>
      <c r="D779" s="108">
        <v>99.781603288797527</v>
      </c>
      <c r="E779" s="108">
        <v>91.880781089414171</v>
      </c>
      <c r="F779" s="108">
        <v>50</v>
      </c>
      <c r="G779" s="108">
        <v>4.7147995889003091</v>
      </c>
      <c r="H779" s="108">
        <v>7.8622816032888014</v>
      </c>
      <c r="I779" s="108">
        <v>1</v>
      </c>
      <c r="J779" s="108">
        <v>0</v>
      </c>
      <c r="K779" s="108">
        <v>1</v>
      </c>
      <c r="L779" s="108">
        <v>1</v>
      </c>
      <c r="M779" s="134">
        <v>0</v>
      </c>
      <c r="N779" s="134">
        <v>25</v>
      </c>
      <c r="O779" s="134">
        <v>5000</v>
      </c>
      <c r="P779" s="133">
        <v>0</v>
      </c>
      <c r="Q779" s="133">
        <v>1</v>
      </c>
      <c r="R779" s="133">
        <v>1</v>
      </c>
      <c r="S779" s="133">
        <v>1</v>
      </c>
    </row>
    <row r="780" spans="1:19">
      <c r="A780" s="85" t="s">
        <v>240</v>
      </c>
      <c r="B780" s="85">
        <v>2</v>
      </c>
      <c r="C780" s="85">
        <v>1</v>
      </c>
      <c r="D780" s="108">
        <v>94.308838643371018</v>
      </c>
      <c r="E780" s="108">
        <v>99.293422404933196</v>
      </c>
      <c r="F780" s="108">
        <v>96.980986639260024</v>
      </c>
      <c r="G780" s="108">
        <v>4.2780061664953726</v>
      </c>
      <c r="H780" s="108">
        <v>77.672147995889006</v>
      </c>
      <c r="I780" s="108">
        <v>0</v>
      </c>
      <c r="J780" s="108">
        <v>0</v>
      </c>
      <c r="K780" s="108">
        <v>1</v>
      </c>
      <c r="L780" s="108">
        <v>1</v>
      </c>
      <c r="M780" s="134">
        <v>0</v>
      </c>
      <c r="N780" s="134">
        <v>25</v>
      </c>
      <c r="O780" s="134">
        <v>5000</v>
      </c>
      <c r="P780" s="133">
        <v>0</v>
      </c>
      <c r="Q780" s="133">
        <v>1</v>
      </c>
      <c r="R780" s="133">
        <v>1</v>
      </c>
      <c r="S780" s="133">
        <v>1</v>
      </c>
    </row>
    <row r="781" spans="1:19">
      <c r="A781" s="85" t="s">
        <v>240</v>
      </c>
      <c r="B781" s="85">
        <v>3</v>
      </c>
      <c r="C781" s="85">
        <v>1</v>
      </c>
      <c r="D781" s="108">
        <v>96.428571428571431</v>
      </c>
      <c r="E781" s="108">
        <v>23.972250770811922</v>
      </c>
      <c r="F781" s="108">
        <v>93.139773895169569</v>
      </c>
      <c r="G781" s="108">
        <v>13.14234326824255</v>
      </c>
      <c r="H781" s="108">
        <v>92.343268242548817</v>
      </c>
      <c r="I781" s="108">
        <v>0</v>
      </c>
      <c r="J781" s="108">
        <v>0</v>
      </c>
      <c r="K781" s="108">
        <v>1</v>
      </c>
      <c r="L781" s="108">
        <v>1</v>
      </c>
      <c r="M781" s="134">
        <v>0</v>
      </c>
      <c r="N781" s="134">
        <v>25</v>
      </c>
      <c r="O781" s="134">
        <v>5000</v>
      </c>
      <c r="P781" s="133">
        <v>0</v>
      </c>
      <c r="Q781" s="133">
        <v>1</v>
      </c>
      <c r="R781" s="133">
        <v>1</v>
      </c>
      <c r="S781" s="133">
        <v>1</v>
      </c>
    </row>
    <row r="782" spans="1:19">
      <c r="A782" s="85" t="s">
        <v>240</v>
      </c>
      <c r="B782" s="85">
        <v>4</v>
      </c>
      <c r="C782" s="85">
        <v>1</v>
      </c>
      <c r="D782" s="108">
        <v>97.045220966084273</v>
      </c>
      <c r="E782" s="108">
        <v>99.550359712230218</v>
      </c>
      <c r="F782" s="108">
        <v>98.753854059609452</v>
      </c>
      <c r="G782" s="108">
        <v>3.7384378211716358</v>
      </c>
      <c r="H782" s="108">
        <v>87.808324768756421</v>
      </c>
      <c r="I782" s="108">
        <v>0</v>
      </c>
      <c r="J782" s="108">
        <v>0</v>
      </c>
      <c r="K782" s="108">
        <v>1</v>
      </c>
      <c r="L782" s="108">
        <v>1</v>
      </c>
      <c r="M782" s="134">
        <v>0</v>
      </c>
      <c r="N782" s="134">
        <v>25</v>
      </c>
      <c r="O782" s="134">
        <v>5000</v>
      </c>
      <c r="P782" s="133">
        <v>0</v>
      </c>
      <c r="Q782" s="133">
        <v>1</v>
      </c>
      <c r="R782" s="133">
        <v>1</v>
      </c>
      <c r="S782" s="133">
        <v>1</v>
      </c>
    </row>
    <row r="783" spans="1:19">
      <c r="A783" s="85" t="s">
        <v>240</v>
      </c>
      <c r="B783" s="85">
        <v>5</v>
      </c>
      <c r="C783" s="85">
        <v>1</v>
      </c>
      <c r="D783" s="108">
        <v>100</v>
      </c>
      <c r="E783" s="108">
        <v>99.383350462487158</v>
      </c>
      <c r="F783" s="108">
        <v>99.383350462487158</v>
      </c>
      <c r="G783" s="108">
        <v>6.0251798561151091</v>
      </c>
      <c r="H783" s="108">
        <v>12.61562178828366</v>
      </c>
      <c r="I783" s="108">
        <v>0</v>
      </c>
      <c r="J783" s="108">
        <v>0</v>
      </c>
      <c r="K783" s="108">
        <v>1</v>
      </c>
      <c r="L783" s="108">
        <v>1</v>
      </c>
      <c r="M783" s="134">
        <v>0</v>
      </c>
      <c r="N783" s="134">
        <v>25</v>
      </c>
      <c r="O783" s="134">
        <v>5000</v>
      </c>
      <c r="P783" s="133">
        <v>0</v>
      </c>
      <c r="Q783" s="133">
        <v>1</v>
      </c>
      <c r="R783" s="133">
        <v>1</v>
      </c>
      <c r="S783" s="133">
        <v>1</v>
      </c>
    </row>
    <row r="784" spans="1:19">
      <c r="A784" s="85" t="s">
        <v>240</v>
      </c>
      <c r="B784" s="85">
        <v>6</v>
      </c>
      <c r="C784" s="85">
        <v>1</v>
      </c>
      <c r="D784" s="108">
        <v>98.509763617677294</v>
      </c>
      <c r="E784" s="108">
        <v>54.188078108941419</v>
      </c>
      <c r="F784" s="108">
        <v>59.095580678314477</v>
      </c>
      <c r="G784" s="108">
        <v>5.5626927029804696</v>
      </c>
      <c r="H784" s="108">
        <v>98.522610483042143</v>
      </c>
      <c r="I784" s="108">
        <v>0</v>
      </c>
      <c r="J784" s="108">
        <v>0</v>
      </c>
      <c r="K784" s="108">
        <v>1</v>
      </c>
      <c r="L784" s="108">
        <v>1</v>
      </c>
      <c r="M784" s="134">
        <v>0</v>
      </c>
      <c r="N784" s="134">
        <v>25</v>
      </c>
      <c r="O784" s="134">
        <v>5000</v>
      </c>
      <c r="P784" s="133">
        <v>0</v>
      </c>
      <c r="Q784" s="133">
        <v>1</v>
      </c>
      <c r="R784" s="133">
        <v>1</v>
      </c>
      <c r="S784" s="133">
        <v>1</v>
      </c>
    </row>
    <row r="785" spans="1:19">
      <c r="A785" s="85" t="s">
        <v>240</v>
      </c>
      <c r="B785" s="85">
        <v>7</v>
      </c>
      <c r="C785" s="85">
        <v>1</v>
      </c>
      <c r="D785" s="108">
        <v>8.6073997944501546</v>
      </c>
      <c r="E785" s="108">
        <v>92.548818088386426</v>
      </c>
      <c r="F785" s="108">
        <v>98.49691675231243</v>
      </c>
      <c r="G785" s="108">
        <v>3.7641315519013339</v>
      </c>
      <c r="H785" s="108">
        <v>86.998972250770805</v>
      </c>
      <c r="I785" s="108">
        <v>0</v>
      </c>
      <c r="J785" s="108">
        <v>1</v>
      </c>
      <c r="K785" s="108">
        <v>0</v>
      </c>
      <c r="L785" s="108">
        <v>1</v>
      </c>
      <c r="M785" s="134">
        <v>0</v>
      </c>
      <c r="N785" s="134">
        <v>25</v>
      </c>
      <c r="O785" s="134">
        <v>5000</v>
      </c>
      <c r="P785" s="133">
        <v>0</v>
      </c>
      <c r="Q785" s="133">
        <v>1</v>
      </c>
      <c r="R785" s="133">
        <v>1</v>
      </c>
      <c r="S785" s="133">
        <v>1</v>
      </c>
    </row>
    <row r="786" spans="1:19">
      <c r="A786" s="85" t="s">
        <v>241</v>
      </c>
      <c r="B786" s="85">
        <v>1</v>
      </c>
      <c r="C786" s="85">
        <v>1</v>
      </c>
      <c r="D786" s="108">
        <v>93.027888446215144</v>
      </c>
      <c r="E786" s="108">
        <v>50</v>
      </c>
      <c r="F786" s="108">
        <v>84.550686144311655</v>
      </c>
      <c r="G786" s="108">
        <v>93.193891102257638</v>
      </c>
      <c r="H786" s="108">
        <v>5.555555555555558</v>
      </c>
      <c r="I786" s="108">
        <v>1</v>
      </c>
      <c r="J786" s="108">
        <v>0</v>
      </c>
      <c r="K786" s="108">
        <v>1</v>
      </c>
      <c r="L786" s="108">
        <v>1</v>
      </c>
      <c r="M786" s="134">
        <v>0</v>
      </c>
      <c r="N786" s="134">
        <v>29</v>
      </c>
      <c r="O786" s="134">
        <v>70000</v>
      </c>
      <c r="P786" s="133">
        <v>0</v>
      </c>
      <c r="Q786" s="133">
        <v>0</v>
      </c>
      <c r="R786" s="133">
        <v>0</v>
      </c>
      <c r="S786" s="133">
        <v>0</v>
      </c>
    </row>
    <row r="787" spans="1:19">
      <c r="A787" s="85" t="s">
        <v>241</v>
      </c>
      <c r="B787" s="85">
        <v>2</v>
      </c>
      <c r="C787" s="85">
        <v>1</v>
      </c>
      <c r="D787" s="108">
        <v>93.581230633023466</v>
      </c>
      <c r="E787" s="108">
        <v>95.185922974767607</v>
      </c>
      <c r="F787" s="108">
        <v>95.562195661797261</v>
      </c>
      <c r="G787" s="108">
        <v>6.6179725542275358</v>
      </c>
      <c r="H787" s="108">
        <v>6.8061088977423632</v>
      </c>
      <c r="I787" s="108">
        <v>0</v>
      </c>
      <c r="J787" s="108">
        <v>0</v>
      </c>
      <c r="K787" s="108">
        <v>1</v>
      </c>
      <c r="L787" s="108">
        <v>1</v>
      </c>
      <c r="M787" s="134">
        <v>0</v>
      </c>
      <c r="N787" s="134">
        <v>29</v>
      </c>
      <c r="O787" s="134">
        <v>70000</v>
      </c>
      <c r="P787" s="133">
        <v>0</v>
      </c>
      <c r="Q787" s="133">
        <v>0</v>
      </c>
      <c r="R787" s="133">
        <v>0</v>
      </c>
      <c r="S787" s="133">
        <v>0</v>
      </c>
    </row>
    <row r="788" spans="1:19">
      <c r="A788" s="85" t="s">
        <v>241</v>
      </c>
      <c r="B788" s="85">
        <v>4</v>
      </c>
      <c r="C788" s="85">
        <v>1</v>
      </c>
      <c r="D788" s="108">
        <v>91.899070385126166</v>
      </c>
      <c r="E788" s="108">
        <v>95.772465692784408</v>
      </c>
      <c r="F788" s="108">
        <v>88.800354138999566</v>
      </c>
      <c r="G788" s="108">
        <v>18.6033643204958</v>
      </c>
      <c r="H788" s="108">
        <v>8.1230633023461731</v>
      </c>
      <c r="I788" s="108">
        <v>0</v>
      </c>
      <c r="J788" s="108">
        <v>0</v>
      </c>
      <c r="K788" s="108">
        <v>1</v>
      </c>
      <c r="L788" s="108">
        <v>1</v>
      </c>
      <c r="M788" s="134">
        <v>0</v>
      </c>
      <c r="N788" s="134">
        <v>29</v>
      </c>
      <c r="O788" s="134">
        <v>70000</v>
      </c>
      <c r="P788" s="133">
        <v>0</v>
      </c>
      <c r="Q788" s="133">
        <v>0</v>
      </c>
      <c r="R788" s="133">
        <v>0</v>
      </c>
      <c r="S788" s="133">
        <v>0</v>
      </c>
    </row>
    <row r="789" spans="1:19">
      <c r="A789" s="85" t="s">
        <v>242</v>
      </c>
      <c r="B789" s="85">
        <v>1</v>
      </c>
      <c r="C789" s="85">
        <v>1</v>
      </c>
      <c r="D789" s="108">
        <v>94.513900312551399</v>
      </c>
      <c r="E789" s="108">
        <v>96.586609639743386</v>
      </c>
      <c r="F789" s="108">
        <v>97.524263859187371</v>
      </c>
      <c r="G789" s="108">
        <v>8.3648626418818868</v>
      </c>
      <c r="H789" s="108">
        <v>6.7198552393485764</v>
      </c>
      <c r="I789" s="108">
        <v>1</v>
      </c>
      <c r="J789" s="108">
        <v>0</v>
      </c>
      <c r="K789" s="108">
        <v>1</v>
      </c>
      <c r="L789" s="108">
        <v>1</v>
      </c>
      <c r="M789" s="134">
        <v>1</v>
      </c>
      <c r="N789" s="134">
        <v>18</v>
      </c>
      <c r="O789" s="134">
        <v>22000</v>
      </c>
      <c r="P789" s="133">
        <v>0</v>
      </c>
      <c r="Q789" s="133">
        <v>0</v>
      </c>
      <c r="R789" s="133">
        <v>0</v>
      </c>
      <c r="S789" s="133">
        <v>1</v>
      </c>
    </row>
    <row r="790" spans="1:19">
      <c r="A790" s="85" t="s">
        <v>242</v>
      </c>
      <c r="B790" s="85">
        <v>2</v>
      </c>
      <c r="C790" s="85">
        <v>1</v>
      </c>
      <c r="D790" s="108">
        <v>94.38229972034874</v>
      </c>
      <c r="E790" s="108">
        <v>96.586609639743386</v>
      </c>
      <c r="F790" s="108">
        <v>88.073696331633485</v>
      </c>
      <c r="G790" s="108">
        <v>2.2043099193946372</v>
      </c>
      <c r="H790" s="108">
        <v>5.7739759828919208</v>
      </c>
      <c r="I790" s="108">
        <v>0</v>
      </c>
      <c r="J790" s="108">
        <v>0</v>
      </c>
      <c r="K790" s="108">
        <v>1</v>
      </c>
      <c r="L790" s="108">
        <v>1</v>
      </c>
      <c r="M790" s="134">
        <v>1</v>
      </c>
      <c r="N790" s="134">
        <v>18</v>
      </c>
      <c r="O790" s="134">
        <v>22000</v>
      </c>
      <c r="P790" s="133">
        <v>0</v>
      </c>
      <c r="Q790" s="133">
        <v>0</v>
      </c>
      <c r="R790" s="133">
        <v>0</v>
      </c>
      <c r="S790" s="133">
        <v>1</v>
      </c>
    </row>
    <row r="791" spans="1:19">
      <c r="A791" s="85" t="s">
        <v>242</v>
      </c>
      <c r="B791" s="85">
        <v>3</v>
      </c>
      <c r="C791" s="85">
        <v>1</v>
      </c>
      <c r="D791" s="108">
        <v>96.298733344300047</v>
      </c>
      <c r="E791" s="108">
        <v>89.578878104951471</v>
      </c>
      <c r="F791" s="108">
        <v>7.4025333113999006</v>
      </c>
      <c r="G791" s="108">
        <v>9.467017601579208</v>
      </c>
      <c r="H791" s="108">
        <v>7.6739595328178982</v>
      </c>
      <c r="I791" s="108">
        <v>0</v>
      </c>
      <c r="J791" s="108">
        <v>0</v>
      </c>
      <c r="K791" s="108">
        <v>1</v>
      </c>
      <c r="L791" s="108">
        <v>1</v>
      </c>
      <c r="M791" s="134">
        <v>1</v>
      </c>
      <c r="N791" s="134">
        <v>18</v>
      </c>
      <c r="O791" s="134">
        <v>22000</v>
      </c>
      <c r="P791" s="133">
        <v>0</v>
      </c>
      <c r="Q791" s="133">
        <v>0</v>
      </c>
      <c r="R791" s="133">
        <v>0</v>
      </c>
      <c r="S791" s="133">
        <v>1</v>
      </c>
    </row>
    <row r="792" spans="1:19">
      <c r="A792" s="85" t="s">
        <v>242</v>
      </c>
      <c r="B792" s="85">
        <v>6</v>
      </c>
      <c r="C792" s="85">
        <v>1</v>
      </c>
      <c r="D792" s="108">
        <v>87.172413793103459</v>
      </c>
      <c r="E792" s="108">
        <v>50</v>
      </c>
      <c r="F792" s="108">
        <v>11.72413793103448</v>
      </c>
      <c r="G792" s="108">
        <v>20.63218390804597</v>
      </c>
      <c r="H792" s="108">
        <v>13.04597701149425</v>
      </c>
      <c r="I792" s="108">
        <v>0</v>
      </c>
      <c r="J792" s="108">
        <v>0</v>
      </c>
      <c r="K792" s="108">
        <v>1</v>
      </c>
      <c r="L792" s="108">
        <v>1</v>
      </c>
      <c r="M792" s="134">
        <v>1</v>
      </c>
      <c r="N792" s="134">
        <v>18</v>
      </c>
      <c r="O792" s="134">
        <v>22000</v>
      </c>
      <c r="P792" s="133">
        <v>0</v>
      </c>
      <c r="Q792" s="133">
        <v>0</v>
      </c>
      <c r="R792" s="133">
        <v>0</v>
      </c>
      <c r="S792" s="133">
        <v>1</v>
      </c>
    </row>
    <row r="793" spans="1:19">
      <c r="A793" s="85" t="s">
        <v>242</v>
      </c>
      <c r="B793" s="85">
        <v>7</v>
      </c>
      <c r="C793" s="85">
        <v>1</v>
      </c>
      <c r="D793" s="108">
        <v>28.172413793103441</v>
      </c>
      <c r="E793" s="108">
        <v>28.172413793103441</v>
      </c>
      <c r="F793" s="108">
        <v>5.9310344827586237</v>
      </c>
      <c r="G793" s="108">
        <v>3.2528735632183889</v>
      </c>
      <c r="H793" s="108">
        <v>0</v>
      </c>
      <c r="I793" s="108">
        <v>0</v>
      </c>
      <c r="J793" s="108">
        <v>1</v>
      </c>
      <c r="K793" s="108">
        <v>0</v>
      </c>
      <c r="L793" s="108">
        <v>1</v>
      </c>
      <c r="M793" s="134">
        <v>1</v>
      </c>
      <c r="N793" s="134">
        <v>18</v>
      </c>
      <c r="O793" s="134">
        <v>22000</v>
      </c>
      <c r="P793" s="133">
        <v>0</v>
      </c>
      <c r="Q793" s="133">
        <v>0</v>
      </c>
      <c r="R793" s="133">
        <v>0</v>
      </c>
      <c r="S793" s="133">
        <v>1</v>
      </c>
    </row>
    <row r="794" spans="1:19">
      <c r="A794" s="85" t="s">
        <v>243</v>
      </c>
      <c r="B794" s="85">
        <v>1</v>
      </c>
      <c r="C794" s="85">
        <v>1</v>
      </c>
      <c r="D794" s="108">
        <v>50</v>
      </c>
      <c r="E794" s="108">
        <v>86.789946873722926</v>
      </c>
      <c r="F794" s="108">
        <v>73.477727829995914</v>
      </c>
      <c r="G794" s="108">
        <v>15.927666530445441</v>
      </c>
      <c r="H794" s="108">
        <v>15.927666530445441</v>
      </c>
      <c r="I794" s="108">
        <v>1</v>
      </c>
      <c r="J794" s="108">
        <v>0</v>
      </c>
      <c r="K794" s="108">
        <v>1</v>
      </c>
      <c r="L794" s="108">
        <v>1</v>
      </c>
      <c r="M794" s="134">
        <v>0</v>
      </c>
      <c r="N794" s="134">
        <v>25</v>
      </c>
      <c r="O794" s="134">
        <v>67000</v>
      </c>
      <c r="P794" s="133">
        <v>0</v>
      </c>
      <c r="Q794" s="133">
        <v>0</v>
      </c>
      <c r="R794" s="133">
        <v>1</v>
      </c>
      <c r="S794" s="133">
        <v>1</v>
      </c>
    </row>
    <row r="795" spans="1:19">
      <c r="A795" s="85" t="s">
        <v>243</v>
      </c>
      <c r="B795" s="85">
        <v>3</v>
      </c>
      <c r="C795" s="85">
        <v>1</v>
      </c>
      <c r="D795" s="108">
        <v>79.280751941152431</v>
      </c>
      <c r="E795" s="108">
        <v>8.0302411115651839</v>
      </c>
      <c r="F795" s="108">
        <v>89.854924397221097</v>
      </c>
      <c r="G795" s="108">
        <v>73.222313036371062</v>
      </c>
      <c r="H795" s="108">
        <v>87.331426236207605</v>
      </c>
      <c r="I795" s="108">
        <v>0</v>
      </c>
      <c r="J795" s="108">
        <v>0</v>
      </c>
      <c r="K795" s="108">
        <v>1</v>
      </c>
      <c r="L795" s="108">
        <v>1</v>
      </c>
      <c r="M795" s="134">
        <v>0</v>
      </c>
      <c r="N795" s="134">
        <v>25</v>
      </c>
      <c r="O795" s="134">
        <v>67000</v>
      </c>
      <c r="P795" s="133">
        <v>0</v>
      </c>
      <c r="Q795" s="133">
        <v>0</v>
      </c>
      <c r="R795" s="133">
        <v>1</v>
      </c>
      <c r="S795" s="133">
        <v>1</v>
      </c>
    </row>
    <row r="796" spans="1:19">
      <c r="A796" s="85" t="s">
        <v>243</v>
      </c>
      <c r="B796" s="85">
        <v>4</v>
      </c>
      <c r="C796" s="85">
        <v>1</v>
      </c>
      <c r="D796" s="108">
        <v>96.342460155292201</v>
      </c>
      <c r="E796" s="108">
        <v>4.3931344503473637</v>
      </c>
      <c r="F796" s="108">
        <v>96.117695136902341</v>
      </c>
      <c r="G796" s="108">
        <v>96.659174499387007</v>
      </c>
      <c r="H796" s="108">
        <v>5.9154066203514493</v>
      </c>
      <c r="I796" s="108">
        <v>0</v>
      </c>
      <c r="J796" s="108">
        <v>0</v>
      </c>
      <c r="K796" s="108">
        <v>1</v>
      </c>
      <c r="L796" s="108">
        <v>1</v>
      </c>
      <c r="M796" s="134">
        <v>0</v>
      </c>
      <c r="N796" s="134">
        <v>25</v>
      </c>
      <c r="O796" s="134">
        <v>67000</v>
      </c>
      <c r="P796" s="133">
        <v>0</v>
      </c>
      <c r="Q796" s="133">
        <v>0</v>
      </c>
      <c r="R796" s="133">
        <v>1</v>
      </c>
      <c r="S796" s="133">
        <v>1</v>
      </c>
    </row>
    <row r="797" spans="1:19">
      <c r="A797" s="85" t="s">
        <v>243</v>
      </c>
      <c r="B797" s="85">
        <v>5</v>
      </c>
      <c r="C797" s="85">
        <v>1</v>
      </c>
      <c r="D797" s="108">
        <v>0</v>
      </c>
      <c r="E797" s="108">
        <v>95.24928483857785</v>
      </c>
      <c r="F797" s="108">
        <v>0.76595744680851285</v>
      </c>
      <c r="G797" s="108">
        <v>95.198201879852888</v>
      </c>
      <c r="H797" s="108">
        <v>2.117021276595743</v>
      </c>
      <c r="I797" s="108">
        <v>0</v>
      </c>
      <c r="J797" s="108">
        <v>0</v>
      </c>
      <c r="K797" s="108">
        <v>0</v>
      </c>
      <c r="L797" s="108">
        <v>1</v>
      </c>
      <c r="M797" s="134">
        <v>0</v>
      </c>
      <c r="N797" s="134">
        <v>25</v>
      </c>
      <c r="O797" s="134">
        <v>67000</v>
      </c>
      <c r="P797" s="133">
        <v>0</v>
      </c>
      <c r="Q797" s="133">
        <v>0</v>
      </c>
      <c r="R797" s="133">
        <v>1</v>
      </c>
      <c r="S797" s="133">
        <v>1</v>
      </c>
    </row>
    <row r="798" spans="1:19">
      <c r="A798" s="85" t="s">
        <v>243</v>
      </c>
      <c r="B798" s="85">
        <v>6</v>
      </c>
      <c r="C798" s="85">
        <v>1</v>
      </c>
      <c r="D798" s="108">
        <v>1.425531914893619</v>
      </c>
      <c r="E798" s="108">
        <v>0.8191489361702109</v>
      </c>
      <c r="F798" s="108">
        <v>2.2765957446808538</v>
      </c>
      <c r="G798" s="108">
        <v>97.372340425531917</v>
      </c>
      <c r="H798" s="108">
        <v>98.638297872340416</v>
      </c>
      <c r="I798" s="108">
        <v>0</v>
      </c>
      <c r="J798" s="108">
        <v>0</v>
      </c>
      <c r="K798" s="108">
        <v>0</v>
      </c>
      <c r="L798" s="108">
        <v>1</v>
      </c>
      <c r="M798" s="134">
        <v>0</v>
      </c>
      <c r="N798" s="134">
        <v>25</v>
      </c>
      <c r="O798" s="134">
        <v>67000</v>
      </c>
      <c r="P798" s="133">
        <v>0</v>
      </c>
      <c r="Q798" s="133">
        <v>0</v>
      </c>
      <c r="R798" s="133">
        <v>1</v>
      </c>
      <c r="S798" s="133">
        <v>1</v>
      </c>
    </row>
    <row r="799" spans="1:19">
      <c r="A799" s="85" t="s">
        <v>243</v>
      </c>
      <c r="B799" s="85">
        <v>7</v>
      </c>
      <c r="C799" s="85">
        <v>1</v>
      </c>
      <c r="D799" s="108">
        <v>1.404255319148934</v>
      </c>
      <c r="E799" s="108">
        <v>1.5106382978723409</v>
      </c>
      <c r="F799" s="108">
        <v>97.287234042553195</v>
      </c>
      <c r="G799" s="108">
        <v>1.1595744680851059</v>
      </c>
      <c r="H799" s="108">
        <v>98.840425531914903</v>
      </c>
      <c r="I799" s="108">
        <v>0</v>
      </c>
      <c r="J799" s="108">
        <v>1</v>
      </c>
      <c r="K799" s="108">
        <v>0</v>
      </c>
      <c r="L799" s="108">
        <v>1</v>
      </c>
      <c r="M799" s="134">
        <v>0</v>
      </c>
      <c r="N799" s="134">
        <v>25</v>
      </c>
      <c r="O799" s="134">
        <v>67000</v>
      </c>
      <c r="P799" s="133">
        <v>0</v>
      </c>
      <c r="Q799" s="133">
        <v>0</v>
      </c>
      <c r="R799" s="133">
        <v>1</v>
      </c>
      <c r="S799" s="133">
        <v>1</v>
      </c>
    </row>
    <row r="800" spans="1:19">
      <c r="A800" s="85" t="s">
        <v>244</v>
      </c>
      <c r="B800" s="85">
        <v>1</v>
      </c>
      <c r="C800" s="85">
        <v>1</v>
      </c>
      <c r="D800" s="108">
        <v>84.927124066832562</v>
      </c>
      <c r="E800" s="108">
        <v>89.370778528261638</v>
      </c>
      <c r="F800" s="108">
        <v>95.47635975826519</v>
      </c>
      <c r="G800" s="108">
        <v>12.29559189477426</v>
      </c>
      <c r="H800" s="108">
        <v>14.628510487024529</v>
      </c>
      <c r="I800" s="108">
        <v>1</v>
      </c>
      <c r="J800" s="108">
        <v>0</v>
      </c>
      <c r="K800" s="108">
        <v>1</v>
      </c>
      <c r="L800" s="108">
        <v>1</v>
      </c>
      <c r="M800" s="134">
        <v>0</v>
      </c>
      <c r="N800" s="134">
        <v>60</v>
      </c>
      <c r="O800" s="134">
        <v>5000</v>
      </c>
      <c r="P800" s="133">
        <v>0</v>
      </c>
      <c r="Q800" s="133">
        <v>0</v>
      </c>
      <c r="R800" s="133">
        <v>0</v>
      </c>
      <c r="S800" s="133">
        <v>0</v>
      </c>
    </row>
    <row r="801" spans="1:19">
      <c r="A801" s="85" t="s">
        <v>244</v>
      </c>
      <c r="B801" s="85">
        <v>2</v>
      </c>
      <c r="C801" s="85">
        <v>1</v>
      </c>
      <c r="D801" s="108">
        <v>32.996928477402371</v>
      </c>
      <c r="E801" s="108">
        <v>55.550680122860911</v>
      </c>
      <c r="F801" s="108">
        <v>71.281263712154455</v>
      </c>
      <c r="G801" s="108">
        <v>91.684949539271614</v>
      </c>
      <c r="H801" s="108">
        <v>50</v>
      </c>
      <c r="I801" s="108">
        <v>0</v>
      </c>
      <c r="J801" s="108">
        <v>0</v>
      </c>
      <c r="K801" s="108">
        <v>0</v>
      </c>
      <c r="L801" s="108">
        <v>1</v>
      </c>
      <c r="M801" s="134">
        <v>0</v>
      </c>
      <c r="N801" s="134">
        <v>60</v>
      </c>
      <c r="O801" s="134">
        <v>5000</v>
      </c>
      <c r="P801" s="133">
        <v>0</v>
      </c>
      <c r="Q801" s="133">
        <v>0</v>
      </c>
      <c r="R801" s="133">
        <v>0</v>
      </c>
      <c r="S801" s="133">
        <v>0</v>
      </c>
    </row>
    <row r="802" spans="1:19">
      <c r="A802" s="85" t="s">
        <v>244</v>
      </c>
      <c r="B802" s="85">
        <v>4</v>
      </c>
      <c r="C802" s="85">
        <v>1</v>
      </c>
      <c r="D802" s="108">
        <v>5.5835892935498013</v>
      </c>
      <c r="E802" s="108">
        <v>2.6766125493637549</v>
      </c>
      <c r="F802" s="108">
        <v>42.913558578323823</v>
      </c>
      <c r="G802" s="108">
        <v>5.2983764809126814</v>
      </c>
      <c r="H802" s="108">
        <v>4.8157086441421697</v>
      </c>
      <c r="I802" s="108">
        <v>0</v>
      </c>
      <c r="J802" s="108">
        <v>0</v>
      </c>
      <c r="K802" s="108">
        <v>0</v>
      </c>
      <c r="L802" s="108">
        <v>1</v>
      </c>
      <c r="M802" s="134">
        <v>0</v>
      </c>
      <c r="N802" s="134">
        <v>60</v>
      </c>
      <c r="O802" s="134">
        <v>5000</v>
      </c>
      <c r="P802" s="133">
        <v>0</v>
      </c>
      <c r="Q802" s="133">
        <v>0</v>
      </c>
      <c r="R802" s="133">
        <v>0</v>
      </c>
      <c r="S802" s="133">
        <v>0</v>
      </c>
    </row>
    <row r="803" spans="1:19">
      <c r="A803" s="85" t="s">
        <v>244</v>
      </c>
      <c r="B803" s="85">
        <v>6</v>
      </c>
      <c r="C803" s="85">
        <v>1</v>
      </c>
      <c r="D803" s="108">
        <v>1.744186046511625</v>
      </c>
      <c r="E803" s="108">
        <v>2.095217200526545</v>
      </c>
      <c r="F803" s="108">
        <v>46.895568231680564</v>
      </c>
      <c r="G803" s="108">
        <v>5.1996489688459828</v>
      </c>
      <c r="H803" s="108">
        <v>4.0478279947345319</v>
      </c>
      <c r="I803" s="108">
        <v>0</v>
      </c>
      <c r="J803" s="108">
        <v>0</v>
      </c>
      <c r="K803" s="108">
        <v>0</v>
      </c>
      <c r="L803" s="108">
        <v>1</v>
      </c>
      <c r="M803" s="134">
        <v>0</v>
      </c>
      <c r="N803" s="134">
        <v>60</v>
      </c>
      <c r="O803" s="134">
        <v>5000</v>
      </c>
      <c r="P803" s="133">
        <v>0</v>
      </c>
      <c r="Q803" s="133">
        <v>0</v>
      </c>
      <c r="R803" s="133">
        <v>0</v>
      </c>
      <c r="S803" s="133">
        <v>0</v>
      </c>
    </row>
    <row r="804" spans="1:19">
      <c r="A804" s="85" t="s">
        <v>245</v>
      </c>
      <c r="B804" s="85">
        <v>1</v>
      </c>
      <c r="C804" s="85">
        <v>1</v>
      </c>
      <c r="D804" s="108">
        <v>100</v>
      </c>
      <c r="E804" s="108">
        <v>95.030303030303031</v>
      </c>
      <c r="F804" s="108">
        <v>0.65151515151515293</v>
      </c>
      <c r="G804" s="108">
        <v>9.0909090909091494E-2</v>
      </c>
      <c r="H804" s="108">
        <v>100</v>
      </c>
      <c r="I804" s="108">
        <v>1</v>
      </c>
      <c r="J804" s="108">
        <v>0</v>
      </c>
      <c r="K804" s="108">
        <v>1</v>
      </c>
      <c r="L804" s="108">
        <v>1</v>
      </c>
      <c r="M804" s="134">
        <v>1</v>
      </c>
      <c r="N804" s="134">
        <v>37</v>
      </c>
      <c r="O804" s="134">
        <v>120000</v>
      </c>
      <c r="P804" s="133">
        <v>1</v>
      </c>
      <c r="Q804" s="133">
        <v>0</v>
      </c>
      <c r="R804" s="133">
        <v>1</v>
      </c>
      <c r="S804" s="133">
        <v>1</v>
      </c>
    </row>
    <row r="805" spans="1:19">
      <c r="A805" s="85" t="s">
        <v>245</v>
      </c>
      <c r="B805" s="85">
        <v>2</v>
      </c>
      <c r="C805" s="85">
        <v>1</v>
      </c>
      <c r="D805" s="108">
        <v>100</v>
      </c>
      <c r="E805" s="108">
        <v>0.95454545454545237</v>
      </c>
      <c r="F805" s="108">
        <v>100</v>
      </c>
      <c r="G805" s="108">
        <v>100</v>
      </c>
      <c r="H805" s="108">
        <v>95.606060606060609</v>
      </c>
      <c r="I805" s="108">
        <v>0</v>
      </c>
      <c r="J805" s="108">
        <v>0</v>
      </c>
      <c r="K805" s="108">
        <v>1</v>
      </c>
      <c r="L805" s="108">
        <v>1</v>
      </c>
      <c r="M805" s="134">
        <v>1</v>
      </c>
      <c r="N805" s="134">
        <v>37</v>
      </c>
      <c r="O805" s="134">
        <v>120000</v>
      </c>
      <c r="P805" s="133">
        <v>1</v>
      </c>
      <c r="Q805" s="133">
        <v>0</v>
      </c>
      <c r="R805" s="133">
        <v>1</v>
      </c>
      <c r="S805" s="133">
        <v>1</v>
      </c>
    </row>
    <row r="806" spans="1:19">
      <c r="A806" s="85" t="s">
        <v>245</v>
      </c>
      <c r="B806" s="85">
        <v>3</v>
      </c>
      <c r="C806" s="85">
        <v>1</v>
      </c>
      <c r="D806" s="108">
        <v>96.181818181818173</v>
      </c>
      <c r="E806" s="108">
        <v>95.575757575757578</v>
      </c>
      <c r="F806" s="108">
        <v>100</v>
      </c>
      <c r="G806" s="108">
        <v>0</v>
      </c>
      <c r="H806" s="108">
        <v>100</v>
      </c>
      <c r="I806" s="108">
        <v>0</v>
      </c>
      <c r="J806" s="108">
        <v>0</v>
      </c>
      <c r="K806" s="108">
        <v>1</v>
      </c>
      <c r="L806" s="108">
        <v>1</v>
      </c>
      <c r="M806" s="134">
        <v>1</v>
      </c>
      <c r="N806" s="134">
        <v>37</v>
      </c>
      <c r="O806" s="134">
        <v>120000</v>
      </c>
      <c r="P806" s="133">
        <v>1</v>
      </c>
      <c r="Q806" s="133">
        <v>0</v>
      </c>
      <c r="R806" s="133">
        <v>1</v>
      </c>
      <c r="S806" s="133">
        <v>1</v>
      </c>
    </row>
    <row r="807" spans="1:19">
      <c r="A807" s="85" t="s">
        <v>245</v>
      </c>
      <c r="B807" s="85">
        <v>4</v>
      </c>
      <c r="C807" s="85">
        <v>1</v>
      </c>
      <c r="D807" s="108">
        <v>2.106060606060606</v>
      </c>
      <c r="E807" s="108">
        <v>97.287878787878796</v>
      </c>
      <c r="F807" s="108">
        <v>2.666666666666667</v>
      </c>
      <c r="G807" s="108">
        <v>98.484848484848484</v>
      </c>
      <c r="H807" s="108">
        <v>96.439393939393938</v>
      </c>
      <c r="I807" s="108">
        <v>0</v>
      </c>
      <c r="J807" s="108">
        <v>0</v>
      </c>
      <c r="K807" s="108">
        <v>0</v>
      </c>
      <c r="L807" s="108">
        <v>1</v>
      </c>
      <c r="M807" s="134">
        <v>1</v>
      </c>
      <c r="N807" s="134">
        <v>37</v>
      </c>
      <c r="O807" s="134">
        <v>120000</v>
      </c>
      <c r="P807" s="133">
        <v>1</v>
      </c>
      <c r="Q807" s="133">
        <v>0</v>
      </c>
      <c r="R807" s="133">
        <v>1</v>
      </c>
      <c r="S807" s="133">
        <v>1</v>
      </c>
    </row>
    <row r="808" spans="1:19">
      <c r="A808" s="85" t="s">
        <v>245</v>
      </c>
      <c r="B808" s="85">
        <v>5</v>
      </c>
      <c r="C808" s="85">
        <v>1</v>
      </c>
      <c r="D808" s="108">
        <v>100</v>
      </c>
      <c r="E808" s="108">
        <v>0.96969696969697039</v>
      </c>
      <c r="F808" s="108">
        <v>100</v>
      </c>
      <c r="G808" s="108">
        <v>97.606060606060609</v>
      </c>
      <c r="H808" s="108">
        <v>100</v>
      </c>
      <c r="I808" s="108">
        <v>0</v>
      </c>
      <c r="J808" s="108">
        <v>0</v>
      </c>
      <c r="K808" s="108">
        <v>1</v>
      </c>
      <c r="L808" s="108">
        <v>1</v>
      </c>
      <c r="M808" s="134">
        <v>1</v>
      </c>
      <c r="N808" s="134">
        <v>37</v>
      </c>
      <c r="O808" s="134">
        <v>120000</v>
      </c>
      <c r="P808" s="133">
        <v>1</v>
      </c>
      <c r="Q808" s="133">
        <v>0</v>
      </c>
      <c r="R808" s="133">
        <v>1</v>
      </c>
      <c r="S808" s="133">
        <v>1</v>
      </c>
    </row>
    <row r="809" spans="1:19">
      <c r="A809" s="85" t="s">
        <v>245</v>
      </c>
      <c r="B809" s="85">
        <v>6</v>
      </c>
      <c r="C809" s="85">
        <v>1</v>
      </c>
      <c r="D809" s="108">
        <v>100</v>
      </c>
      <c r="E809" s="108">
        <v>1.5454545454545441</v>
      </c>
      <c r="F809" s="108">
        <v>0</v>
      </c>
      <c r="G809" s="108">
        <v>96.484848484848484</v>
      </c>
      <c r="H809" s="108">
        <v>100</v>
      </c>
      <c r="I809" s="108">
        <v>0</v>
      </c>
      <c r="J809" s="108">
        <v>0</v>
      </c>
      <c r="K809" s="108">
        <v>1</v>
      </c>
      <c r="L809" s="108">
        <v>1</v>
      </c>
      <c r="M809" s="134">
        <v>1</v>
      </c>
      <c r="N809" s="134">
        <v>37</v>
      </c>
      <c r="O809" s="134">
        <v>120000</v>
      </c>
      <c r="P809" s="133">
        <v>1</v>
      </c>
      <c r="Q809" s="133">
        <v>0</v>
      </c>
      <c r="R809" s="133">
        <v>1</v>
      </c>
      <c r="S809" s="133">
        <v>1</v>
      </c>
    </row>
    <row r="810" spans="1:19">
      <c r="A810" s="85" t="s">
        <v>246</v>
      </c>
      <c r="B810" s="85">
        <v>1</v>
      </c>
      <c r="C810" s="85">
        <v>1</v>
      </c>
      <c r="D810" s="108">
        <v>100</v>
      </c>
      <c r="E810" s="108">
        <v>100</v>
      </c>
      <c r="F810" s="108">
        <v>0</v>
      </c>
      <c r="G810" s="108">
        <v>100</v>
      </c>
      <c r="H810" s="108">
        <v>100</v>
      </c>
      <c r="I810" s="108">
        <v>1</v>
      </c>
      <c r="J810" s="108">
        <v>0</v>
      </c>
      <c r="K810" s="108">
        <v>1</v>
      </c>
      <c r="L810" s="108">
        <v>1</v>
      </c>
      <c r="M810" s="134">
        <v>1</v>
      </c>
      <c r="N810" s="134">
        <v>44</v>
      </c>
      <c r="O810" s="134">
        <v>178000</v>
      </c>
      <c r="P810" s="133">
        <v>1</v>
      </c>
      <c r="Q810" s="133">
        <v>1</v>
      </c>
      <c r="R810" s="133">
        <v>1</v>
      </c>
      <c r="S810" s="133">
        <v>1</v>
      </c>
    </row>
    <row r="811" spans="1:19">
      <c r="A811" s="85" t="s">
        <v>246</v>
      </c>
      <c r="B811" s="85">
        <v>3</v>
      </c>
      <c r="C811" s="85">
        <v>1</v>
      </c>
      <c r="D811" s="108">
        <v>0.34904013961605812</v>
      </c>
      <c r="E811" s="108">
        <v>100</v>
      </c>
      <c r="F811" s="108">
        <v>0</v>
      </c>
      <c r="G811" s="108">
        <v>100</v>
      </c>
      <c r="H811" s="108">
        <v>0</v>
      </c>
      <c r="I811" s="108">
        <v>0</v>
      </c>
      <c r="J811" s="108">
        <v>0</v>
      </c>
      <c r="K811" s="108">
        <v>0</v>
      </c>
      <c r="L811" s="108">
        <v>1</v>
      </c>
      <c r="M811" s="134">
        <v>1</v>
      </c>
      <c r="N811" s="134">
        <v>44</v>
      </c>
      <c r="O811" s="134">
        <v>178000</v>
      </c>
      <c r="P811" s="133">
        <v>1</v>
      </c>
      <c r="Q811" s="133">
        <v>1</v>
      </c>
      <c r="R811" s="133">
        <v>1</v>
      </c>
      <c r="S811" s="133">
        <v>1</v>
      </c>
    </row>
    <row r="812" spans="1:19">
      <c r="A812" s="85" t="s">
        <v>246</v>
      </c>
      <c r="B812" s="85">
        <v>4</v>
      </c>
      <c r="C812" s="85">
        <v>1</v>
      </c>
      <c r="D812" s="108">
        <v>100</v>
      </c>
      <c r="E812" s="108">
        <v>0</v>
      </c>
      <c r="F812" s="108">
        <v>100</v>
      </c>
      <c r="G812" s="108">
        <v>0</v>
      </c>
      <c r="H812" s="108">
        <v>100</v>
      </c>
      <c r="I812" s="108">
        <v>0</v>
      </c>
      <c r="J812" s="108">
        <v>0</v>
      </c>
      <c r="K812" s="108">
        <v>1</v>
      </c>
      <c r="L812" s="108">
        <v>1</v>
      </c>
      <c r="M812" s="134">
        <v>1</v>
      </c>
      <c r="N812" s="134">
        <v>44</v>
      </c>
      <c r="O812" s="134">
        <v>178000</v>
      </c>
      <c r="P812" s="133">
        <v>1</v>
      </c>
      <c r="Q812" s="133">
        <v>1</v>
      </c>
      <c r="R812" s="133">
        <v>1</v>
      </c>
      <c r="S812" s="133">
        <v>1</v>
      </c>
    </row>
    <row r="813" spans="1:19">
      <c r="A813" s="85" t="s">
        <v>246</v>
      </c>
      <c r="B813" s="85">
        <v>5</v>
      </c>
      <c r="C813" s="85">
        <v>1</v>
      </c>
      <c r="D813" s="108">
        <v>0</v>
      </c>
      <c r="E813" s="108">
        <v>100</v>
      </c>
      <c r="F813" s="108">
        <v>0</v>
      </c>
      <c r="G813" s="108">
        <v>0</v>
      </c>
      <c r="H813" s="108">
        <v>100</v>
      </c>
      <c r="I813" s="108">
        <v>0</v>
      </c>
      <c r="J813" s="108">
        <v>0</v>
      </c>
      <c r="K813" s="108">
        <v>0</v>
      </c>
      <c r="L813" s="108">
        <v>1</v>
      </c>
      <c r="M813" s="134">
        <v>1</v>
      </c>
      <c r="N813" s="134">
        <v>44</v>
      </c>
      <c r="O813" s="134">
        <v>178000</v>
      </c>
      <c r="P813" s="133">
        <v>1</v>
      </c>
      <c r="Q813" s="133">
        <v>1</v>
      </c>
      <c r="R813" s="133">
        <v>1</v>
      </c>
      <c r="S813" s="133">
        <v>1</v>
      </c>
    </row>
    <row r="814" spans="1:19">
      <c r="A814" s="85" t="s">
        <v>246</v>
      </c>
      <c r="B814" s="85">
        <v>6</v>
      </c>
      <c r="C814" s="85">
        <v>1</v>
      </c>
      <c r="D814" s="108">
        <v>50</v>
      </c>
      <c r="E814" s="108">
        <v>0</v>
      </c>
      <c r="F814" s="108">
        <v>72.905759162303667</v>
      </c>
      <c r="G814" s="108">
        <v>100</v>
      </c>
      <c r="H814" s="108">
        <v>0</v>
      </c>
      <c r="I814" s="108">
        <v>0</v>
      </c>
      <c r="J814" s="108">
        <v>0</v>
      </c>
      <c r="K814" s="108">
        <v>1</v>
      </c>
      <c r="L814" s="108">
        <v>1</v>
      </c>
      <c r="M814" s="134">
        <v>1</v>
      </c>
      <c r="N814" s="134">
        <v>44</v>
      </c>
      <c r="O814" s="134">
        <v>178000</v>
      </c>
      <c r="P814" s="133">
        <v>1</v>
      </c>
      <c r="Q814" s="133">
        <v>1</v>
      </c>
      <c r="R814" s="133">
        <v>1</v>
      </c>
      <c r="S814" s="133">
        <v>1</v>
      </c>
    </row>
    <row r="815" spans="1:19">
      <c r="A815" s="85" t="s">
        <v>247</v>
      </c>
      <c r="B815" s="85">
        <v>1</v>
      </c>
      <c r="C815" s="85">
        <v>1</v>
      </c>
      <c r="D815" s="108">
        <v>100</v>
      </c>
      <c r="E815" s="108">
        <v>50</v>
      </c>
      <c r="F815" s="108">
        <v>70.879869245437206</v>
      </c>
      <c r="G815" s="108">
        <v>0</v>
      </c>
      <c r="H815" s="108">
        <v>0</v>
      </c>
      <c r="I815" s="108">
        <v>1</v>
      </c>
      <c r="J815" s="108">
        <v>0</v>
      </c>
      <c r="K815" s="108">
        <v>1</v>
      </c>
      <c r="L815" s="108">
        <v>1</v>
      </c>
      <c r="M815" s="134">
        <v>0</v>
      </c>
      <c r="N815" s="134">
        <v>34</v>
      </c>
      <c r="O815" s="134">
        <v>120000</v>
      </c>
      <c r="P815" s="133">
        <v>0</v>
      </c>
      <c r="Q815" s="133">
        <v>0</v>
      </c>
      <c r="R815" s="133">
        <v>1</v>
      </c>
      <c r="S815" s="133">
        <v>1</v>
      </c>
    </row>
    <row r="816" spans="1:19">
      <c r="A816" s="85" t="s">
        <v>247</v>
      </c>
      <c r="B816" s="85">
        <v>2</v>
      </c>
      <c r="C816" s="85">
        <v>1</v>
      </c>
      <c r="D816" s="108">
        <v>100</v>
      </c>
      <c r="E816" s="108">
        <v>100</v>
      </c>
      <c r="F816" s="108">
        <v>100</v>
      </c>
      <c r="G816" s="108">
        <v>0</v>
      </c>
      <c r="H816" s="108">
        <v>100</v>
      </c>
      <c r="I816" s="108">
        <v>0</v>
      </c>
      <c r="J816" s="108">
        <v>0</v>
      </c>
      <c r="K816" s="108">
        <v>1</v>
      </c>
      <c r="L816" s="108">
        <v>1</v>
      </c>
      <c r="M816" s="134">
        <v>0</v>
      </c>
      <c r="N816" s="134">
        <v>34</v>
      </c>
      <c r="O816" s="134">
        <v>120000</v>
      </c>
      <c r="P816" s="133">
        <v>0</v>
      </c>
      <c r="Q816" s="133">
        <v>0</v>
      </c>
      <c r="R816" s="133">
        <v>1</v>
      </c>
      <c r="S816" s="133">
        <v>1</v>
      </c>
    </row>
    <row r="817" spans="1:19">
      <c r="A817" s="85" t="s">
        <v>247</v>
      </c>
      <c r="B817" s="85">
        <v>4</v>
      </c>
      <c r="C817" s="85">
        <v>1</v>
      </c>
      <c r="D817" s="108">
        <v>100</v>
      </c>
      <c r="E817" s="108">
        <v>0</v>
      </c>
      <c r="F817" s="108">
        <v>0</v>
      </c>
      <c r="G817" s="108">
        <v>100</v>
      </c>
      <c r="H817" s="108">
        <v>0</v>
      </c>
      <c r="I817" s="108">
        <v>0</v>
      </c>
      <c r="J817" s="108">
        <v>0</v>
      </c>
      <c r="K817" s="108">
        <v>1</v>
      </c>
      <c r="L817" s="108">
        <v>1</v>
      </c>
      <c r="M817" s="134">
        <v>0</v>
      </c>
      <c r="N817" s="134">
        <v>34</v>
      </c>
      <c r="O817" s="134">
        <v>120000</v>
      </c>
      <c r="P817" s="133">
        <v>0</v>
      </c>
      <c r="Q817" s="133">
        <v>0</v>
      </c>
      <c r="R817" s="133">
        <v>1</v>
      </c>
      <c r="S817" s="133">
        <v>1</v>
      </c>
    </row>
    <row r="818" spans="1:19">
      <c r="A818" s="85" t="s">
        <v>247</v>
      </c>
      <c r="B818" s="85">
        <v>7</v>
      </c>
      <c r="C818" s="85">
        <v>1</v>
      </c>
      <c r="D818" s="108">
        <v>0</v>
      </c>
      <c r="E818" s="108">
        <v>100</v>
      </c>
      <c r="F818" s="108">
        <v>0</v>
      </c>
      <c r="G818" s="108">
        <v>100</v>
      </c>
      <c r="H818" s="108">
        <v>100</v>
      </c>
      <c r="I818" s="108">
        <v>0</v>
      </c>
      <c r="J818" s="108">
        <v>1</v>
      </c>
      <c r="K818" s="108">
        <v>0</v>
      </c>
      <c r="L818" s="108">
        <v>1</v>
      </c>
      <c r="M818" s="134">
        <v>0</v>
      </c>
      <c r="N818" s="134">
        <v>34</v>
      </c>
      <c r="O818" s="134">
        <v>120000</v>
      </c>
      <c r="P818" s="133">
        <v>0</v>
      </c>
      <c r="Q818" s="133">
        <v>0</v>
      </c>
      <c r="R818" s="133">
        <v>1</v>
      </c>
      <c r="S818" s="133">
        <v>1</v>
      </c>
    </row>
    <row r="819" spans="1:19">
      <c r="A819" s="85" t="s">
        <v>248</v>
      </c>
      <c r="B819" s="85">
        <v>1</v>
      </c>
      <c r="C819" s="85">
        <v>1</v>
      </c>
      <c r="D819" s="108">
        <v>100</v>
      </c>
      <c r="E819" s="108">
        <v>100</v>
      </c>
      <c r="F819" s="108">
        <v>0</v>
      </c>
      <c r="G819" s="108">
        <v>100</v>
      </c>
      <c r="H819" s="108">
        <v>100</v>
      </c>
      <c r="I819" s="108">
        <v>1</v>
      </c>
      <c r="J819" s="108">
        <v>0</v>
      </c>
      <c r="K819" s="108">
        <v>1</v>
      </c>
      <c r="L819" s="108">
        <v>1</v>
      </c>
      <c r="M819" s="134">
        <v>1</v>
      </c>
      <c r="N819" s="134">
        <v>37</v>
      </c>
      <c r="O819" s="134">
        <v>150000</v>
      </c>
      <c r="P819" s="133">
        <v>1</v>
      </c>
      <c r="Q819" s="133">
        <v>1</v>
      </c>
      <c r="R819" s="133">
        <v>1</v>
      </c>
      <c r="S819" s="133">
        <v>1</v>
      </c>
    </row>
    <row r="820" spans="1:19">
      <c r="A820" s="85" t="s">
        <v>248</v>
      </c>
      <c r="B820" s="85">
        <v>2</v>
      </c>
      <c r="C820" s="85">
        <v>1</v>
      </c>
      <c r="D820" s="108">
        <v>100</v>
      </c>
      <c r="E820" s="108">
        <v>0</v>
      </c>
      <c r="F820" s="108">
        <v>100</v>
      </c>
      <c r="G820" s="108">
        <v>0</v>
      </c>
      <c r="H820" s="108">
        <v>0</v>
      </c>
      <c r="I820" s="108">
        <v>0</v>
      </c>
      <c r="J820" s="108">
        <v>0</v>
      </c>
      <c r="K820" s="108">
        <v>1</v>
      </c>
      <c r="L820" s="108">
        <v>1</v>
      </c>
      <c r="M820" s="134">
        <v>1</v>
      </c>
      <c r="N820" s="134">
        <v>37</v>
      </c>
      <c r="O820" s="134">
        <v>150000</v>
      </c>
      <c r="P820" s="133">
        <v>1</v>
      </c>
      <c r="Q820" s="133">
        <v>1</v>
      </c>
      <c r="R820" s="133">
        <v>1</v>
      </c>
      <c r="S820" s="133">
        <v>1</v>
      </c>
    </row>
    <row r="821" spans="1:19">
      <c r="A821" s="85" t="s">
        <v>248</v>
      </c>
      <c r="B821" s="85">
        <v>4</v>
      </c>
      <c r="C821" s="85">
        <v>1</v>
      </c>
      <c r="D821" s="108">
        <v>50</v>
      </c>
      <c r="E821" s="108">
        <v>73.40425531914893</v>
      </c>
      <c r="F821" s="108">
        <v>0</v>
      </c>
      <c r="G821" s="108">
        <v>100</v>
      </c>
      <c r="H821" s="108">
        <v>0</v>
      </c>
      <c r="I821" s="108">
        <v>0</v>
      </c>
      <c r="J821" s="108">
        <v>0</v>
      </c>
      <c r="K821" s="108">
        <v>1</v>
      </c>
      <c r="L821" s="108">
        <v>1</v>
      </c>
      <c r="M821" s="134">
        <v>1</v>
      </c>
      <c r="N821" s="134">
        <v>37</v>
      </c>
      <c r="O821" s="134">
        <v>150000</v>
      </c>
      <c r="P821" s="133">
        <v>1</v>
      </c>
      <c r="Q821" s="133">
        <v>1</v>
      </c>
      <c r="R821" s="133">
        <v>1</v>
      </c>
      <c r="S821" s="133">
        <v>1</v>
      </c>
    </row>
    <row r="822" spans="1:19">
      <c r="A822" s="85" t="s">
        <v>248</v>
      </c>
      <c r="B822" s="85">
        <v>5</v>
      </c>
      <c r="C822" s="85">
        <v>1</v>
      </c>
      <c r="D822" s="108">
        <v>100</v>
      </c>
      <c r="E822" s="108">
        <v>0</v>
      </c>
      <c r="F822" s="108">
        <v>100</v>
      </c>
      <c r="G822" s="108">
        <v>100</v>
      </c>
      <c r="H822" s="108">
        <v>100</v>
      </c>
      <c r="I822" s="108">
        <v>0</v>
      </c>
      <c r="J822" s="108">
        <v>0</v>
      </c>
      <c r="K822" s="108">
        <v>1</v>
      </c>
      <c r="L822" s="108">
        <v>1</v>
      </c>
      <c r="M822" s="134">
        <v>1</v>
      </c>
      <c r="N822" s="134">
        <v>37</v>
      </c>
      <c r="O822" s="134">
        <v>150000</v>
      </c>
      <c r="P822" s="133">
        <v>1</v>
      </c>
      <c r="Q822" s="133">
        <v>1</v>
      </c>
      <c r="R822" s="133">
        <v>1</v>
      </c>
      <c r="S822" s="133">
        <v>1</v>
      </c>
    </row>
    <row r="823" spans="1:19">
      <c r="A823" s="85" t="s">
        <v>248</v>
      </c>
      <c r="B823" s="85">
        <v>6</v>
      </c>
      <c r="C823" s="85">
        <v>1</v>
      </c>
      <c r="D823" s="108">
        <v>0</v>
      </c>
      <c r="E823" s="108">
        <v>100</v>
      </c>
      <c r="F823" s="108">
        <v>0</v>
      </c>
      <c r="G823" s="108">
        <v>100</v>
      </c>
      <c r="H823" s="108">
        <v>0.27314548591144128</v>
      </c>
      <c r="I823" s="108">
        <v>0</v>
      </c>
      <c r="J823" s="108">
        <v>0</v>
      </c>
      <c r="K823" s="108">
        <v>0</v>
      </c>
      <c r="L823" s="108">
        <v>1</v>
      </c>
      <c r="M823" s="134">
        <v>1</v>
      </c>
      <c r="N823" s="134">
        <v>37</v>
      </c>
      <c r="O823" s="134">
        <v>150000</v>
      </c>
      <c r="P823" s="133">
        <v>1</v>
      </c>
      <c r="Q823" s="133">
        <v>1</v>
      </c>
      <c r="R823" s="133">
        <v>1</v>
      </c>
      <c r="S823" s="133">
        <v>1</v>
      </c>
    </row>
    <row r="824" spans="1:19">
      <c r="A824" s="85" t="s">
        <v>249</v>
      </c>
      <c r="B824" s="85">
        <v>1</v>
      </c>
      <c r="C824" s="85">
        <v>1</v>
      </c>
      <c r="D824" s="108">
        <v>100</v>
      </c>
      <c r="E824" s="108">
        <v>0</v>
      </c>
      <c r="F824" s="108">
        <v>100</v>
      </c>
      <c r="G824" s="108">
        <v>0</v>
      </c>
      <c r="H824" s="108">
        <v>100</v>
      </c>
      <c r="I824" s="108">
        <v>1</v>
      </c>
      <c r="J824" s="108">
        <v>0</v>
      </c>
      <c r="K824" s="108">
        <v>1</v>
      </c>
      <c r="L824" s="108">
        <v>1</v>
      </c>
      <c r="M824" s="134">
        <v>1</v>
      </c>
      <c r="N824" s="134">
        <v>38</v>
      </c>
      <c r="O824" s="134">
        <v>70000</v>
      </c>
      <c r="P824" s="133">
        <v>1</v>
      </c>
      <c r="Q824" s="133">
        <v>1</v>
      </c>
      <c r="R824" s="133">
        <v>1</v>
      </c>
      <c r="S824" s="133">
        <v>1</v>
      </c>
    </row>
    <row r="825" spans="1:19">
      <c r="A825" s="85" t="s">
        <v>249</v>
      </c>
      <c r="B825" s="85">
        <v>2</v>
      </c>
      <c r="C825" s="85">
        <v>1</v>
      </c>
      <c r="D825" s="108">
        <v>0</v>
      </c>
      <c r="E825" s="108">
        <v>100</v>
      </c>
      <c r="F825" s="108">
        <v>100</v>
      </c>
      <c r="G825" s="108">
        <v>0.37185354691075528</v>
      </c>
      <c r="H825" s="108">
        <v>0</v>
      </c>
      <c r="I825" s="108">
        <v>0</v>
      </c>
      <c r="J825" s="108">
        <v>0</v>
      </c>
      <c r="K825" s="108">
        <v>0</v>
      </c>
      <c r="L825" s="108">
        <v>1</v>
      </c>
      <c r="M825" s="134">
        <v>1</v>
      </c>
      <c r="N825" s="134">
        <v>38</v>
      </c>
      <c r="O825" s="134">
        <v>70000</v>
      </c>
      <c r="P825" s="133">
        <v>1</v>
      </c>
      <c r="Q825" s="133">
        <v>1</v>
      </c>
      <c r="R825" s="133">
        <v>1</v>
      </c>
      <c r="S825" s="133">
        <v>1</v>
      </c>
    </row>
    <row r="826" spans="1:19">
      <c r="A826" s="85" t="s">
        <v>249</v>
      </c>
      <c r="B826" s="85">
        <v>4</v>
      </c>
      <c r="C826" s="85">
        <v>1</v>
      </c>
      <c r="D826" s="108">
        <v>100</v>
      </c>
      <c r="E826" s="108">
        <v>100</v>
      </c>
      <c r="F826" s="108">
        <v>0</v>
      </c>
      <c r="G826" s="108">
        <v>100</v>
      </c>
      <c r="H826" s="108">
        <v>100</v>
      </c>
      <c r="I826" s="108">
        <v>0</v>
      </c>
      <c r="J826" s="108">
        <v>0</v>
      </c>
      <c r="K826" s="108">
        <v>1</v>
      </c>
      <c r="L826" s="108">
        <v>1</v>
      </c>
      <c r="M826" s="134">
        <v>1</v>
      </c>
      <c r="N826" s="134">
        <v>38</v>
      </c>
      <c r="O826" s="134">
        <v>70000</v>
      </c>
      <c r="P826" s="133">
        <v>1</v>
      </c>
      <c r="Q826" s="133">
        <v>1</v>
      </c>
      <c r="R826" s="133">
        <v>1</v>
      </c>
      <c r="S826" s="133">
        <v>1</v>
      </c>
    </row>
    <row r="827" spans="1:19">
      <c r="A827" s="85" t="s">
        <v>249</v>
      </c>
      <c r="B827" s="85">
        <v>5</v>
      </c>
      <c r="C827" s="85">
        <v>1</v>
      </c>
      <c r="D827" s="108">
        <v>0</v>
      </c>
      <c r="E827" s="108">
        <v>50</v>
      </c>
      <c r="F827" s="108">
        <v>100</v>
      </c>
      <c r="G827" s="108">
        <v>0</v>
      </c>
      <c r="H827" s="108">
        <v>73.78432494279177</v>
      </c>
      <c r="I827" s="108">
        <v>0</v>
      </c>
      <c r="J827" s="108">
        <v>0</v>
      </c>
      <c r="K827" s="108">
        <v>0</v>
      </c>
      <c r="L827" s="108">
        <v>1</v>
      </c>
      <c r="M827" s="134">
        <v>1</v>
      </c>
      <c r="N827" s="134">
        <v>38</v>
      </c>
      <c r="O827" s="134">
        <v>70000</v>
      </c>
      <c r="P827" s="133">
        <v>1</v>
      </c>
      <c r="Q827" s="133">
        <v>1</v>
      </c>
      <c r="R827" s="133">
        <v>1</v>
      </c>
      <c r="S827" s="133">
        <v>1</v>
      </c>
    </row>
    <row r="828" spans="1:19">
      <c r="A828" s="85" t="s">
        <v>249</v>
      </c>
      <c r="B828" s="85">
        <v>6</v>
      </c>
      <c r="C828" s="85">
        <v>1</v>
      </c>
      <c r="D828" s="108">
        <v>100</v>
      </c>
      <c r="E828" s="108">
        <v>100</v>
      </c>
      <c r="F828" s="108">
        <v>100</v>
      </c>
      <c r="G828" s="108">
        <v>0</v>
      </c>
      <c r="H828" s="108">
        <v>100</v>
      </c>
      <c r="I828" s="108">
        <v>0</v>
      </c>
      <c r="J828" s="108">
        <v>0</v>
      </c>
      <c r="K828" s="108">
        <v>1</v>
      </c>
      <c r="L828" s="108">
        <v>1</v>
      </c>
      <c r="M828" s="134">
        <v>1</v>
      </c>
      <c r="N828" s="134">
        <v>38</v>
      </c>
      <c r="O828" s="134">
        <v>70000</v>
      </c>
      <c r="P828" s="133">
        <v>1</v>
      </c>
      <c r="Q828" s="133">
        <v>1</v>
      </c>
      <c r="R828" s="133">
        <v>1</v>
      </c>
      <c r="S828" s="133">
        <v>1</v>
      </c>
    </row>
    <row r="829" spans="1:19">
      <c r="A829" s="85" t="s">
        <v>249</v>
      </c>
      <c r="B829" s="85">
        <v>7</v>
      </c>
      <c r="C829" s="85">
        <v>1</v>
      </c>
      <c r="D829" s="108">
        <v>100</v>
      </c>
      <c r="E829" s="108">
        <v>0</v>
      </c>
      <c r="F829" s="108">
        <v>100</v>
      </c>
      <c r="G829" s="108">
        <v>0</v>
      </c>
      <c r="H829" s="108">
        <v>0</v>
      </c>
      <c r="I829" s="108">
        <v>0</v>
      </c>
      <c r="J829" s="108">
        <v>1</v>
      </c>
      <c r="K829" s="108">
        <v>1</v>
      </c>
      <c r="L829" s="108">
        <v>1</v>
      </c>
      <c r="M829" s="134">
        <v>1</v>
      </c>
      <c r="N829" s="134">
        <v>38</v>
      </c>
      <c r="O829" s="134">
        <v>70000</v>
      </c>
      <c r="P829" s="133">
        <v>1</v>
      </c>
      <c r="Q829" s="133">
        <v>1</v>
      </c>
      <c r="R829" s="133">
        <v>1</v>
      </c>
      <c r="S829" s="133">
        <v>1</v>
      </c>
    </row>
    <row r="830" spans="1:19">
      <c r="A830" s="85" t="s">
        <v>250</v>
      </c>
      <c r="B830" s="85">
        <v>1</v>
      </c>
      <c r="C830" s="85">
        <v>1</v>
      </c>
      <c r="D830" s="108">
        <v>100</v>
      </c>
      <c r="E830" s="108">
        <v>0</v>
      </c>
      <c r="F830" s="108">
        <v>100</v>
      </c>
      <c r="G830" s="108">
        <v>0</v>
      </c>
      <c r="H830" s="108">
        <v>100</v>
      </c>
      <c r="I830" s="108">
        <v>1</v>
      </c>
      <c r="J830" s="108">
        <v>0</v>
      </c>
      <c r="K830" s="108">
        <v>1</v>
      </c>
      <c r="L830" s="108">
        <v>1</v>
      </c>
      <c r="M830" s="134">
        <v>1</v>
      </c>
      <c r="N830" s="134">
        <v>41</v>
      </c>
      <c r="O830" s="134">
        <v>125000</v>
      </c>
      <c r="P830" s="133">
        <v>1</v>
      </c>
      <c r="Q830" s="133">
        <v>1</v>
      </c>
      <c r="R830" s="133">
        <v>1</v>
      </c>
      <c r="S830" s="133">
        <v>1</v>
      </c>
    </row>
    <row r="831" spans="1:19">
      <c r="A831" s="85" t="s">
        <v>250</v>
      </c>
      <c r="B831" s="85">
        <v>3</v>
      </c>
      <c r="C831" s="85">
        <v>1</v>
      </c>
      <c r="D831" s="108">
        <v>73.07692307692308</v>
      </c>
      <c r="E831" s="108">
        <v>0</v>
      </c>
      <c r="F831" s="108">
        <v>100</v>
      </c>
      <c r="G831" s="108">
        <v>0</v>
      </c>
      <c r="H831" s="108">
        <v>50</v>
      </c>
      <c r="I831" s="108">
        <v>0</v>
      </c>
      <c r="J831" s="108">
        <v>0</v>
      </c>
      <c r="K831" s="108">
        <v>1</v>
      </c>
      <c r="L831" s="108">
        <v>1</v>
      </c>
      <c r="M831" s="134">
        <v>1</v>
      </c>
      <c r="N831" s="134">
        <v>41</v>
      </c>
      <c r="O831" s="134">
        <v>125000</v>
      </c>
      <c r="P831" s="133">
        <v>1</v>
      </c>
      <c r="Q831" s="133">
        <v>1</v>
      </c>
      <c r="R831" s="133">
        <v>1</v>
      </c>
      <c r="S831" s="133">
        <v>1</v>
      </c>
    </row>
    <row r="832" spans="1:19">
      <c r="A832" s="85" t="s">
        <v>250</v>
      </c>
      <c r="B832" s="85">
        <v>4</v>
      </c>
      <c r="C832" s="85">
        <v>1</v>
      </c>
      <c r="D832" s="108">
        <v>100</v>
      </c>
      <c r="E832" s="108">
        <v>100</v>
      </c>
      <c r="F832" s="108">
        <v>0</v>
      </c>
      <c r="G832" s="108">
        <v>100</v>
      </c>
      <c r="H832" s="108">
        <v>100</v>
      </c>
      <c r="I832" s="108">
        <v>0</v>
      </c>
      <c r="J832" s="108">
        <v>0</v>
      </c>
      <c r="K832" s="108">
        <v>1</v>
      </c>
      <c r="L832" s="108">
        <v>1</v>
      </c>
      <c r="M832" s="134">
        <v>1</v>
      </c>
      <c r="N832" s="134">
        <v>41</v>
      </c>
      <c r="O832" s="134">
        <v>125000</v>
      </c>
      <c r="P832" s="133">
        <v>1</v>
      </c>
      <c r="Q832" s="133">
        <v>1</v>
      </c>
      <c r="R832" s="133">
        <v>1</v>
      </c>
      <c r="S832" s="133">
        <v>1</v>
      </c>
    </row>
    <row r="833" spans="1:19">
      <c r="A833" s="85" t="s">
        <v>250</v>
      </c>
      <c r="B833" s="85">
        <v>5</v>
      </c>
      <c r="C833" s="85">
        <v>1</v>
      </c>
      <c r="D833" s="108">
        <v>0</v>
      </c>
      <c r="E833" s="108">
        <v>0</v>
      </c>
      <c r="F833" s="108">
        <v>0</v>
      </c>
      <c r="G833" s="108">
        <v>100</v>
      </c>
      <c r="H833" s="108">
        <v>100</v>
      </c>
      <c r="I833" s="108">
        <v>0</v>
      </c>
      <c r="J833" s="108">
        <v>0</v>
      </c>
      <c r="K833" s="108">
        <v>0</v>
      </c>
      <c r="L833" s="108">
        <v>1</v>
      </c>
      <c r="M833" s="134">
        <v>1</v>
      </c>
      <c r="N833" s="134">
        <v>41</v>
      </c>
      <c r="O833" s="134">
        <v>125000</v>
      </c>
      <c r="P833" s="133">
        <v>1</v>
      </c>
      <c r="Q833" s="133">
        <v>1</v>
      </c>
      <c r="R833" s="133">
        <v>1</v>
      </c>
      <c r="S833" s="133">
        <v>1</v>
      </c>
    </row>
    <row r="834" spans="1:19">
      <c r="A834" s="85" t="s">
        <v>250</v>
      </c>
      <c r="B834" s="85">
        <v>6</v>
      </c>
      <c r="C834" s="85">
        <v>1</v>
      </c>
      <c r="D834" s="108">
        <v>100</v>
      </c>
      <c r="E834" s="108">
        <v>0</v>
      </c>
      <c r="F834" s="108">
        <v>100</v>
      </c>
      <c r="G834" s="108">
        <v>100</v>
      </c>
      <c r="H834" s="108">
        <v>100</v>
      </c>
      <c r="I834" s="108">
        <v>0</v>
      </c>
      <c r="J834" s="108">
        <v>0</v>
      </c>
      <c r="K834" s="108">
        <v>1</v>
      </c>
      <c r="L834" s="108">
        <v>1</v>
      </c>
      <c r="M834" s="134">
        <v>1</v>
      </c>
      <c r="N834" s="134">
        <v>41</v>
      </c>
      <c r="O834" s="134">
        <v>125000</v>
      </c>
      <c r="P834" s="133">
        <v>1</v>
      </c>
      <c r="Q834" s="133">
        <v>1</v>
      </c>
      <c r="R834" s="133">
        <v>1</v>
      </c>
      <c r="S834" s="133">
        <v>1</v>
      </c>
    </row>
    <row r="835" spans="1:19">
      <c r="A835" s="85" t="s">
        <v>250</v>
      </c>
      <c r="B835" s="85">
        <v>7</v>
      </c>
      <c r="C835" s="85">
        <v>1</v>
      </c>
      <c r="D835" s="108">
        <v>0</v>
      </c>
      <c r="E835" s="108">
        <v>100</v>
      </c>
      <c r="F835" s="108">
        <v>0.30137772675086222</v>
      </c>
      <c r="G835" s="108">
        <v>0</v>
      </c>
      <c r="H835" s="108">
        <v>100</v>
      </c>
      <c r="I835" s="108">
        <v>0</v>
      </c>
      <c r="J835" s="108">
        <v>1</v>
      </c>
      <c r="K835" s="108">
        <v>0</v>
      </c>
      <c r="L835" s="108">
        <v>1</v>
      </c>
      <c r="M835" s="134">
        <v>1</v>
      </c>
      <c r="N835" s="134">
        <v>41</v>
      </c>
      <c r="O835" s="134">
        <v>125000</v>
      </c>
      <c r="P835" s="133">
        <v>1</v>
      </c>
      <c r="Q835" s="133">
        <v>1</v>
      </c>
      <c r="R835" s="133">
        <v>1</v>
      </c>
      <c r="S835" s="133">
        <v>1</v>
      </c>
    </row>
    <row r="836" spans="1:19">
      <c r="A836" s="85" t="s">
        <v>251</v>
      </c>
      <c r="B836" s="85">
        <v>1</v>
      </c>
      <c r="C836" s="85">
        <v>1</v>
      </c>
      <c r="D836" s="108">
        <v>100</v>
      </c>
      <c r="E836" s="108">
        <v>0</v>
      </c>
      <c r="F836" s="108">
        <v>0</v>
      </c>
      <c r="G836" s="108">
        <v>100</v>
      </c>
      <c r="H836" s="108">
        <v>0</v>
      </c>
      <c r="I836" s="108">
        <v>1</v>
      </c>
      <c r="J836" s="108">
        <v>0</v>
      </c>
      <c r="K836" s="108">
        <v>1</v>
      </c>
      <c r="L836" s="108">
        <v>1</v>
      </c>
      <c r="M836" s="134">
        <v>1</v>
      </c>
      <c r="N836" s="134">
        <v>43</v>
      </c>
      <c r="O836" s="134">
        <v>125000</v>
      </c>
      <c r="P836" s="133">
        <v>1</v>
      </c>
      <c r="Q836" s="133">
        <v>1</v>
      </c>
      <c r="R836" s="133">
        <v>1</v>
      </c>
      <c r="S836" s="133">
        <v>1</v>
      </c>
    </row>
    <row r="837" spans="1:19">
      <c r="A837" s="85" t="s">
        <v>251</v>
      </c>
      <c r="B837" s="85">
        <v>5</v>
      </c>
      <c r="C837" s="85">
        <v>1</v>
      </c>
      <c r="D837" s="108">
        <v>0</v>
      </c>
      <c r="E837" s="108">
        <v>0</v>
      </c>
      <c r="F837" s="108">
        <v>50</v>
      </c>
      <c r="G837" s="108">
        <v>100</v>
      </c>
      <c r="H837" s="108">
        <v>73.028026581912741</v>
      </c>
      <c r="I837" s="108">
        <v>0</v>
      </c>
      <c r="J837" s="108">
        <v>0</v>
      </c>
      <c r="K837" s="108">
        <v>0</v>
      </c>
      <c r="L837" s="108">
        <v>1</v>
      </c>
      <c r="M837" s="134">
        <v>1</v>
      </c>
      <c r="N837" s="134">
        <v>43</v>
      </c>
      <c r="O837" s="134">
        <v>125000</v>
      </c>
      <c r="P837" s="133">
        <v>1</v>
      </c>
      <c r="Q837" s="133">
        <v>1</v>
      </c>
      <c r="R837" s="133">
        <v>1</v>
      </c>
      <c r="S837" s="133">
        <v>1</v>
      </c>
    </row>
    <row r="838" spans="1:19">
      <c r="A838" s="85" t="s">
        <v>252</v>
      </c>
      <c r="B838" s="85">
        <v>1</v>
      </c>
      <c r="C838" s="85">
        <v>1</v>
      </c>
      <c r="D838" s="108">
        <v>0.64636598678540769</v>
      </c>
      <c r="E838" s="108">
        <v>100</v>
      </c>
      <c r="F838" s="108">
        <v>0</v>
      </c>
      <c r="G838" s="108">
        <v>100</v>
      </c>
      <c r="H838" s="108">
        <v>100</v>
      </c>
      <c r="I838" s="108">
        <v>1</v>
      </c>
      <c r="J838" s="108">
        <v>0</v>
      </c>
      <c r="K838" s="108">
        <v>0</v>
      </c>
      <c r="L838" s="108">
        <v>1</v>
      </c>
      <c r="M838" s="134">
        <v>0</v>
      </c>
      <c r="N838" s="134">
        <v>27</v>
      </c>
      <c r="O838" s="134">
        <v>100000</v>
      </c>
      <c r="P838" s="133">
        <v>1</v>
      </c>
      <c r="Q838" s="133">
        <v>1</v>
      </c>
      <c r="R838" s="133">
        <v>1</v>
      </c>
      <c r="S838" s="133">
        <v>1</v>
      </c>
    </row>
    <row r="839" spans="1:19">
      <c r="A839" s="85" t="s">
        <v>252</v>
      </c>
      <c r="B839" s="85">
        <v>3</v>
      </c>
      <c r="C839" s="85">
        <v>1</v>
      </c>
      <c r="D839" s="108">
        <v>100</v>
      </c>
      <c r="E839" s="108">
        <v>0</v>
      </c>
      <c r="F839" s="108">
        <v>0</v>
      </c>
      <c r="G839" s="108">
        <v>100</v>
      </c>
      <c r="H839" s="108">
        <v>0</v>
      </c>
      <c r="I839" s="108">
        <v>0</v>
      </c>
      <c r="J839" s="108">
        <v>0</v>
      </c>
      <c r="K839" s="108">
        <v>1</v>
      </c>
      <c r="L839" s="108">
        <v>1</v>
      </c>
      <c r="M839" s="134">
        <v>0</v>
      </c>
      <c r="N839" s="134">
        <v>27</v>
      </c>
      <c r="O839" s="134">
        <v>100000</v>
      </c>
      <c r="P839" s="133">
        <v>1</v>
      </c>
      <c r="Q839" s="133">
        <v>1</v>
      </c>
      <c r="R839" s="133">
        <v>1</v>
      </c>
      <c r="S839" s="133">
        <v>1</v>
      </c>
    </row>
    <row r="840" spans="1:19">
      <c r="A840" s="85" t="s">
        <v>252</v>
      </c>
      <c r="B840" s="85">
        <v>5</v>
      </c>
      <c r="C840" s="85">
        <v>1</v>
      </c>
      <c r="D840" s="108">
        <v>100</v>
      </c>
      <c r="E840" s="108">
        <v>100</v>
      </c>
      <c r="F840" s="108">
        <v>0</v>
      </c>
      <c r="G840" s="108">
        <v>100</v>
      </c>
      <c r="H840" s="108">
        <v>100</v>
      </c>
      <c r="I840" s="108">
        <v>0</v>
      </c>
      <c r="J840" s="108">
        <v>0</v>
      </c>
      <c r="K840" s="108">
        <v>1</v>
      </c>
      <c r="L840" s="108">
        <v>1</v>
      </c>
      <c r="M840" s="134">
        <v>0</v>
      </c>
      <c r="N840" s="134">
        <v>27</v>
      </c>
      <c r="O840" s="134">
        <v>100000</v>
      </c>
      <c r="P840" s="133">
        <v>1</v>
      </c>
      <c r="Q840" s="133">
        <v>1</v>
      </c>
      <c r="R840" s="133">
        <v>1</v>
      </c>
      <c r="S840" s="133">
        <v>1</v>
      </c>
    </row>
    <row r="841" spans="1:19">
      <c r="A841" s="85" t="s">
        <v>252</v>
      </c>
      <c r="B841" s="85">
        <v>6</v>
      </c>
      <c r="C841" s="85">
        <v>1</v>
      </c>
      <c r="D841" s="108">
        <v>0</v>
      </c>
      <c r="E841" s="108">
        <v>0</v>
      </c>
      <c r="F841" s="108">
        <v>72.69462798046537</v>
      </c>
      <c r="G841" s="108">
        <v>50</v>
      </c>
      <c r="H841" s="108">
        <v>100</v>
      </c>
      <c r="I841" s="108">
        <v>0</v>
      </c>
      <c r="J841" s="108">
        <v>0</v>
      </c>
      <c r="K841" s="108">
        <v>0</v>
      </c>
      <c r="L841" s="108">
        <v>1</v>
      </c>
      <c r="M841" s="134">
        <v>0</v>
      </c>
      <c r="N841" s="134">
        <v>27</v>
      </c>
      <c r="O841" s="134">
        <v>100000</v>
      </c>
      <c r="P841" s="133">
        <v>1</v>
      </c>
      <c r="Q841" s="133">
        <v>1</v>
      </c>
      <c r="R841" s="133">
        <v>1</v>
      </c>
      <c r="S841" s="133">
        <v>1</v>
      </c>
    </row>
    <row r="842" spans="1:19">
      <c r="A842" s="85" t="s">
        <v>252</v>
      </c>
      <c r="B842" s="85">
        <v>7</v>
      </c>
      <c r="C842" s="85">
        <v>1</v>
      </c>
      <c r="D842" s="108">
        <v>100</v>
      </c>
      <c r="E842" s="108">
        <v>100</v>
      </c>
      <c r="F842" s="108">
        <v>0</v>
      </c>
      <c r="G842" s="108">
        <v>100</v>
      </c>
      <c r="H842" s="108">
        <v>100</v>
      </c>
      <c r="I842" s="108">
        <v>0</v>
      </c>
      <c r="J842" s="108">
        <v>1</v>
      </c>
      <c r="K842" s="108">
        <v>1</v>
      </c>
      <c r="L842" s="108">
        <v>1</v>
      </c>
      <c r="M842" s="134">
        <v>0</v>
      </c>
      <c r="N842" s="134">
        <v>27</v>
      </c>
      <c r="O842" s="134">
        <v>100000</v>
      </c>
      <c r="P842" s="133">
        <v>1</v>
      </c>
      <c r="Q842" s="133">
        <v>1</v>
      </c>
      <c r="R842" s="133">
        <v>1</v>
      </c>
      <c r="S842" s="133">
        <v>1</v>
      </c>
    </row>
    <row r="843" spans="1:19">
      <c r="A843" s="85" t="s">
        <v>253</v>
      </c>
      <c r="B843" s="85">
        <v>1</v>
      </c>
      <c r="C843" s="85">
        <v>1</v>
      </c>
      <c r="D843" s="108">
        <v>100</v>
      </c>
      <c r="E843" s="108">
        <v>100</v>
      </c>
      <c r="F843" s="108">
        <v>100</v>
      </c>
      <c r="G843" s="108">
        <v>0</v>
      </c>
      <c r="H843" s="108">
        <v>100</v>
      </c>
      <c r="I843" s="108">
        <v>1</v>
      </c>
      <c r="J843" s="108">
        <v>0</v>
      </c>
      <c r="K843" s="108">
        <v>1</v>
      </c>
      <c r="L843" s="108">
        <v>1</v>
      </c>
      <c r="M843" s="134">
        <v>1</v>
      </c>
      <c r="N843" s="134">
        <v>36</v>
      </c>
      <c r="O843" s="134">
        <v>125000</v>
      </c>
      <c r="P843" s="133">
        <v>1</v>
      </c>
      <c r="Q843" s="133">
        <v>1</v>
      </c>
      <c r="R843" s="133">
        <v>1</v>
      </c>
      <c r="S843" s="133">
        <v>1</v>
      </c>
    </row>
    <row r="844" spans="1:19">
      <c r="A844" s="85" t="s">
        <v>253</v>
      </c>
      <c r="B844" s="85">
        <v>2</v>
      </c>
      <c r="C844" s="85">
        <v>1</v>
      </c>
      <c r="D844" s="108">
        <v>73.238831615120276</v>
      </c>
      <c r="E844" s="108">
        <v>50</v>
      </c>
      <c r="F844" s="108">
        <v>0</v>
      </c>
      <c r="G844" s="108">
        <v>0</v>
      </c>
      <c r="H844" s="108">
        <v>100</v>
      </c>
      <c r="I844" s="108">
        <v>0</v>
      </c>
      <c r="J844" s="108">
        <v>0</v>
      </c>
      <c r="K844" s="108">
        <v>1</v>
      </c>
      <c r="L844" s="108">
        <v>1</v>
      </c>
      <c r="M844" s="134">
        <v>1</v>
      </c>
      <c r="N844" s="134">
        <v>36</v>
      </c>
      <c r="O844" s="134">
        <v>125000</v>
      </c>
      <c r="P844" s="133">
        <v>1</v>
      </c>
      <c r="Q844" s="133">
        <v>1</v>
      </c>
      <c r="R844" s="133">
        <v>1</v>
      </c>
      <c r="S844" s="133">
        <v>1</v>
      </c>
    </row>
    <row r="845" spans="1:19">
      <c r="A845" s="85" t="s">
        <v>253</v>
      </c>
      <c r="B845" s="85">
        <v>5</v>
      </c>
      <c r="C845" s="85">
        <v>1</v>
      </c>
      <c r="D845" s="108">
        <v>0</v>
      </c>
      <c r="E845" s="108">
        <v>100</v>
      </c>
      <c r="F845" s="108">
        <v>100</v>
      </c>
      <c r="G845" s="108">
        <v>0</v>
      </c>
      <c r="H845" s="108">
        <v>100</v>
      </c>
      <c r="I845" s="108">
        <v>0</v>
      </c>
      <c r="J845" s="108">
        <v>0</v>
      </c>
      <c r="K845" s="108">
        <v>0</v>
      </c>
      <c r="L845" s="108">
        <v>1</v>
      </c>
      <c r="M845" s="134">
        <v>1</v>
      </c>
      <c r="N845" s="134">
        <v>36</v>
      </c>
      <c r="O845" s="134">
        <v>125000</v>
      </c>
      <c r="P845" s="133">
        <v>1</v>
      </c>
      <c r="Q845" s="133">
        <v>1</v>
      </c>
      <c r="R845" s="133">
        <v>1</v>
      </c>
      <c r="S845" s="133">
        <v>1</v>
      </c>
    </row>
    <row r="846" spans="1:19">
      <c r="A846" s="85" t="s">
        <v>253</v>
      </c>
      <c r="B846" s="85">
        <v>6</v>
      </c>
      <c r="C846" s="85">
        <v>1</v>
      </c>
      <c r="D846" s="108">
        <v>100</v>
      </c>
      <c r="E846" s="108">
        <v>100</v>
      </c>
      <c r="F846" s="108">
        <v>100</v>
      </c>
      <c r="G846" s="108">
        <v>0</v>
      </c>
      <c r="H846" s="108">
        <v>100</v>
      </c>
      <c r="I846" s="108">
        <v>0</v>
      </c>
      <c r="J846" s="108">
        <v>0</v>
      </c>
      <c r="K846" s="108">
        <v>1</v>
      </c>
      <c r="L846" s="108">
        <v>1</v>
      </c>
      <c r="M846" s="134">
        <v>1</v>
      </c>
      <c r="N846" s="134">
        <v>36</v>
      </c>
      <c r="O846" s="134">
        <v>125000</v>
      </c>
      <c r="P846" s="133">
        <v>1</v>
      </c>
      <c r="Q846" s="133">
        <v>1</v>
      </c>
      <c r="R846" s="133">
        <v>1</v>
      </c>
      <c r="S846" s="133">
        <v>1</v>
      </c>
    </row>
    <row r="847" spans="1:19">
      <c r="A847" s="85" t="s">
        <v>253</v>
      </c>
      <c r="B847" s="85">
        <v>7</v>
      </c>
      <c r="C847" s="85">
        <v>1</v>
      </c>
      <c r="D847" s="108">
        <v>0</v>
      </c>
      <c r="E847" s="108">
        <v>100</v>
      </c>
      <c r="F847" s="108">
        <v>0.27205040091637928</v>
      </c>
      <c r="G847" s="108">
        <v>0</v>
      </c>
      <c r="H847" s="108">
        <v>100</v>
      </c>
      <c r="I847" s="108">
        <v>0</v>
      </c>
      <c r="J847" s="108">
        <v>1</v>
      </c>
      <c r="K847" s="108">
        <v>0</v>
      </c>
      <c r="L847" s="108">
        <v>1</v>
      </c>
      <c r="M847" s="134">
        <v>1</v>
      </c>
      <c r="N847" s="134">
        <v>36</v>
      </c>
      <c r="O847" s="134">
        <v>125000</v>
      </c>
      <c r="P847" s="133">
        <v>1</v>
      </c>
      <c r="Q847" s="133">
        <v>1</v>
      </c>
      <c r="R847" s="133">
        <v>1</v>
      </c>
      <c r="S847" s="133">
        <v>1</v>
      </c>
    </row>
    <row r="848" spans="1:19">
      <c r="A848" s="85" t="s">
        <v>254</v>
      </c>
      <c r="B848" s="85">
        <v>1</v>
      </c>
      <c r="C848" s="85">
        <v>1</v>
      </c>
      <c r="D848" s="108">
        <v>100</v>
      </c>
      <c r="E848" s="108">
        <v>0</v>
      </c>
      <c r="F848" s="108">
        <v>100</v>
      </c>
      <c r="G848" s="108">
        <v>100</v>
      </c>
      <c r="H848" s="108">
        <v>100</v>
      </c>
      <c r="I848" s="108">
        <v>1</v>
      </c>
      <c r="J848" s="108">
        <v>0</v>
      </c>
      <c r="K848" s="108">
        <v>1</v>
      </c>
      <c r="L848" s="108">
        <v>1</v>
      </c>
      <c r="M848" s="134">
        <v>0</v>
      </c>
      <c r="N848" s="134">
        <v>28</v>
      </c>
      <c r="O848" s="134">
        <v>120000</v>
      </c>
      <c r="P848" s="133">
        <v>1</v>
      </c>
      <c r="Q848" s="133">
        <v>0</v>
      </c>
      <c r="R848" s="133">
        <v>1</v>
      </c>
      <c r="S848" s="133">
        <v>1</v>
      </c>
    </row>
    <row r="849" spans="1:19">
      <c r="A849" s="85" t="s">
        <v>254</v>
      </c>
      <c r="B849" s="85">
        <v>2</v>
      </c>
      <c r="C849" s="85">
        <v>1</v>
      </c>
      <c r="D849" s="108">
        <v>0</v>
      </c>
      <c r="E849" s="108">
        <v>0</v>
      </c>
      <c r="F849" s="108">
        <v>100</v>
      </c>
      <c r="G849" s="108">
        <v>0</v>
      </c>
      <c r="H849" s="108">
        <v>100</v>
      </c>
      <c r="I849" s="108">
        <v>0</v>
      </c>
      <c r="J849" s="108">
        <v>0</v>
      </c>
      <c r="K849" s="108">
        <v>0</v>
      </c>
      <c r="L849" s="108">
        <v>1</v>
      </c>
      <c r="M849" s="134">
        <v>0</v>
      </c>
      <c r="N849" s="134">
        <v>28</v>
      </c>
      <c r="O849" s="134">
        <v>120000</v>
      </c>
      <c r="P849" s="133">
        <v>1</v>
      </c>
      <c r="Q849" s="133">
        <v>0</v>
      </c>
      <c r="R849" s="133">
        <v>1</v>
      </c>
      <c r="S849" s="133">
        <v>1</v>
      </c>
    </row>
    <row r="850" spans="1:19">
      <c r="A850" s="85" t="s">
        <v>254</v>
      </c>
      <c r="B850" s="85">
        <v>3</v>
      </c>
      <c r="C850" s="85">
        <v>1</v>
      </c>
      <c r="D850" s="108">
        <v>100</v>
      </c>
      <c r="E850" s="108">
        <v>100</v>
      </c>
      <c r="F850" s="108">
        <v>0</v>
      </c>
      <c r="G850" s="108">
        <v>100</v>
      </c>
      <c r="H850" s="108">
        <v>0</v>
      </c>
      <c r="I850" s="108">
        <v>0</v>
      </c>
      <c r="J850" s="108">
        <v>0</v>
      </c>
      <c r="K850" s="108">
        <v>1</v>
      </c>
      <c r="L850" s="108">
        <v>1</v>
      </c>
      <c r="M850" s="134">
        <v>0</v>
      </c>
      <c r="N850" s="134">
        <v>28</v>
      </c>
      <c r="O850" s="134">
        <v>120000</v>
      </c>
      <c r="P850" s="133">
        <v>1</v>
      </c>
      <c r="Q850" s="133">
        <v>0</v>
      </c>
      <c r="R850" s="133">
        <v>1</v>
      </c>
      <c r="S850" s="133">
        <v>1</v>
      </c>
    </row>
    <row r="851" spans="1:19">
      <c r="A851" s="85" t="s">
        <v>254</v>
      </c>
      <c r="B851" s="85">
        <v>4</v>
      </c>
      <c r="C851" s="85">
        <v>1</v>
      </c>
      <c r="D851" s="108">
        <v>100</v>
      </c>
      <c r="E851" s="108">
        <v>0</v>
      </c>
      <c r="F851" s="108">
        <v>100</v>
      </c>
      <c r="G851" s="108">
        <v>100</v>
      </c>
      <c r="H851" s="108">
        <v>100</v>
      </c>
      <c r="I851" s="108">
        <v>0</v>
      </c>
      <c r="J851" s="108">
        <v>0</v>
      </c>
      <c r="K851" s="108">
        <v>1</v>
      </c>
      <c r="L851" s="108">
        <v>1</v>
      </c>
      <c r="M851" s="134">
        <v>0</v>
      </c>
      <c r="N851" s="134">
        <v>28</v>
      </c>
      <c r="O851" s="134">
        <v>120000</v>
      </c>
      <c r="P851" s="133">
        <v>1</v>
      </c>
      <c r="Q851" s="133">
        <v>0</v>
      </c>
      <c r="R851" s="133">
        <v>1</v>
      </c>
      <c r="S851" s="133">
        <v>1</v>
      </c>
    </row>
    <row r="852" spans="1:19">
      <c r="A852" s="85" t="s">
        <v>254</v>
      </c>
      <c r="B852" s="85">
        <v>5</v>
      </c>
      <c r="C852" s="85">
        <v>1</v>
      </c>
      <c r="D852" s="108">
        <v>0</v>
      </c>
      <c r="E852" s="108">
        <v>0</v>
      </c>
      <c r="F852" s="108">
        <v>0</v>
      </c>
      <c r="G852" s="108">
        <v>100</v>
      </c>
      <c r="H852" s="108">
        <v>100</v>
      </c>
      <c r="I852" s="108">
        <v>0</v>
      </c>
      <c r="J852" s="108">
        <v>0</v>
      </c>
      <c r="K852" s="108">
        <v>0</v>
      </c>
      <c r="L852" s="108">
        <v>1</v>
      </c>
      <c r="M852" s="134">
        <v>0</v>
      </c>
      <c r="N852" s="134">
        <v>28</v>
      </c>
      <c r="O852" s="134">
        <v>120000</v>
      </c>
      <c r="P852" s="133">
        <v>1</v>
      </c>
      <c r="Q852" s="133">
        <v>0</v>
      </c>
      <c r="R852" s="133">
        <v>1</v>
      </c>
      <c r="S852" s="133">
        <v>1</v>
      </c>
    </row>
    <row r="853" spans="1:19">
      <c r="A853" s="85" t="s">
        <v>254</v>
      </c>
      <c r="B853" s="85">
        <v>6</v>
      </c>
      <c r="C853" s="85">
        <v>1</v>
      </c>
      <c r="D853" s="108">
        <v>99.501799058953779</v>
      </c>
      <c r="E853" s="108">
        <v>100</v>
      </c>
      <c r="F853" s="108">
        <v>100</v>
      </c>
      <c r="G853" s="108">
        <v>0</v>
      </c>
      <c r="H853" s="108">
        <v>100</v>
      </c>
      <c r="I853" s="108">
        <v>0</v>
      </c>
      <c r="J853" s="108">
        <v>0</v>
      </c>
      <c r="K853" s="108">
        <v>1</v>
      </c>
      <c r="L853" s="108">
        <v>1</v>
      </c>
      <c r="M853" s="134">
        <v>0</v>
      </c>
      <c r="N853" s="134">
        <v>28</v>
      </c>
      <c r="O853" s="134">
        <v>120000</v>
      </c>
      <c r="P853" s="133">
        <v>1</v>
      </c>
      <c r="Q853" s="133">
        <v>0</v>
      </c>
      <c r="R853" s="133">
        <v>1</v>
      </c>
      <c r="S853" s="133">
        <v>1</v>
      </c>
    </row>
    <row r="854" spans="1:19">
      <c r="A854" s="85" t="s">
        <v>255</v>
      </c>
      <c r="B854" s="85">
        <v>2</v>
      </c>
      <c r="C854" s="85">
        <v>1</v>
      </c>
      <c r="D854" s="108">
        <v>100</v>
      </c>
      <c r="E854" s="108">
        <v>100</v>
      </c>
      <c r="F854" s="108">
        <v>100</v>
      </c>
      <c r="G854" s="108">
        <v>0</v>
      </c>
      <c r="H854" s="108">
        <v>100</v>
      </c>
      <c r="I854" s="108">
        <v>0</v>
      </c>
      <c r="J854" s="108">
        <v>0</v>
      </c>
      <c r="K854" s="108">
        <v>1</v>
      </c>
      <c r="L854" s="108">
        <v>1</v>
      </c>
      <c r="M854" s="134">
        <v>0</v>
      </c>
      <c r="N854" s="134">
        <v>34</v>
      </c>
      <c r="O854" s="134">
        <v>150000</v>
      </c>
      <c r="P854" s="133">
        <v>1</v>
      </c>
      <c r="Q854" s="133">
        <v>1</v>
      </c>
      <c r="R854" s="133">
        <v>1</v>
      </c>
      <c r="S854" s="133">
        <v>1</v>
      </c>
    </row>
    <row r="855" spans="1:19">
      <c r="A855" s="85" t="s">
        <v>255</v>
      </c>
      <c r="B855" s="85">
        <v>3</v>
      </c>
      <c r="C855" s="85">
        <v>1</v>
      </c>
      <c r="D855" s="108">
        <v>0</v>
      </c>
      <c r="E855" s="108">
        <v>0</v>
      </c>
      <c r="F855" s="108">
        <v>100</v>
      </c>
      <c r="G855" s="108">
        <v>0.2359882005899705</v>
      </c>
      <c r="H855" s="108">
        <v>100</v>
      </c>
      <c r="I855" s="108">
        <v>0</v>
      </c>
      <c r="J855" s="108">
        <v>0</v>
      </c>
      <c r="K855" s="108">
        <v>0</v>
      </c>
      <c r="L855" s="108">
        <v>1</v>
      </c>
      <c r="M855" s="134">
        <v>0</v>
      </c>
      <c r="N855" s="134">
        <v>34</v>
      </c>
      <c r="O855" s="134">
        <v>150000</v>
      </c>
      <c r="P855" s="133">
        <v>1</v>
      </c>
      <c r="Q855" s="133">
        <v>1</v>
      </c>
      <c r="R855" s="133">
        <v>1</v>
      </c>
      <c r="S855" s="133">
        <v>1</v>
      </c>
    </row>
    <row r="856" spans="1:19">
      <c r="A856" s="85" t="s">
        <v>255</v>
      </c>
      <c r="B856" s="85">
        <v>4</v>
      </c>
      <c r="C856" s="85">
        <v>1</v>
      </c>
      <c r="D856" s="108">
        <v>0</v>
      </c>
      <c r="E856" s="108">
        <v>100</v>
      </c>
      <c r="F856" s="108">
        <v>100</v>
      </c>
      <c r="G856" s="108">
        <v>0</v>
      </c>
      <c r="H856" s="108">
        <v>0</v>
      </c>
      <c r="I856" s="108">
        <v>0</v>
      </c>
      <c r="J856" s="108">
        <v>0</v>
      </c>
      <c r="K856" s="108">
        <v>0</v>
      </c>
      <c r="L856" s="108">
        <v>1</v>
      </c>
      <c r="M856" s="134">
        <v>0</v>
      </c>
      <c r="N856" s="134">
        <v>34</v>
      </c>
      <c r="O856" s="134">
        <v>150000</v>
      </c>
      <c r="P856" s="133">
        <v>1</v>
      </c>
      <c r="Q856" s="133">
        <v>1</v>
      </c>
      <c r="R856" s="133">
        <v>1</v>
      </c>
      <c r="S856" s="133">
        <v>1</v>
      </c>
    </row>
    <row r="857" spans="1:19">
      <c r="A857" s="85" t="s">
        <v>255</v>
      </c>
      <c r="B857" s="85">
        <v>6</v>
      </c>
      <c r="C857" s="85">
        <v>1</v>
      </c>
      <c r="D857" s="108">
        <v>0</v>
      </c>
      <c r="E857" s="108">
        <v>50</v>
      </c>
      <c r="F857" s="108">
        <v>0</v>
      </c>
      <c r="G857" s="108">
        <v>100</v>
      </c>
      <c r="H857" s="108">
        <v>72.16814159292035</v>
      </c>
      <c r="I857" s="108">
        <v>0</v>
      </c>
      <c r="J857" s="108">
        <v>0</v>
      </c>
      <c r="K857" s="108">
        <v>0</v>
      </c>
      <c r="L857" s="108">
        <v>1</v>
      </c>
      <c r="M857" s="134">
        <v>0</v>
      </c>
      <c r="N857" s="134">
        <v>34</v>
      </c>
      <c r="O857" s="134">
        <v>150000</v>
      </c>
      <c r="P857" s="133">
        <v>1</v>
      </c>
      <c r="Q857" s="133">
        <v>1</v>
      </c>
      <c r="R857" s="133">
        <v>1</v>
      </c>
      <c r="S857" s="133">
        <v>1</v>
      </c>
    </row>
    <row r="858" spans="1:19">
      <c r="A858" s="85" t="s">
        <v>255</v>
      </c>
      <c r="B858" s="85">
        <v>7</v>
      </c>
      <c r="C858" s="85">
        <v>1</v>
      </c>
      <c r="D858" s="108">
        <v>100</v>
      </c>
      <c r="E858" s="108">
        <v>100</v>
      </c>
      <c r="F858" s="108">
        <v>0</v>
      </c>
      <c r="G858" s="108">
        <v>100</v>
      </c>
      <c r="H858" s="108">
        <v>100</v>
      </c>
      <c r="I858" s="108">
        <v>0</v>
      </c>
      <c r="J858" s="108">
        <v>1</v>
      </c>
      <c r="K858" s="108">
        <v>1</v>
      </c>
      <c r="L858" s="108">
        <v>1</v>
      </c>
      <c r="M858" s="134">
        <v>0</v>
      </c>
      <c r="N858" s="134">
        <v>34</v>
      </c>
      <c r="O858" s="134">
        <v>150000</v>
      </c>
      <c r="P858" s="133">
        <v>1</v>
      </c>
      <c r="Q858" s="133">
        <v>1</v>
      </c>
      <c r="R858" s="133">
        <v>1</v>
      </c>
      <c r="S858" s="133">
        <v>1</v>
      </c>
    </row>
    <row r="859" spans="1:19">
      <c r="A859" s="85" t="s">
        <v>256</v>
      </c>
      <c r="B859" s="85">
        <v>1</v>
      </c>
      <c r="C859" s="85">
        <v>1</v>
      </c>
      <c r="D859" s="108">
        <v>100</v>
      </c>
      <c r="E859" s="108">
        <v>50</v>
      </c>
      <c r="F859" s="108">
        <v>0</v>
      </c>
      <c r="G859" s="108">
        <v>70.952380952380949</v>
      </c>
      <c r="H859" s="108">
        <v>0</v>
      </c>
      <c r="I859" s="108">
        <v>1</v>
      </c>
      <c r="J859" s="108">
        <v>0</v>
      </c>
      <c r="K859" s="108">
        <v>1</v>
      </c>
      <c r="L859" s="108">
        <v>1</v>
      </c>
      <c r="M859" s="134">
        <v>0</v>
      </c>
      <c r="N859" s="134">
        <v>45</v>
      </c>
      <c r="O859" s="134">
        <v>120000</v>
      </c>
      <c r="P859" s="133">
        <v>1</v>
      </c>
      <c r="Q859" s="133">
        <v>1</v>
      </c>
      <c r="R859" s="133">
        <v>1</v>
      </c>
      <c r="S859" s="133">
        <v>1</v>
      </c>
    </row>
    <row r="860" spans="1:19">
      <c r="A860" s="85" t="s">
        <v>256</v>
      </c>
      <c r="B860" s="85">
        <v>4</v>
      </c>
      <c r="C860" s="85">
        <v>1</v>
      </c>
      <c r="D860" s="108">
        <v>0</v>
      </c>
      <c r="E860" s="108">
        <v>100</v>
      </c>
      <c r="F860" s="108">
        <v>100</v>
      </c>
      <c r="G860" s="108">
        <v>0</v>
      </c>
      <c r="H860" s="108">
        <v>0</v>
      </c>
      <c r="I860" s="108">
        <v>0</v>
      </c>
      <c r="J860" s="108">
        <v>0</v>
      </c>
      <c r="K860" s="108">
        <v>0</v>
      </c>
      <c r="L860" s="108">
        <v>1</v>
      </c>
      <c r="M860" s="134">
        <v>0</v>
      </c>
      <c r="N860" s="134">
        <v>45</v>
      </c>
      <c r="O860" s="134">
        <v>120000</v>
      </c>
      <c r="P860" s="133">
        <v>1</v>
      </c>
      <c r="Q860" s="133">
        <v>1</v>
      </c>
      <c r="R860" s="133">
        <v>1</v>
      </c>
      <c r="S860" s="133">
        <v>1</v>
      </c>
    </row>
    <row r="861" spans="1:19">
      <c r="A861" s="85" t="s">
        <v>256</v>
      </c>
      <c r="B861" s="85">
        <v>5</v>
      </c>
      <c r="C861" s="85">
        <v>1</v>
      </c>
      <c r="D861" s="108">
        <v>0.43923865300146142</v>
      </c>
      <c r="E861" s="108">
        <v>0</v>
      </c>
      <c r="F861" s="108">
        <v>100</v>
      </c>
      <c r="G861" s="108">
        <v>0</v>
      </c>
      <c r="H861" s="108">
        <v>100</v>
      </c>
      <c r="I861" s="108">
        <v>0</v>
      </c>
      <c r="J861" s="108">
        <v>0</v>
      </c>
      <c r="K861" s="108">
        <v>0</v>
      </c>
      <c r="L861" s="108">
        <v>1</v>
      </c>
      <c r="M861" s="134">
        <v>0</v>
      </c>
      <c r="N861" s="134">
        <v>45</v>
      </c>
      <c r="O861" s="134">
        <v>120000</v>
      </c>
      <c r="P861" s="133">
        <v>1</v>
      </c>
      <c r="Q861" s="133">
        <v>1</v>
      </c>
      <c r="R861" s="133">
        <v>1</v>
      </c>
      <c r="S861" s="133">
        <v>1</v>
      </c>
    </row>
    <row r="862" spans="1:19">
      <c r="A862" s="85" t="s">
        <v>256</v>
      </c>
      <c r="B862" s="85">
        <v>6</v>
      </c>
      <c r="C862" s="85">
        <v>1</v>
      </c>
      <c r="D862" s="108">
        <v>100</v>
      </c>
      <c r="E862" s="108">
        <v>100</v>
      </c>
      <c r="F862" s="108">
        <v>0</v>
      </c>
      <c r="G862" s="108">
        <v>100</v>
      </c>
      <c r="H862" s="108">
        <v>0</v>
      </c>
      <c r="I862" s="108">
        <v>0</v>
      </c>
      <c r="J862" s="108">
        <v>0</v>
      </c>
      <c r="K862" s="108">
        <v>1</v>
      </c>
      <c r="L862" s="108">
        <v>1</v>
      </c>
      <c r="M862" s="134">
        <v>0</v>
      </c>
      <c r="N862" s="134">
        <v>45</v>
      </c>
      <c r="O862" s="134">
        <v>120000</v>
      </c>
      <c r="P862" s="133">
        <v>1</v>
      </c>
      <c r="Q862" s="133">
        <v>1</v>
      </c>
      <c r="R862" s="133">
        <v>1</v>
      </c>
      <c r="S862" s="133">
        <v>1</v>
      </c>
    </row>
    <row r="863" spans="1:19">
      <c r="A863" s="85" t="s">
        <v>257</v>
      </c>
      <c r="B863" s="85">
        <v>2</v>
      </c>
      <c r="C863" s="85">
        <v>1</v>
      </c>
      <c r="D863" s="108">
        <v>100</v>
      </c>
      <c r="E863" s="108">
        <v>0</v>
      </c>
      <c r="F863" s="108">
        <v>100</v>
      </c>
      <c r="G863" s="108">
        <v>100</v>
      </c>
      <c r="H863" s="108">
        <v>100</v>
      </c>
      <c r="I863" s="108">
        <v>0</v>
      </c>
      <c r="J863" s="108">
        <v>0</v>
      </c>
      <c r="K863" s="108">
        <v>1</v>
      </c>
      <c r="L863" s="108">
        <v>1</v>
      </c>
      <c r="M863" s="134">
        <v>0</v>
      </c>
      <c r="N863" s="134">
        <v>36</v>
      </c>
      <c r="O863" s="134">
        <v>150000</v>
      </c>
      <c r="P863" s="133">
        <v>0</v>
      </c>
      <c r="Q863" s="133">
        <v>0</v>
      </c>
      <c r="R863" s="133">
        <v>1</v>
      </c>
      <c r="S863" s="133">
        <v>1</v>
      </c>
    </row>
    <row r="864" spans="1:19">
      <c r="A864" s="85" t="s">
        <v>257</v>
      </c>
      <c r="B864" s="85">
        <v>3</v>
      </c>
      <c r="C864" s="85">
        <v>1</v>
      </c>
      <c r="D864" s="108">
        <v>100</v>
      </c>
      <c r="E864" s="108">
        <v>100</v>
      </c>
      <c r="F864" s="108">
        <v>0</v>
      </c>
      <c r="G864" s="108">
        <v>100</v>
      </c>
      <c r="H864" s="108">
        <v>0</v>
      </c>
      <c r="I864" s="108">
        <v>0</v>
      </c>
      <c r="J864" s="108">
        <v>0</v>
      </c>
      <c r="K864" s="108">
        <v>1</v>
      </c>
      <c r="L864" s="108">
        <v>1</v>
      </c>
      <c r="M864" s="134">
        <v>0</v>
      </c>
      <c r="N864" s="134">
        <v>36</v>
      </c>
      <c r="O864" s="134">
        <v>150000</v>
      </c>
      <c r="P864" s="133">
        <v>0</v>
      </c>
      <c r="Q864" s="133">
        <v>0</v>
      </c>
      <c r="R864" s="133">
        <v>1</v>
      </c>
      <c r="S864" s="133">
        <v>1</v>
      </c>
    </row>
    <row r="865" spans="1:19">
      <c r="A865" s="85" t="s">
        <v>257</v>
      </c>
      <c r="B865" s="85">
        <v>4</v>
      </c>
      <c r="C865" s="85">
        <v>1</v>
      </c>
      <c r="D865" s="108">
        <v>100</v>
      </c>
      <c r="E865" s="108">
        <v>100</v>
      </c>
      <c r="F865" s="108">
        <v>100</v>
      </c>
      <c r="G865" s="108">
        <v>0</v>
      </c>
      <c r="H865" s="108">
        <v>100</v>
      </c>
      <c r="I865" s="108">
        <v>0</v>
      </c>
      <c r="J865" s="108">
        <v>0</v>
      </c>
      <c r="K865" s="108">
        <v>1</v>
      </c>
      <c r="L865" s="108">
        <v>1</v>
      </c>
      <c r="M865" s="134">
        <v>0</v>
      </c>
      <c r="N865" s="134">
        <v>36</v>
      </c>
      <c r="O865" s="134">
        <v>150000</v>
      </c>
      <c r="P865" s="133">
        <v>0</v>
      </c>
      <c r="Q865" s="133">
        <v>0</v>
      </c>
      <c r="R865" s="133">
        <v>1</v>
      </c>
      <c r="S865" s="133">
        <v>1</v>
      </c>
    </row>
    <row r="866" spans="1:19">
      <c r="A866" s="85" t="s">
        <v>257</v>
      </c>
      <c r="B866" s="85">
        <v>5</v>
      </c>
      <c r="C866" s="85">
        <v>1</v>
      </c>
      <c r="D866" s="108">
        <v>0</v>
      </c>
      <c r="E866" s="108">
        <v>100</v>
      </c>
      <c r="F866" s="108">
        <v>0</v>
      </c>
      <c r="G866" s="108">
        <v>100</v>
      </c>
      <c r="H866" s="108">
        <v>0</v>
      </c>
      <c r="I866" s="108">
        <v>0</v>
      </c>
      <c r="J866" s="108">
        <v>0</v>
      </c>
      <c r="K866" s="108">
        <v>0</v>
      </c>
      <c r="L866" s="108">
        <v>1</v>
      </c>
      <c r="M866" s="134">
        <v>0</v>
      </c>
      <c r="N866" s="134">
        <v>36</v>
      </c>
      <c r="O866" s="134">
        <v>150000</v>
      </c>
      <c r="P866" s="133">
        <v>0</v>
      </c>
      <c r="Q866" s="133">
        <v>0</v>
      </c>
      <c r="R866" s="133">
        <v>1</v>
      </c>
      <c r="S866" s="133">
        <v>1</v>
      </c>
    </row>
    <row r="867" spans="1:19">
      <c r="A867" s="85" t="s">
        <v>257</v>
      </c>
      <c r="B867" s="85">
        <v>7</v>
      </c>
      <c r="C867" s="85">
        <v>1</v>
      </c>
      <c r="D867" s="108">
        <v>100</v>
      </c>
      <c r="E867" s="108">
        <v>0</v>
      </c>
      <c r="F867" s="108">
        <v>100</v>
      </c>
      <c r="G867" s="108">
        <v>0.35200938691698491</v>
      </c>
      <c r="H867" s="108">
        <v>0</v>
      </c>
      <c r="I867" s="108">
        <v>0</v>
      </c>
      <c r="J867" s="108">
        <v>1</v>
      </c>
      <c r="K867" s="108">
        <v>1</v>
      </c>
      <c r="L867" s="108">
        <v>1</v>
      </c>
      <c r="M867" s="134">
        <v>0</v>
      </c>
      <c r="N867" s="134">
        <v>36</v>
      </c>
      <c r="O867" s="134">
        <v>150000</v>
      </c>
      <c r="P867" s="133">
        <v>0</v>
      </c>
      <c r="Q867" s="133">
        <v>0</v>
      </c>
      <c r="R867" s="133">
        <v>1</v>
      </c>
      <c r="S867" s="133">
        <v>1</v>
      </c>
    </row>
    <row r="868" spans="1:19">
      <c r="A868" s="85" t="s">
        <v>258</v>
      </c>
      <c r="B868" s="85">
        <v>1</v>
      </c>
      <c r="C868" s="85">
        <v>1</v>
      </c>
      <c r="D868" s="108">
        <v>100</v>
      </c>
      <c r="E868" s="108">
        <v>100</v>
      </c>
      <c r="F868" s="108">
        <v>0</v>
      </c>
      <c r="G868" s="108">
        <v>100</v>
      </c>
      <c r="H868" s="108">
        <v>100</v>
      </c>
      <c r="I868" s="108">
        <v>1</v>
      </c>
      <c r="J868" s="108">
        <v>0</v>
      </c>
      <c r="K868" s="108">
        <v>1</v>
      </c>
      <c r="L868" s="108">
        <v>1</v>
      </c>
      <c r="M868" s="134">
        <v>0</v>
      </c>
      <c r="N868" s="134">
        <v>32</v>
      </c>
      <c r="O868" s="134">
        <v>120000</v>
      </c>
      <c r="P868" s="133">
        <v>0</v>
      </c>
      <c r="Q868" s="133">
        <v>0</v>
      </c>
      <c r="R868" s="133">
        <v>1</v>
      </c>
      <c r="S868" s="133">
        <v>1</v>
      </c>
    </row>
    <row r="869" spans="1:19">
      <c r="A869" s="85" t="s">
        <v>258</v>
      </c>
      <c r="B869" s="85">
        <v>2</v>
      </c>
      <c r="C869" s="85">
        <v>1</v>
      </c>
      <c r="D869" s="108">
        <v>100</v>
      </c>
      <c r="E869" s="108">
        <v>100</v>
      </c>
      <c r="F869" s="108">
        <v>0</v>
      </c>
      <c r="G869" s="108">
        <v>100</v>
      </c>
      <c r="H869" s="108">
        <v>100</v>
      </c>
      <c r="I869" s="108">
        <v>0</v>
      </c>
      <c r="J869" s="108">
        <v>0</v>
      </c>
      <c r="K869" s="108">
        <v>1</v>
      </c>
      <c r="L869" s="108">
        <v>1</v>
      </c>
      <c r="M869" s="134">
        <v>0</v>
      </c>
      <c r="N869" s="134">
        <v>32</v>
      </c>
      <c r="O869" s="134">
        <v>120000</v>
      </c>
      <c r="P869" s="133">
        <v>0</v>
      </c>
      <c r="Q869" s="133">
        <v>0</v>
      </c>
      <c r="R869" s="133">
        <v>1</v>
      </c>
      <c r="S869" s="133">
        <v>1</v>
      </c>
    </row>
    <row r="870" spans="1:19">
      <c r="A870" s="85" t="s">
        <v>258</v>
      </c>
      <c r="B870" s="85">
        <v>5</v>
      </c>
      <c r="C870" s="85">
        <v>1</v>
      </c>
      <c r="D870" s="108">
        <v>100</v>
      </c>
      <c r="E870" s="108">
        <v>0</v>
      </c>
      <c r="F870" s="108">
        <v>0</v>
      </c>
      <c r="G870" s="108">
        <v>100</v>
      </c>
      <c r="H870" s="108">
        <v>0</v>
      </c>
      <c r="I870" s="108">
        <v>0</v>
      </c>
      <c r="J870" s="108">
        <v>0</v>
      </c>
      <c r="K870" s="108">
        <v>1</v>
      </c>
      <c r="L870" s="108">
        <v>1</v>
      </c>
      <c r="M870" s="134">
        <v>0</v>
      </c>
      <c r="N870" s="134">
        <v>32</v>
      </c>
      <c r="O870" s="134">
        <v>120000</v>
      </c>
      <c r="P870" s="133">
        <v>0</v>
      </c>
      <c r="Q870" s="133">
        <v>0</v>
      </c>
      <c r="R870" s="133">
        <v>1</v>
      </c>
      <c r="S870" s="133">
        <v>1</v>
      </c>
    </row>
    <row r="871" spans="1:19">
      <c r="A871" s="85" t="s">
        <v>258</v>
      </c>
      <c r="B871" s="85">
        <v>6</v>
      </c>
      <c r="C871" s="85">
        <v>1</v>
      </c>
      <c r="D871" s="108">
        <v>0</v>
      </c>
      <c r="E871" s="108">
        <v>100</v>
      </c>
      <c r="F871" s="108">
        <v>100</v>
      </c>
      <c r="G871" s="108">
        <v>0</v>
      </c>
      <c r="H871" s="108">
        <v>100</v>
      </c>
      <c r="I871" s="108">
        <v>0</v>
      </c>
      <c r="J871" s="108">
        <v>0</v>
      </c>
      <c r="K871" s="108">
        <v>0</v>
      </c>
      <c r="L871" s="108">
        <v>1</v>
      </c>
      <c r="M871" s="134">
        <v>0</v>
      </c>
      <c r="N871" s="134">
        <v>32</v>
      </c>
      <c r="O871" s="134">
        <v>120000</v>
      </c>
      <c r="P871" s="133">
        <v>0</v>
      </c>
      <c r="Q871" s="133">
        <v>0</v>
      </c>
      <c r="R871" s="133">
        <v>1</v>
      </c>
      <c r="S871" s="133">
        <v>1</v>
      </c>
    </row>
    <row r="872" spans="1:19">
      <c r="A872" s="85" t="s">
        <v>258</v>
      </c>
      <c r="B872" s="85">
        <v>7</v>
      </c>
      <c r="C872" s="85">
        <v>1</v>
      </c>
      <c r="D872" s="108">
        <v>100</v>
      </c>
      <c r="E872" s="108">
        <v>100</v>
      </c>
      <c r="F872" s="108">
        <v>0</v>
      </c>
      <c r="G872" s="108">
        <v>0.27283170591613781</v>
      </c>
      <c r="H872" s="108">
        <v>0</v>
      </c>
      <c r="I872" s="108">
        <v>0</v>
      </c>
      <c r="J872" s="108">
        <v>1</v>
      </c>
      <c r="K872" s="108">
        <v>1</v>
      </c>
      <c r="L872" s="108">
        <v>1</v>
      </c>
      <c r="M872" s="134">
        <v>0</v>
      </c>
      <c r="N872" s="134">
        <v>32</v>
      </c>
      <c r="O872" s="134">
        <v>120000</v>
      </c>
      <c r="P872" s="133">
        <v>0</v>
      </c>
      <c r="Q872" s="133">
        <v>0</v>
      </c>
      <c r="R872" s="133">
        <v>1</v>
      </c>
      <c r="S872" s="133">
        <v>1</v>
      </c>
    </row>
    <row r="873" spans="1:19">
      <c r="A873" s="85" t="s">
        <v>259</v>
      </c>
      <c r="B873" s="85">
        <v>1</v>
      </c>
      <c r="C873" s="85">
        <v>1</v>
      </c>
      <c r="D873" s="108">
        <v>100</v>
      </c>
      <c r="E873" s="108">
        <v>100</v>
      </c>
      <c r="F873" s="108">
        <v>0</v>
      </c>
      <c r="G873" s="108">
        <v>100</v>
      </c>
      <c r="H873" s="108">
        <v>100</v>
      </c>
      <c r="I873" s="108">
        <v>1</v>
      </c>
      <c r="J873" s="108">
        <v>0</v>
      </c>
      <c r="K873" s="108">
        <v>1</v>
      </c>
      <c r="L873" s="108">
        <v>1</v>
      </c>
      <c r="M873" s="134">
        <v>1</v>
      </c>
      <c r="N873" s="134">
        <v>42</v>
      </c>
      <c r="O873" s="134">
        <v>85000</v>
      </c>
      <c r="P873" s="133">
        <v>0</v>
      </c>
      <c r="Q873" s="133">
        <v>0</v>
      </c>
      <c r="R873" s="133">
        <v>1</v>
      </c>
      <c r="S873" s="133">
        <v>1</v>
      </c>
    </row>
    <row r="874" spans="1:19">
      <c r="A874" s="85" t="s">
        <v>259</v>
      </c>
      <c r="B874" s="85">
        <v>2</v>
      </c>
      <c r="C874" s="85">
        <v>1</v>
      </c>
      <c r="D874" s="108">
        <v>0</v>
      </c>
      <c r="E874" s="108">
        <v>100</v>
      </c>
      <c r="F874" s="108">
        <v>100</v>
      </c>
      <c r="G874" s="108">
        <v>0</v>
      </c>
      <c r="H874" s="108">
        <v>0</v>
      </c>
      <c r="I874" s="108">
        <v>0</v>
      </c>
      <c r="J874" s="108">
        <v>0</v>
      </c>
      <c r="K874" s="108">
        <v>0</v>
      </c>
      <c r="L874" s="108">
        <v>1</v>
      </c>
      <c r="M874" s="134">
        <v>1</v>
      </c>
      <c r="N874" s="134">
        <v>42</v>
      </c>
      <c r="O874" s="134">
        <v>85000</v>
      </c>
      <c r="P874" s="133">
        <v>0</v>
      </c>
      <c r="Q874" s="133">
        <v>0</v>
      </c>
      <c r="R874" s="133">
        <v>1</v>
      </c>
      <c r="S874" s="133">
        <v>1</v>
      </c>
    </row>
    <row r="875" spans="1:19">
      <c r="A875" s="85" t="s">
        <v>259</v>
      </c>
      <c r="B875" s="85">
        <v>4</v>
      </c>
      <c r="C875" s="85">
        <v>1</v>
      </c>
      <c r="D875" s="108">
        <v>0</v>
      </c>
      <c r="E875" s="108">
        <v>0.54535017221584159</v>
      </c>
      <c r="F875" s="108">
        <v>100</v>
      </c>
      <c r="G875" s="108">
        <v>0</v>
      </c>
      <c r="H875" s="108">
        <v>100</v>
      </c>
      <c r="I875" s="108">
        <v>0</v>
      </c>
      <c r="J875" s="108">
        <v>0</v>
      </c>
      <c r="K875" s="108">
        <v>0</v>
      </c>
      <c r="L875" s="108">
        <v>1</v>
      </c>
      <c r="M875" s="134">
        <v>1</v>
      </c>
      <c r="N875" s="134">
        <v>42</v>
      </c>
      <c r="O875" s="134">
        <v>85000</v>
      </c>
      <c r="P875" s="133">
        <v>0</v>
      </c>
      <c r="Q875" s="133">
        <v>0</v>
      </c>
      <c r="R875" s="133">
        <v>1</v>
      </c>
      <c r="S875" s="133">
        <v>1</v>
      </c>
    </row>
    <row r="876" spans="1:19">
      <c r="A876" s="85" t="s">
        <v>259</v>
      </c>
      <c r="B876" s="85">
        <v>5</v>
      </c>
      <c r="C876" s="85">
        <v>1</v>
      </c>
      <c r="D876" s="108">
        <v>0</v>
      </c>
      <c r="E876" s="108">
        <v>100</v>
      </c>
      <c r="F876" s="108">
        <v>0</v>
      </c>
      <c r="G876" s="108">
        <v>72.847301951779571</v>
      </c>
      <c r="H876" s="108">
        <v>50</v>
      </c>
      <c r="I876" s="108">
        <v>0</v>
      </c>
      <c r="J876" s="108">
        <v>0</v>
      </c>
      <c r="K876" s="108">
        <v>0</v>
      </c>
      <c r="L876" s="108">
        <v>1</v>
      </c>
      <c r="M876" s="134">
        <v>1</v>
      </c>
      <c r="N876" s="134">
        <v>42</v>
      </c>
      <c r="O876" s="134">
        <v>85000</v>
      </c>
      <c r="P876" s="133">
        <v>0</v>
      </c>
      <c r="Q876" s="133">
        <v>0</v>
      </c>
      <c r="R876" s="133">
        <v>1</v>
      </c>
      <c r="S876" s="133">
        <v>1</v>
      </c>
    </row>
    <row r="877" spans="1:19">
      <c r="A877" s="85" t="s">
        <v>259</v>
      </c>
      <c r="B877" s="85">
        <v>6</v>
      </c>
      <c r="C877" s="85">
        <v>1</v>
      </c>
      <c r="D877" s="108">
        <v>100</v>
      </c>
      <c r="E877" s="108">
        <v>0</v>
      </c>
      <c r="F877" s="108">
        <v>100</v>
      </c>
      <c r="G877" s="108">
        <v>0</v>
      </c>
      <c r="H877" s="108">
        <v>100</v>
      </c>
      <c r="I877" s="108">
        <v>0</v>
      </c>
      <c r="J877" s="108">
        <v>0</v>
      </c>
      <c r="K877" s="108">
        <v>1</v>
      </c>
      <c r="L877" s="108">
        <v>1</v>
      </c>
      <c r="M877" s="134">
        <v>1</v>
      </c>
      <c r="N877" s="134">
        <v>42</v>
      </c>
      <c r="O877" s="134">
        <v>85000</v>
      </c>
      <c r="P877" s="133">
        <v>0</v>
      </c>
      <c r="Q877" s="133">
        <v>0</v>
      </c>
      <c r="R877" s="133">
        <v>1</v>
      </c>
      <c r="S877" s="133">
        <v>1</v>
      </c>
    </row>
    <row r="878" spans="1:19">
      <c r="A878" s="85" t="s">
        <v>259</v>
      </c>
      <c r="B878" s="85">
        <v>7</v>
      </c>
      <c r="C878" s="85">
        <v>1</v>
      </c>
      <c r="D878" s="108">
        <v>100</v>
      </c>
      <c r="E878" s="108">
        <v>0</v>
      </c>
      <c r="F878" s="108">
        <v>100</v>
      </c>
      <c r="G878" s="108">
        <v>100</v>
      </c>
      <c r="H878" s="108">
        <v>100</v>
      </c>
      <c r="I878" s="108">
        <v>0</v>
      </c>
      <c r="J878" s="108">
        <v>1</v>
      </c>
      <c r="K878" s="108">
        <v>1</v>
      </c>
      <c r="L878" s="108">
        <v>1</v>
      </c>
      <c r="M878" s="134">
        <v>1</v>
      </c>
      <c r="N878" s="134">
        <v>42</v>
      </c>
      <c r="O878" s="134">
        <v>85000</v>
      </c>
      <c r="P878" s="133">
        <v>0</v>
      </c>
      <c r="Q878" s="133">
        <v>0</v>
      </c>
      <c r="R878" s="133">
        <v>1</v>
      </c>
      <c r="S878" s="133">
        <v>1</v>
      </c>
    </row>
    <row r="879" spans="1:19">
      <c r="A879" s="85" t="s">
        <v>260</v>
      </c>
      <c r="B879" s="85">
        <v>1</v>
      </c>
      <c r="C879" s="85">
        <v>1</v>
      </c>
      <c r="D879" s="108">
        <v>0</v>
      </c>
      <c r="E879" s="108">
        <v>100</v>
      </c>
      <c r="F879" s="108">
        <v>0</v>
      </c>
      <c r="G879" s="108">
        <v>100</v>
      </c>
      <c r="H879" s="108">
        <v>100</v>
      </c>
      <c r="I879" s="108">
        <v>1</v>
      </c>
      <c r="J879" s="108">
        <v>0</v>
      </c>
      <c r="K879" s="108">
        <v>0</v>
      </c>
      <c r="L879" s="108">
        <v>1</v>
      </c>
      <c r="M879" s="134">
        <v>0</v>
      </c>
      <c r="N879" s="134">
        <v>31</v>
      </c>
      <c r="O879" s="134">
        <v>200000</v>
      </c>
      <c r="P879" s="133">
        <v>0</v>
      </c>
      <c r="Q879" s="133">
        <v>1</v>
      </c>
      <c r="R879" s="133">
        <v>1</v>
      </c>
      <c r="S879" s="133">
        <v>1</v>
      </c>
    </row>
    <row r="880" spans="1:19">
      <c r="A880" s="85" t="s">
        <v>260</v>
      </c>
      <c r="B880" s="85">
        <v>2</v>
      </c>
      <c r="C880" s="85">
        <v>1</v>
      </c>
      <c r="D880" s="108">
        <v>0</v>
      </c>
      <c r="E880" s="108">
        <v>0</v>
      </c>
      <c r="F880" s="108">
        <v>73.041606886657107</v>
      </c>
      <c r="G880" s="108">
        <v>50</v>
      </c>
      <c r="H880" s="108">
        <v>100</v>
      </c>
      <c r="I880" s="108">
        <v>0</v>
      </c>
      <c r="J880" s="108">
        <v>0</v>
      </c>
      <c r="K880" s="108">
        <v>0</v>
      </c>
      <c r="L880" s="108">
        <v>1</v>
      </c>
      <c r="M880" s="134">
        <v>0</v>
      </c>
      <c r="N880" s="134">
        <v>31</v>
      </c>
      <c r="O880" s="134">
        <v>200000</v>
      </c>
      <c r="P880" s="133">
        <v>0</v>
      </c>
      <c r="Q880" s="133">
        <v>1</v>
      </c>
      <c r="R880" s="133">
        <v>1</v>
      </c>
      <c r="S880" s="133">
        <v>1</v>
      </c>
    </row>
    <row r="881" spans="1:19">
      <c r="A881" s="85" t="s">
        <v>260</v>
      </c>
      <c r="B881" s="85">
        <v>3</v>
      </c>
      <c r="C881" s="85">
        <v>1</v>
      </c>
      <c r="D881" s="108">
        <v>0</v>
      </c>
      <c r="E881" s="108">
        <v>100</v>
      </c>
      <c r="F881" s="108">
        <v>0</v>
      </c>
      <c r="G881" s="108">
        <v>0</v>
      </c>
      <c r="H881" s="108">
        <v>100</v>
      </c>
      <c r="I881" s="108">
        <v>0</v>
      </c>
      <c r="J881" s="108">
        <v>0</v>
      </c>
      <c r="K881" s="108">
        <v>0</v>
      </c>
      <c r="L881" s="108">
        <v>1</v>
      </c>
      <c r="M881" s="134">
        <v>0</v>
      </c>
      <c r="N881" s="134">
        <v>31</v>
      </c>
      <c r="O881" s="134">
        <v>200000</v>
      </c>
      <c r="P881" s="133">
        <v>0</v>
      </c>
      <c r="Q881" s="133">
        <v>1</v>
      </c>
      <c r="R881" s="133">
        <v>1</v>
      </c>
      <c r="S881" s="133">
        <v>1</v>
      </c>
    </row>
    <row r="882" spans="1:19">
      <c r="A882" s="85" t="s">
        <v>260</v>
      </c>
      <c r="B882" s="85">
        <v>4</v>
      </c>
      <c r="C882" s="85">
        <v>1</v>
      </c>
      <c r="D882" s="108">
        <v>0</v>
      </c>
      <c r="E882" s="108">
        <v>0.32998565279770409</v>
      </c>
      <c r="F882" s="108">
        <v>0</v>
      </c>
      <c r="G882" s="108">
        <v>100</v>
      </c>
      <c r="H882" s="108">
        <v>100</v>
      </c>
      <c r="I882" s="108">
        <v>0</v>
      </c>
      <c r="J882" s="108">
        <v>0</v>
      </c>
      <c r="K882" s="108">
        <v>0</v>
      </c>
      <c r="L882" s="108">
        <v>1</v>
      </c>
      <c r="M882" s="134">
        <v>0</v>
      </c>
      <c r="N882" s="134">
        <v>31</v>
      </c>
      <c r="O882" s="134">
        <v>200000</v>
      </c>
      <c r="P882" s="133">
        <v>0</v>
      </c>
      <c r="Q882" s="133">
        <v>1</v>
      </c>
      <c r="R882" s="133">
        <v>1</v>
      </c>
      <c r="S882" s="133">
        <v>1</v>
      </c>
    </row>
    <row r="883" spans="1:19">
      <c r="A883" s="85" t="s">
        <v>260</v>
      </c>
      <c r="B883" s="85">
        <v>6</v>
      </c>
      <c r="C883" s="85">
        <v>1</v>
      </c>
      <c r="D883" s="108">
        <v>100</v>
      </c>
      <c r="E883" s="108">
        <v>100</v>
      </c>
      <c r="F883" s="108">
        <v>100</v>
      </c>
      <c r="G883" s="108">
        <v>0</v>
      </c>
      <c r="H883" s="108">
        <v>100</v>
      </c>
      <c r="I883" s="108">
        <v>0</v>
      </c>
      <c r="J883" s="108">
        <v>0</v>
      </c>
      <c r="K883" s="108">
        <v>1</v>
      </c>
      <c r="L883" s="108">
        <v>1</v>
      </c>
      <c r="M883" s="134">
        <v>0</v>
      </c>
      <c r="N883" s="134">
        <v>31</v>
      </c>
      <c r="O883" s="134">
        <v>200000</v>
      </c>
      <c r="P883" s="133">
        <v>0</v>
      </c>
      <c r="Q883" s="133">
        <v>1</v>
      </c>
      <c r="R883" s="133">
        <v>1</v>
      </c>
      <c r="S883" s="133">
        <v>1</v>
      </c>
    </row>
    <row r="884" spans="1:19">
      <c r="A884" s="85" t="s">
        <v>261</v>
      </c>
      <c r="B884" s="85">
        <v>1</v>
      </c>
      <c r="C884" s="85">
        <v>1</v>
      </c>
      <c r="D884" s="108">
        <v>99.773622047244089</v>
      </c>
      <c r="E884" s="108">
        <v>98.553149606299215</v>
      </c>
      <c r="F884" s="108">
        <v>96.112204724409452</v>
      </c>
      <c r="G884" s="108">
        <v>1.131889763779526</v>
      </c>
      <c r="H884" s="108">
        <v>3.9370078740158521E-2</v>
      </c>
      <c r="I884" s="108">
        <v>1</v>
      </c>
      <c r="J884" s="108">
        <v>0</v>
      </c>
      <c r="K884" s="108">
        <v>1</v>
      </c>
      <c r="L884" s="108">
        <v>1</v>
      </c>
      <c r="M884" s="134">
        <v>1</v>
      </c>
      <c r="N884" s="134">
        <v>51</v>
      </c>
      <c r="O884" s="134">
        <v>73000</v>
      </c>
      <c r="P884" s="133">
        <v>0</v>
      </c>
      <c r="Q884" s="133">
        <v>1</v>
      </c>
      <c r="R884" s="133">
        <v>1</v>
      </c>
      <c r="S884" s="133">
        <v>1</v>
      </c>
    </row>
    <row r="885" spans="1:19">
      <c r="A885" s="85" t="s">
        <v>261</v>
      </c>
      <c r="B885" s="85">
        <v>2</v>
      </c>
      <c r="C885" s="85">
        <v>1</v>
      </c>
      <c r="D885" s="108">
        <v>2.6082677165354342</v>
      </c>
      <c r="E885" s="108">
        <v>4.616141732283463</v>
      </c>
      <c r="F885" s="108">
        <v>2.4212598425196852</v>
      </c>
      <c r="G885" s="108">
        <v>96.879921259842533</v>
      </c>
      <c r="H885" s="108">
        <v>3.2677165354330739</v>
      </c>
      <c r="I885" s="108">
        <v>0</v>
      </c>
      <c r="J885" s="108">
        <v>0</v>
      </c>
      <c r="K885" s="108">
        <v>0</v>
      </c>
      <c r="L885" s="108">
        <v>1</v>
      </c>
      <c r="M885" s="134">
        <v>1</v>
      </c>
      <c r="N885" s="134">
        <v>51</v>
      </c>
      <c r="O885" s="134">
        <v>73000</v>
      </c>
      <c r="P885" s="133">
        <v>0</v>
      </c>
      <c r="Q885" s="133">
        <v>1</v>
      </c>
      <c r="R885" s="133">
        <v>1</v>
      </c>
      <c r="S885" s="133">
        <v>1</v>
      </c>
    </row>
    <row r="886" spans="1:19">
      <c r="A886" s="85" t="s">
        <v>261</v>
      </c>
      <c r="B886" s="85">
        <v>3</v>
      </c>
      <c r="C886" s="85">
        <v>1</v>
      </c>
      <c r="D886" s="108">
        <v>2.3326771653543301</v>
      </c>
      <c r="E886" s="108">
        <v>9.734251968503937</v>
      </c>
      <c r="F886" s="108">
        <v>3.3169291338582712</v>
      </c>
      <c r="G886" s="108">
        <v>93.562992125984252</v>
      </c>
      <c r="H886" s="108">
        <v>94.773622047244089</v>
      </c>
      <c r="I886" s="108">
        <v>0</v>
      </c>
      <c r="J886" s="108">
        <v>0</v>
      </c>
      <c r="K886" s="108">
        <v>0</v>
      </c>
      <c r="L886" s="108">
        <v>1</v>
      </c>
      <c r="M886" s="134">
        <v>1</v>
      </c>
      <c r="N886" s="134">
        <v>51</v>
      </c>
      <c r="O886" s="134">
        <v>73000</v>
      </c>
      <c r="P886" s="133">
        <v>0</v>
      </c>
      <c r="Q886" s="133">
        <v>1</v>
      </c>
      <c r="R886" s="133">
        <v>1</v>
      </c>
      <c r="S886" s="133">
        <v>1</v>
      </c>
    </row>
    <row r="887" spans="1:19">
      <c r="A887" s="85" t="s">
        <v>261</v>
      </c>
      <c r="B887" s="85">
        <v>4</v>
      </c>
      <c r="C887" s="85">
        <v>1</v>
      </c>
      <c r="D887" s="108">
        <v>1.751968503937007</v>
      </c>
      <c r="E887" s="108">
        <v>4.0846456692913371</v>
      </c>
      <c r="F887" s="108">
        <v>1.751968503937007</v>
      </c>
      <c r="G887" s="108">
        <v>97.913385826771645</v>
      </c>
      <c r="H887" s="108">
        <v>8.5433070866141705</v>
      </c>
      <c r="I887" s="108">
        <v>0</v>
      </c>
      <c r="J887" s="108">
        <v>0</v>
      </c>
      <c r="K887" s="108">
        <v>0</v>
      </c>
      <c r="L887" s="108">
        <v>1</v>
      </c>
      <c r="M887" s="134">
        <v>1</v>
      </c>
      <c r="N887" s="134">
        <v>51</v>
      </c>
      <c r="O887" s="134">
        <v>73000</v>
      </c>
      <c r="P887" s="133">
        <v>0</v>
      </c>
      <c r="Q887" s="133">
        <v>1</v>
      </c>
      <c r="R887" s="133">
        <v>1</v>
      </c>
      <c r="S887" s="133">
        <v>1</v>
      </c>
    </row>
    <row r="888" spans="1:19">
      <c r="A888" s="85" t="s">
        <v>261</v>
      </c>
      <c r="B888" s="85">
        <v>6</v>
      </c>
      <c r="C888" s="85">
        <v>1</v>
      </c>
      <c r="D888" s="108">
        <v>1.938976377952756</v>
      </c>
      <c r="E888" s="108">
        <v>3.9370078740157459</v>
      </c>
      <c r="F888" s="108">
        <v>6.4566929133858251</v>
      </c>
      <c r="G888" s="108">
        <v>86.023622047244103</v>
      </c>
      <c r="H888" s="108">
        <v>1.5255905511811001</v>
      </c>
      <c r="I888" s="108">
        <v>0</v>
      </c>
      <c r="J888" s="108">
        <v>0</v>
      </c>
      <c r="K888" s="108">
        <v>0</v>
      </c>
      <c r="L888" s="108">
        <v>1</v>
      </c>
      <c r="M888" s="134">
        <v>1</v>
      </c>
      <c r="N888" s="134">
        <v>51</v>
      </c>
      <c r="O888" s="134">
        <v>73000</v>
      </c>
      <c r="P888" s="133">
        <v>0</v>
      </c>
      <c r="Q888" s="133">
        <v>1</v>
      </c>
      <c r="R888" s="133">
        <v>1</v>
      </c>
      <c r="S888" s="133">
        <v>1</v>
      </c>
    </row>
    <row r="889" spans="1:19">
      <c r="A889" s="85" t="s">
        <v>261</v>
      </c>
      <c r="B889" s="85">
        <v>7</v>
      </c>
      <c r="C889" s="85">
        <v>1</v>
      </c>
      <c r="D889" s="108">
        <v>24.120864808543889</v>
      </c>
      <c r="E889" s="108">
        <v>14.17035686376661</v>
      </c>
      <c r="F889" s="108">
        <v>16.905444126074499</v>
      </c>
      <c r="G889" s="108">
        <v>79.890596509507688</v>
      </c>
      <c r="H889" s="108">
        <v>50</v>
      </c>
      <c r="I889" s="108">
        <v>0</v>
      </c>
      <c r="J889" s="108">
        <v>1</v>
      </c>
      <c r="K889" s="108">
        <v>0</v>
      </c>
      <c r="L889" s="108">
        <v>1</v>
      </c>
      <c r="M889" s="134">
        <v>1</v>
      </c>
      <c r="N889" s="134">
        <v>51</v>
      </c>
      <c r="O889" s="134">
        <v>73000</v>
      </c>
      <c r="P889" s="133">
        <v>0</v>
      </c>
      <c r="Q889" s="133">
        <v>1</v>
      </c>
      <c r="R889" s="133">
        <v>1</v>
      </c>
      <c r="S889" s="133">
        <v>1</v>
      </c>
    </row>
    <row r="890" spans="1:19">
      <c r="A890" s="85" t="s">
        <v>262</v>
      </c>
      <c r="B890" s="85">
        <v>1</v>
      </c>
      <c r="C890" s="85">
        <v>1</v>
      </c>
      <c r="D890" s="108">
        <v>90.21577380952381</v>
      </c>
      <c r="E890" s="108">
        <v>92.199900793650784</v>
      </c>
      <c r="F890" s="108">
        <v>90.104166666666671</v>
      </c>
      <c r="G890" s="108">
        <v>50</v>
      </c>
      <c r="H890" s="108">
        <v>9.9702380952380931</v>
      </c>
      <c r="I890" s="108">
        <v>1</v>
      </c>
      <c r="J890" s="108">
        <v>0</v>
      </c>
      <c r="K890" s="108">
        <v>1</v>
      </c>
      <c r="L890" s="108">
        <v>1</v>
      </c>
      <c r="M890" s="134">
        <v>1</v>
      </c>
      <c r="N890" s="134">
        <v>57</v>
      </c>
      <c r="O890" s="134">
        <v>36000</v>
      </c>
      <c r="P890" s="133">
        <v>0</v>
      </c>
      <c r="Q890" s="133">
        <v>0</v>
      </c>
      <c r="R890" s="133">
        <v>0</v>
      </c>
      <c r="S890" s="133">
        <v>0</v>
      </c>
    </row>
    <row r="891" spans="1:19">
      <c r="A891" s="85" t="s">
        <v>262</v>
      </c>
      <c r="B891" s="85">
        <v>3</v>
      </c>
      <c r="C891" s="85">
        <v>1</v>
      </c>
      <c r="D891" s="108">
        <v>7.1552579365079358</v>
      </c>
      <c r="E891" s="108">
        <v>7.862103174603174</v>
      </c>
      <c r="F891" s="108">
        <v>12.84722222222222</v>
      </c>
      <c r="G891" s="108">
        <v>90.711805555555557</v>
      </c>
      <c r="H891" s="108">
        <v>7.5892857142857153</v>
      </c>
      <c r="I891" s="108">
        <v>0</v>
      </c>
      <c r="J891" s="108">
        <v>0</v>
      </c>
      <c r="K891" s="108">
        <v>0</v>
      </c>
      <c r="L891" s="108">
        <v>1</v>
      </c>
      <c r="M891" s="134">
        <v>1</v>
      </c>
      <c r="N891" s="134">
        <v>57</v>
      </c>
      <c r="O891" s="134">
        <v>36000</v>
      </c>
      <c r="P891" s="133">
        <v>0</v>
      </c>
      <c r="Q891" s="133">
        <v>0</v>
      </c>
      <c r="R891" s="133">
        <v>0</v>
      </c>
      <c r="S891" s="133">
        <v>0</v>
      </c>
    </row>
    <row r="892" spans="1:19">
      <c r="A892" s="85" t="s">
        <v>262</v>
      </c>
      <c r="B892" s="85">
        <v>4</v>
      </c>
      <c r="C892" s="85">
        <v>1</v>
      </c>
      <c r="D892" s="108">
        <v>8.0481150793650809</v>
      </c>
      <c r="E892" s="108">
        <v>8.6557539682539648</v>
      </c>
      <c r="F892" s="108">
        <v>9.3377976190476168</v>
      </c>
      <c r="G892" s="108">
        <v>88.169642857142861</v>
      </c>
      <c r="H892" s="108">
        <v>84.00297619047619</v>
      </c>
      <c r="I892" s="108">
        <v>0</v>
      </c>
      <c r="J892" s="108">
        <v>0</v>
      </c>
      <c r="K892" s="108">
        <v>0</v>
      </c>
      <c r="L892" s="108">
        <v>1</v>
      </c>
      <c r="M892" s="134">
        <v>1</v>
      </c>
      <c r="N892" s="134">
        <v>57</v>
      </c>
      <c r="O892" s="134">
        <v>36000</v>
      </c>
      <c r="P892" s="133">
        <v>0</v>
      </c>
      <c r="Q892" s="133">
        <v>0</v>
      </c>
      <c r="R892" s="133">
        <v>0</v>
      </c>
      <c r="S892" s="133">
        <v>0</v>
      </c>
    </row>
    <row r="893" spans="1:19">
      <c r="A893" s="85" t="s">
        <v>262</v>
      </c>
      <c r="B893" s="85">
        <v>5</v>
      </c>
      <c r="C893" s="85">
        <v>1</v>
      </c>
      <c r="D893" s="108">
        <v>4.3774801587301573</v>
      </c>
      <c r="E893" s="108">
        <v>11.40873015873016</v>
      </c>
      <c r="F893" s="108">
        <v>1.3268849206349189</v>
      </c>
      <c r="G893" s="108">
        <v>94.022817460317469</v>
      </c>
      <c r="H893" s="108">
        <v>0.57043650793650591</v>
      </c>
      <c r="I893" s="108">
        <v>0</v>
      </c>
      <c r="J893" s="108">
        <v>0</v>
      </c>
      <c r="K893" s="108">
        <v>0</v>
      </c>
      <c r="L893" s="108">
        <v>1</v>
      </c>
      <c r="M893" s="134">
        <v>1</v>
      </c>
      <c r="N893" s="134">
        <v>57</v>
      </c>
      <c r="O893" s="134">
        <v>36000</v>
      </c>
      <c r="P893" s="133">
        <v>0</v>
      </c>
      <c r="Q893" s="133">
        <v>0</v>
      </c>
      <c r="R893" s="133">
        <v>0</v>
      </c>
      <c r="S893" s="133">
        <v>0</v>
      </c>
    </row>
    <row r="894" spans="1:19">
      <c r="A894" s="85" t="s">
        <v>262</v>
      </c>
      <c r="B894" s="85">
        <v>6</v>
      </c>
      <c r="C894" s="85">
        <v>1</v>
      </c>
      <c r="D894" s="108">
        <v>6.7460317460317443</v>
      </c>
      <c r="E894" s="108">
        <v>7.7132936507936511</v>
      </c>
      <c r="F894" s="108">
        <v>7.5396825396825404</v>
      </c>
      <c r="G894" s="108">
        <v>79.637896825396822</v>
      </c>
      <c r="H894" s="108">
        <v>8.0357142857142847</v>
      </c>
      <c r="I894" s="108">
        <v>0</v>
      </c>
      <c r="J894" s="108">
        <v>0</v>
      </c>
      <c r="K894" s="108">
        <v>0</v>
      </c>
      <c r="L894" s="108">
        <v>1</v>
      </c>
      <c r="M894" s="134">
        <v>1</v>
      </c>
      <c r="N894" s="134">
        <v>57</v>
      </c>
      <c r="O894" s="134">
        <v>36000</v>
      </c>
      <c r="P894" s="133">
        <v>0</v>
      </c>
      <c r="Q894" s="133">
        <v>0</v>
      </c>
      <c r="R894" s="133">
        <v>0</v>
      </c>
      <c r="S894" s="133">
        <v>0</v>
      </c>
    </row>
    <row r="895" spans="1:19">
      <c r="A895" s="85" t="s">
        <v>262</v>
      </c>
      <c r="B895" s="85">
        <v>7</v>
      </c>
      <c r="C895" s="85">
        <v>1</v>
      </c>
      <c r="D895" s="108">
        <v>7.3164682539682557</v>
      </c>
      <c r="E895" s="108">
        <v>9.3377976190476168</v>
      </c>
      <c r="F895" s="108">
        <v>2.5669642857142851</v>
      </c>
      <c r="G895" s="108">
        <v>91.307043650793645</v>
      </c>
      <c r="H895" s="108">
        <v>0</v>
      </c>
      <c r="I895" s="108">
        <v>0</v>
      </c>
      <c r="J895" s="108">
        <v>1</v>
      </c>
      <c r="K895" s="108">
        <v>0</v>
      </c>
      <c r="L895" s="108">
        <v>1</v>
      </c>
      <c r="M895" s="134">
        <v>1</v>
      </c>
      <c r="N895" s="134">
        <v>57</v>
      </c>
      <c r="O895" s="134">
        <v>36000</v>
      </c>
      <c r="P895" s="133">
        <v>0</v>
      </c>
      <c r="Q895" s="133">
        <v>0</v>
      </c>
      <c r="R895" s="133">
        <v>0</v>
      </c>
      <c r="S895" s="133">
        <v>0</v>
      </c>
    </row>
    <row r="896" spans="1:19">
      <c r="A896" s="85" t="s">
        <v>263</v>
      </c>
      <c r="B896" s="85">
        <v>1</v>
      </c>
      <c r="C896" s="85">
        <v>1</v>
      </c>
      <c r="D896" s="108">
        <v>100</v>
      </c>
      <c r="E896" s="108">
        <v>50</v>
      </c>
      <c r="F896" s="108">
        <v>21.618852459016392</v>
      </c>
      <c r="G896" s="108">
        <v>0</v>
      </c>
      <c r="H896" s="108">
        <v>100</v>
      </c>
      <c r="I896" s="108">
        <v>1</v>
      </c>
      <c r="J896" s="108">
        <v>0</v>
      </c>
      <c r="K896" s="108">
        <v>1</v>
      </c>
      <c r="L896" s="108">
        <v>1</v>
      </c>
      <c r="M896" s="134">
        <v>1</v>
      </c>
      <c r="N896" s="134">
        <v>37</v>
      </c>
      <c r="O896" s="134">
        <v>65000</v>
      </c>
      <c r="P896" s="133">
        <v>1</v>
      </c>
      <c r="Q896" s="133">
        <v>1</v>
      </c>
      <c r="R896" s="133">
        <v>0</v>
      </c>
      <c r="S896" s="133">
        <v>1</v>
      </c>
    </row>
    <row r="897" spans="1:19">
      <c r="A897" s="85" t="s">
        <v>263</v>
      </c>
      <c r="B897" s="85">
        <v>2</v>
      </c>
      <c r="C897" s="85">
        <v>1</v>
      </c>
      <c r="D897" s="108">
        <v>100</v>
      </c>
      <c r="E897" s="108">
        <v>100</v>
      </c>
      <c r="F897" s="108">
        <v>0</v>
      </c>
      <c r="G897" s="108">
        <v>0</v>
      </c>
      <c r="H897" s="108">
        <v>100</v>
      </c>
      <c r="I897" s="108">
        <v>0</v>
      </c>
      <c r="J897" s="108">
        <v>0</v>
      </c>
      <c r="K897" s="108">
        <v>1</v>
      </c>
      <c r="L897" s="108">
        <v>1</v>
      </c>
      <c r="M897" s="134">
        <v>1</v>
      </c>
      <c r="N897" s="134">
        <v>37</v>
      </c>
      <c r="O897" s="134">
        <v>65000</v>
      </c>
      <c r="P897" s="133">
        <v>1</v>
      </c>
      <c r="Q897" s="133">
        <v>1</v>
      </c>
      <c r="R897" s="133">
        <v>0</v>
      </c>
      <c r="S897" s="133">
        <v>1</v>
      </c>
    </row>
    <row r="898" spans="1:19">
      <c r="A898" s="85" t="s">
        <v>263</v>
      </c>
      <c r="B898" s="85">
        <v>3</v>
      </c>
      <c r="C898" s="85">
        <v>1</v>
      </c>
      <c r="D898" s="108">
        <v>100</v>
      </c>
      <c r="E898" s="108">
        <v>100</v>
      </c>
      <c r="F898" s="108">
        <v>0</v>
      </c>
      <c r="G898" s="108">
        <v>100</v>
      </c>
      <c r="H898" s="108">
        <v>0</v>
      </c>
      <c r="I898" s="108">
        <v>0</v>
      </c>
      <c r="J898" s="108">
        <v>0</v>
      </c>
      <c r="K898" s="108">
        <v>1</v>
      </c>
      <c r="L898" s="108">
        <v>1</v>
      </c>
      <c r="M898" s="134">
        <v>1</v>
      </c>
      <c r="N898" s="134">
        <v>37</v>
      </c>
      <c r="O898" s="134">
        <v>65000</v>
      </c>
      <c r="P898" s="133">
        <v>1</v>
      </c>
      <c r="Q898" s="133">
        <v>1</v>
      </c>
      <c r="R898" s="133">
        <v>0</v>
      </c>
      <c r="S898" s="133">
        <v>1</v>
      </c>
    </row>
    <row r="899" spans="1:19">
      <c r="A899" s="85" t="s">
        <v>263</v>
      </c>
      <c r="B899" s="85">
        <v>4</v>
      </c>
      <c r="C899" s="85">
        <v>1</v>
      </c>
      <c r="D899" s="108">
        <v>0</v>
      </c>
      <c r="E899" s="108">
        <v>100</v>
      </c>
      <c r="F899" s="108">
        <v>0</v>
      </c>
      <c r="G899" s="108">
        <v>100</v>
      </c>
      <c r="H899" s="108">
        <v>100</v>
      </c>
      <c r="I899" s="108">
        <v>0</v>
      </c>
      <c r="J899" s="108">
        <v>0</v>
      </c>
      <c r="K899" s="108">
        <v>0</v>
      </c>
      <c r="L899" s="108">
        <v>1</v>
      </c>
      <c r="M899" s="134">
        <v>1</v>
      </c>
      <c r="N899" s="134">
        <v>37</v>
      </c>
      <c r="O899" s="134">
        <v>65000</v>
      </c>
      <c r="P899" s="133">
        <v>1</v>
      </c>
      <c r="Q899" s="133">
        <v>1</v>
      </c>
      <c r="R899" s="133">
        <v>0</v>
      </c>
      <c r="S899" s="133">
        <v>1</v>
      </c>
    </row>
    <row r="900" spans="1:19">
      <c r="A900" s="85" t="s">
        <v>263</v>
      </c>
      <c r="B900" s="85">
        <v>5</v>
      </c>
      <c r="C900" s="85">
        <v>1</v>
      </c>
      <c r="D900" s="108">
        <v>100</v>
      </c>
      <c r="E900" s="108">
        <v>100</v>
      </c>
      <c r="F900" s="108">
        <v>100</v>
      </c>
      <c r="G900" s="108">
        <v>0</v>
      </c>
      <c r="H900" s="108">
        <v>0</v>
      </c>
      <c r="I900" s="108">
        <v>0</v>
      </c>
      <c r="J900" s="108">
        <v>0</v>
      </c>
      <c r="K900" s="108">
        <v>1</v>
      </c>
      <c r="L900" s="108">
        <v>1</v>
      </c>
      <c r="M900" s="134">
        <v>1</v>
      </c>
      <c r="N900" s="134">
        <v>37</v>
      </c>
      <c r="O900" s="134">
        <v>65000</v>
      </c>
      <c r="P900" s="133">
        <v>1</v>
      </c>
      <c r="Q900" s="133">
        <v>1</v>
      </c>
      <c r="R900" s="133">
        <v>0</v>
      </c>
      <c r="S900" s="133">
        <v>1</v>
      </c>
    </row>
    <row r="901" spans="1:19">
      <c r="A901" s="85" t="s">
        <v>263</v>
      </c>
      <c r="B901" s="85">
        <v>6</v>
      </c>
      <c r="C901" s="85">
        <v>1</v>
      </c>
      <c r="D901" s="108">
        <v>100</v>
      </c>
      <c r="E901" s="108">
        <v>0</v>
      </c>
      <c r="F901" s="108">
        <v>0</v>
      </c>
      <c r="G901" s="108">
        <v>100</v>
      </c>
      <c r="H901" s="108">
        <v>0</v>
      </c>
      <c r="I901" s="108">
        <v>0</v>
      </c>
      <c r="J901" s="108">
        <v>0</v>
      </c>
      <c r="K901" s="108">
        <v>1</v>
      </c>
      <c r="L901" s="108">
        <v>1</v>
      </c>
      <c r="M901" s="134">
        <v>1</v>
      </c>
      <c r="N901" s="134">
        <v>37</v>
      </c>
      <c r="O901" s="134">
        <v>65000</v>
      </c>
      <c r="P901" s="133">
        <v>1</v>
      </c>
      <c r="Q901" s="133">
        <v>1</v>
      </c>
      <c r="R901" s="133">
        <v>0</v>
      </c>
      <c r="S901" s="133">
        <v>1</v>
      </c>
    </row>
    <row r="902" spans="1:19">
      <c r="A902" s="85" t="s">
        <v>263</v>
      </c>
      <c r="B902" s="85">
        <v>7</v>
      </c>
      <c r="C902" s="85">
        <v>1</v>
      </c>
      <c r="D902" s="108">
        <v>0</v>
      </c>
      <c r="E902" s="108">
        <v>100</v>
      </c>
      <c r="F902" s="108">
        <v>100</v>
      </c>
      <c r="G902" s="108">
        <v>0</v>
      </c>
      <c r="H902" s="108">
        <v>100</v>
      </c>
      <c r="I902" s="108">
        <v>0</v>
      </c>
      <c r="J902" s="108">
        <v>1</v>
      </c>
      <c r="K902" s="108">
        <v>0</v>
      </c>
      <c r="L902" s="108">
        <v>1</v>
      </c>
      <c r="M902" s="134">
        <v>1</v>
      </c>
      <c r="N902" s="134">
        <v>37</v>
      </c>
      <c r="O902" s="134">
        <v>65000</v>
      </c>
      <c r="P902" s="133">
        <v>1</v>
      </c>
      <c r="Q902" s="133">
        <v>1</v>
      </c>
      <c r="R902" s="133">
        <v>0</v>
      </c>
      <c r="S902" s="133">
        <v>1</v>
      </c>
    </row>
    <row r="903" spans="1:19">
      <c r="A903" s="85" t="s">
        <v>264</v>
      </c>
      <c r="B903" s="85">
        <v>2</v>
      </c>
      <c r="C903" s="85">
        <v>1</v>
      </c>
      <c r="D903" s="108">
        <v>100</v>
      </c>
      <c r="E903" s="108">
        <v>100</v>
      </c>
      <c r="F903" s="108">
        <v>0</v>
      </c>
      <c r="G903" s="108">
        <v>100</v>
      </c>
      <c r="H903" s="108">
        <v>0</v>
      </c>
      <c r="I903" s="108">
        <v>0</v>
      </c>
      <c r="J903" s="108">
        <v>0</v>
      </c>
      <c r="K903" s="108">
        <v>1</v>
      </c>
      <c r="L903" s="108">
        <v>1</v>
      </c>
      <c r="M903" s="134">
        <v>1</v>
      </c>
      <c r="N903" s="134">
        <v>29</v>
      </c>
      <c r="O903" s="134">
        <v>85000</v>
      </c>
      <c r="P903" s="133">
        <v>1</v>
      </c>
      <c r="Q903" s="133">
        <v>1</v>
      </c>
      <c r="R903" s="133">
        <v>0</v>
      </c>
      <c r="S903" s="133">
        <v>1</v>
      </c>
    </row>
    <row r="904" spans="1:19">
      <c r="A904" s="85" t="s">
        <v>264</v>
      </c>
      <c r="B904" s="85">
        <v>3</v>
      </c>
      <c r="C904" s="85">
        <v>1</v>
      </c>
      <c r="D904" s="108">
        <v>100</v>
      </c>
      <c r="E904" s="108">
        <v>0</v>
      </c>
      <c r="F904" s="108">
        <v>100</v>
      </c>
      <c r="G904" s="108">
        <v>0</v>
      </c>
      <c r="H904" s="108">
        <v>100</v>
      </c>
      <c r="I904" s="108">
        <v>0</v>
      </c>
      <c r="J904" s="108">
        <v>0</v>
      </c>
      <c r="K904" s="108">
        <v>1</v>
      </c>
      <c r="L904" s="108">
        <v>1</v>
      </c>
      <c r="M904" s="134">
        <v>1</v>
      </c>
      <c r="N904" s="134">
        <v>29</v>
      </c>
      <c r="O904" s="134">
        <v>85000</v>
      </c>
      <c r="P904" s="133">
        <v>1</v>
      </c>
      <c r="Q904" s="133">
        <v>1</v>
      </c>
      <c r="R904" s="133">
        <v>0</v>
      </c>
      <c r="S904" s="133">
        <v>1</v>
      </c>
    </row>
    <row r="905" spans="1:19">
      <c r="A905" s="85" t="s">
        <v>264</v>
      </c>
      <c r="B905" s="85">
        <v>4</v>
      </c>
      <c r="C905" s="85">
        <v>1</v>
      </c>
      <c r="D905" s="108">
        <v>100</v>
      </c>
      <c r="E905" s="108">
        <v>0</v>
      </c>
      <c r="F905" s="108">
        <v>0</v>
      </c>
      <c r="G905" s="108">
        <v>100</v>
      </c>
      <c r="H905" s="108">
        <v>0</v>
      </c>
      <c r="I905" s="108">
        <v>0</v>
      </c>
      <c r="J905" s="108">
        <v>0</v>
      </c>
      <c r="K905" s="108">
        <v>1</v>
      </c>
      <c r="L905" s="108">
        <v>1</v>
      </c>
      <c r="M905" s="134">
        <v>1</v>
      </c>
      <c r="N905" s="134">
        <v>29</v>
      </c>
      <c r="O905" s="134">
        <v>85000</v>
      </c>
      <c r="P905" s="133">
        <v>1</v>
      </c>
      <c r="Q905" s="133">
        <v>1</v>
      </c>
      <c r="R905" s="133">
        <v>0</v>
      </c>
      <c r="S905" s="133">
        <v>1</v>
      </c>
    </row>
    <row r="906" spans="1:19">
      <c r="A906" s="85" t="s">
        <v>264</v>
      </c>
      <c r="B906" s="85">
        <v>5</v>
      </c>
      <c r="C906" s="85">
        <v>1</v>
      </c>
      <c r="D906" s="108">
        <v>0</v>
      </c>
      <c r="E906" s="108">
        <v>100</v>
      </c>
      <c r="F906" s="108">
        <v>0</v>
      </c>
      <c r="G906" s="108">
        <v>100</v>
      </c>
      <c r="H906" s="108">
        <v>100</v>
      </c>
      <c r="I906" s="108">
        <v>0</v>
      </c>
      <c r="J906" s="108">
        <v>0</v>
      </c>
      <c r="K906" s="108">
        <v>0</v>
      </c>
      <c r="L906" s="108">
        <v>1</v>
      </c>
      <c r="M906" s="134">
        <v>1</v>
      </c>
      <c r="N906" s="134">
        <v>29</v>
      </c>
      <c r="O906" s="134">
        <v>85000</v>
      </c>
      <c r="P906" s="133">
        <v>1</v>
      </c>
      <c r="Q906" s="133">
        <v>1</v>
      </c>
      <c r="R906" s="133">
        <v>0</v>
      </c>
      <c r="S906" s="133">
        <v>1</v>
      </c>
    </row>
    <row r="907" spans="1:19">
      <c r="A907" s="85" t="s">
        <v>264</v>
      </c>
      <c r="B907" s="85">
        <v>6</v>
      </c>
      <c r="C907" s="85">
        <v>1</v>
      </c>
      <c r="D907" s="108">
        <v>100</v>
      </c>
      <c r="E907" s="108">
        <v>0</v>
      </c>
      <c r="F907" s="108">
        <v>100</v>
      </c>
      <c r="G907" s="108">
        <v>100</v>
      </c>
      <c r="H907" s="108">
        <v>0</v>
      </c>
      <c r="I907" s="108">
        <v>0</v>
      </c>
      <c r="J907" s="108">
        <v>0</v>
      </c>
      <c r="K907" s="108">
        <v>1</v>
      </c>
      <c r="L907" s="108">
        <v>1</v>
      </c>
      <c r="M907" s="134">
        <v>1</v>
      </c>
      <c r="N907" s="134">
        <v>29</v>
      </c>
      <c r="O907" s="134">
        <v>85000</v>
      </c>
      <c r="P907" s="133">
        <v>1</v>
      </c>
      <c r="Q907" s="133">
        <v>1</v>
      </c>
      <c r="R907" s="133">
        <v>0</v>
      </c>
      <c r="S907" s="133">
        <v>1</v>
      </c>
    </row>
    <row r="908" spans="1:19">
      <c r="A908" s="85" t="s">
        <v>264</v>
      </c>
      <c r="B908" s="85">
        <v>7</v>
      </c>
      <c r="C908" s="85">
        <v>1</v>
      </c>
      <c r="D908" s="108">
        <v>0</v>
      </c>
      <c r="E908" s="108">
        <v>0</v>
      </c>
      <c r="F908" s="108">
        <v>100</v>
      </c>
      <c r="G908" s="108">
        <v>100</v>
      </c>
      <c r="H908" s="108">
        <v>100</v>
      </c>
      <c r="I908" s="108">
        <v>0</v>
      </c>
      <c r="J908" s="108">
        <v>1</v>
      </c>
      <c r="K908" s="108">
        <v>0</v>
      </c>
      <c r="L908" s="108">
        <v>1</v>
      </c>
      <c r="M908" s="134">
        <v>1</v>
      </c>
      <c r="N908" s="134">
        <v>29</v>
      </c>
      <c r="O908" s="134">
        <v>85000</v>
      </c>
      <c r="P908" s="133">
        <v>1</v>
      </c>
      <c r="Q908" s="133">
        <v>1</v>
      </c>
      <c r="R908" s="133">
        <v>0</v>
      </c>
      <c r="S908" s="133">
        <v>1</v>
      </c>
    </row>
    <row r="909" spans="1:19">
      <c r="A909" s="85" t="s">
        <v>265</v>
      </c>
      <c r="B909" s="85">
        <v>1</v>
      </c>
      <c r="C909" s="85">
        <v>1</v>
      </c>
      <c r="D909" s="108">
        <v>100</v>
      </c>
      <c r="E909" s="108">
        <v>100</v>
      </c>
      <c r="F909" s="108">
        <v>0</v>
      </c>
      <c r="G909" s="108">
        <v>0</v>
      </c>
      <c r="H909" s="108">
        <v>100</v>
      </c>
      <c r="I909" s="108">
        <v>1</v>
      </c>
      <c r="J909" s="108">
        <v>0</v>
      </c>
      <c r="K909" s="108">
        <v>1</v>
      </c>
      <c r="L909" s="108">
        <v>1</v>
      </c>
      <c r="M909" s="134">
        <v>0</v>
      </c>
      <c r="N909" s="134">
        <v>29</v>
      </c>
      <c r="O909" s="134">
        <v>150000</v>
      </c>
      <c r="P909" s="133">
        <v>1</v>
      </c>
      <c r="Q909" s="133">
        <v>0</v>
      </c>
      <c r="R909" s="133">
        <v>0</v>
      </c>
      <c r="S909" s="133">
        <v>1</v>
      </c>
    </row>
    <row r="910" spans="1:19">
      <c r="A910" s="85" t="s">
        <v>265</v>
      </c>
      <c r="B910" s="85">
        <v>2</v>
      </c>
      <c r="C910" s="85">
        <v>1</v>
      </c>
      <c r="D910" s="108">
        <v>0</v>
      </c>
      <c r="E910" s="108">
        <v>100</v>
      </c>
      <c r="F910" s="108">
        <v>0</v>
      </c>
      <c r="G910" s="108">
        <v>100</v>
      </c>
      <c r="H910" s="108">
        <v>100</v>
      </c>
      <c r="I910" s="108">
        <v>0</v>
      </c>
      <c r="J910" s="108">
        <v>0</v>
      </c>
      <c r="K910" s="108">
        <v>0</v>
      </c>
      <c r="L910" s="108">
        <v>1</v>
      </c>
      <c r="M910" s="134">
        <v>0</v>
      </c>
      <c r="N910" s="134">
        <v>29</v>
      </c>
      <c r="O910" s="134">
        <v>150000</v>
      </c>
      <c r="P910" s="133">
        <v>1</v>
      </c>
      <c r="Q910" s="133">
        <v>0</v>
      </c>
      <c r="R910" s="133">
        <v>0</v>
      </c>
      <c r="S910" s="133">
        <v>1</v>
      </c>
    </row>
    <row r="911" spans="1:19">
      <c r="A911" s="85" t="s">
        <v>265</v>
      </c>
      <c r="B911" s="85">
        <v>3</v>
      </c>
      <c r="C911" s="85">
        <v>1</v>
      </c>
      <c r="D911" s="108">
        <v>100</v>
      </c>
      <c r="E911" s="108">
        <v>100</v>
      </c>
      <c r="F911" s="108">
        <v>100</v>
      </c>
      <c r="G911" s="108">
        <v>0</v>
      </c>
      <c r="H911" s="108">
        <v>0</v>
      </c>
      <c r="I911" s="108">
        <v>0</v>
      </c>
      <c r="J911" s="108">
        <v>0</v>
      </c>
      <c r="K911" s="108">
        <v>1</v>
      </c>
      <c r="L911" s="108">
        <v>1</v>
      </c>
      <c r="M911" s="134">
        <v>0</v>
      </c>
      <c r="N911" s="134">
        <v>29</v>
      </c>
      <c r="O911" s="134">
        <v>150000</v>
      </c>
      <c r="P911" s="133">
        <v>1</v>
      </c>
      <c r="Q911" s="133">
        <v>0</v>
      </c>
      <c r="R911" s="133">
        <v>0</v>
      </c>
      <c r="S911" s="133">
        <v>1</v>
      </c>
    </row>
    <row r="912" spans="1:19">
      <c r="A912" s="85" t="s">
        <v>265</v>
      </c>
      <c r="B912" s="85">
        <v>4</v>
      </c>
      <c r="C912" s="85">
        <v>1</v>
      </c>
      <c r="D912" s="108">
        <v>50</v>
      </c>
      <c r="E912" s="108">
        <v>100</v>
      </c>
      <c r="F912" s="108">
        <v>0</v>
      </c>
      <c r="G912" s="108">
        <v>100</v>
      </c>
      <c r="H912" s="108">
        <v>17.09574468085107</v>
      </c>
      <c r="I912" s="108">
        <v>0</v>
      </c>
      <c r="J912" s="108">
        <v>0</v>
      </c>
      <c r="K912" s="108">
        <v>1</v>
      </c>
      <c r="L912" s="108">
        <v>1</v>
      </c>
      <c r="M912" s="134">
        <v>0</v>
      </c>
      <c r="N912" s="134">
        <v>29</v>
      </c>
      <c r="O912" s="134">
        <v>150000</v>
      </c>
      <c r="P912" s="133">
        <v>1</v>
      </c>
      <c r="Q912" s="133">
        <v>0</v>
      </c>
      <c r="R912" s="133">
        <v>0</v>
      </c>
      <c r="S912" s="133">
        <v>1</v>
      </c>
    </row>
    <row r="913" spans="1:19">
      <c r="A913" s="85" t="s">
        <v>265</v>
      </c>
      <c r="B913" s="85">
        <v>6</v>
      </c>
      <c r="C913" s="85">
        <v>1</v>
      </c>
      <c r="D913" s="108">
        <v>100</v>
      </c>
      <c r="E913" s="108">
        <v>100</v>
      </c>
      <c r="F913" s="108">
        <v>0</v>
      </c>
      <c r="G913" s="108">
        <v>0</v>
      </c>
      <c r="H913" s="108">
        <v>100</v>
      </c>
      <c r="I913" s="108">
        <v>0</v>
      </c>
      <c r="J913" s="108">
        <v>0</v>
      </c>
      <c r="K913" s="108">
        <v>1</v>
      </c>
      <c r="L913" s="108">
        <v>1</v>
      </c>
      <c r="M913" s="134">
        <v>0</v>
      </c>
      <c r="N913" s="134">
        <v>29</v>
      </c>
      <c r="O913" s="134">
        <v>150000</v>
      </c>
      <c r="P913" s="133">
        <v>1</v>
      </c>
      <c r="Q913" s="133">
        <v>0</v>
      </c>
      <c r="R913" s="133">
        <v>0</v>
      </c>
      <c r="S913" s="133">
        <v>1</v>
      </c>
    </row>
    <row r="914" spans="1:19">
      <c r="A914" s="85" t="s">
        <v>265</v>
      </c>
      <c r="B914" s="85">
        <v>7</v>
      </c>
      <c r="C914" s="85">
        <v>1</v>
      </c>
      <c r="D914" s="108">
        <v>0</v>
      </c>
      <c r="E914" s="108">
        <v>0</v>
      </c>
      <c r="F914" s="108">
        <v>100</v>
      </c>
      <c r="G914" s="108">
        <v>0</v>
      </c>
      <c r="H914" s="108">
        <v>100</v>
      </c>
      <c r="I914" s="108">
        <v>0</v>
      </c>
      <c r="J914" s="108">
        <v>1</v>
      </c>
      <c r="K914" s="108">
        <v>0</v>
      </c>
      <c r="L914" s="108">
        <v>1</v>
      </c>
      <c r="M914" s="134">
        <v>0</v>
      </c>
      <c r="N914" s="134">
        <v>29</v>
      </c>
      <c r="O914" s="134">
        <v>150000</v>
      </c>
      <c r="P914" s="133">
        <v>1</v>
      </c>
      <c r="Q914" s="133">
        <v>0</v>
      </c>
      <c r="R914" s="133">
        <v>0</v>
      </c>
      <c r="S914" s="133">
        <v>1</v>
      </c>
    </row>
    <row r="915" spans="1:19">
      <c r="A915" s="85" t="s">
        <v>266</v>
      </c>
      <c r="B915" s="85">
        <v>1</v>
      </c>
      <c r="C915" s="85">
        <v>1</v>
      </c>
      <c r="D915" s="108">
        <v>0</v>
      </c>
      <c r="E915" s="108">
        <v>100</v>
      </c>
      <c r="F915" s="108">
        <v>0</v>
      </c>
      <c r="G915" s="108">
        <v>100</v>
      </c>
      <c r="H915" s="108">
        <v>100</v>
      </c>
      <c r="I915" s="108">
        <v>1</v>
      </c>
      <c r="J915" s="108">
        <v>0</v>
      </c>
      <c r="K915" s="108">
        <v>0</v>
      </c>
      <c r="L915" s="108">
        <v>1</v>
      </c>
      <c r="M915" s="134">
        <v>1</v>
      </c>
      <c r="N915" s="134">
        <v>29</v>
      </c>
      <c r="O915" s="134">
        <v>170000</v>
      </c>
      <c r="P915" s="133">
        <v>1</v>
      </c>
      <c r="Q915" s="133">
        <v>1</v>
      </c>
      <c r="R915" s="133">
        <v>1</v>
      </c>
      <c r="S915" s="133">
        <v>1</v>
      </c>
    </row>
    <row r="916" spans="1:19">
      <c r="A916" s="85" t="s">
        <v>266</v>
      </c>
      <c r="B916" s="85">
        <v>3</v>
      </c>
      <c r="C916" s="85">
        <v>1</v>
      </c>
      <c r="D916" s="108">
        <v>100</v>
      </c>
      <c r="E916" s="108">
        <v>0</v>
      </c>
      <c r="F916" s="108">
        <v>0</v>
      </c>
      <c r="G916" s="108">
        <v>100</v>
      </c>
      <c r="H916" s="108">
        <v>100</v>
      </c>
      <c r="I916" s="108">
        <v>0</v>
      </c>
      <c r="J916" s="108">
        <v>0</v>
      </c>
      <c r="K916" s="108">
        <v>1</v>
      </c>
      <c r="L916" s="108">
        <v>1</v>
      </c>
      <c r="M916" s="134">
        <v>1</v>
      </c>
      <c r="N916" s="134">
        <v>29</v>
      </c>
      <c r="O916" s="134">
        <v>170000</v>
      </c>
      <c r="P916" s="133">
        <v>1</v>
      </c>
      <c r="Q916" s="133">
        <v>1</v>
      </c>
      <c r="R916" s="133">
        <v>1</v>
      </c>
      <c r="S916" s="133">
        <v>1</v>
      </c>
    </row>
    <row r="917" spans="1:19">
      <c r="A917" s="85" t="s">
        <v>266</v>
      </c>
      <c r="B917" s="85">
        <v>6</v>
      </c>
      <c r="C917" s="85">
        <v>1</v>
      </c>
      <c r="D917" s="108">
        <v>0</v>
      </c>
      <c r="E917" s="108">
        <v>100</v>
      </c>
      <c r="F917" s="108">
        <v>0</v>
      </c>
      <c r="G917" s="108">
        <v>0</v>
      </c>
      <c r="H917" s="108">
        <v>100</v>
      </c>
      <c r="I917" s="108">
        <v>0</v>
      </c>
      <c r="J917" s="108">
        <v>0</v>
      </c>
      <c r="K917" s="108">
        <v>0</v>
      </c>
      <c r="L917" s="108">
        <v>1</v>
      </c>
      <c r="M917" s="134">
        <v>1</v>
      </c>
      <c r="N917" s="134">
        <v>29</v>
      </c>
      <c r="O917" s="134">
        <v>170000</v>
      </c>
      <c r="P917" s="133">
        <v>1</v>
      </c>
      <c r="Q917" s="133">
        <v>1</v>
      </c>
      <c r="R917" s="133">
        <v>1</v>
      </c>
      <c r="S917" s="133">
        <v>1</v>
      </c>
    </row>
    <row r="918" spans="1:19">
      <c r="A918" s="85" t="s">
        <v>266</v>
      </c>
      <c r="B918" s="85">
        <v>7</v>
      </c>
      <c r="C918" s="85">
        <v>1</v>
      </c>
      <c r="D918" s="108">
        <v>0</v>
      </c>
      <c r="E918" s="108">
        <v>0</v>
      </c>
      <c r="F918" s="108">
        <v>100</v>
      </c>
      <c r="G918" s="108">
        <v>100</v>
      </c>
      <c r="H918" s="108">
        <v>100</v>
      </c>
      <c r="I918" s="108">
        <v>0</v>
      </c>
      <c r="J918" s="108">
        <v>1</v>
      </c>
      <c r="K918" s="108">
        <v>0</v>
      </c>
      <c r="L918" s="108">
        <v>1</v>
      </c>
      <c r="M918" s="134">
        <v>1</v>
      </c>
      <c r="N918" s="134">
        <v>29</v>
      </c>
      <c r="O918" s="134">
        <v>170000</v>
      </c>
      <c r="P918" s="133">
        <v>1</v>
      </c>
      <c r="Q918" s="133">
        <v>1</v>
      </c>
      <c r="R918" s="133">
        <v>1</v>
      </c>
      <c r="S918" s="133">
        <v>1</v>
      </c>
    </row>
    <row r="919" spans="1:19">
      <c r="A919" s="85" t="s">
        <v>267</v>
      </c>
      <c r="B919" s="85">
        <v>2</v>
      </c>
      <c r="C919" s="85">
        <v>1</v>
      </c>
      <c r="D919" s="108">
        <v>100</v>
      </c>
      <c r="E919" s="108">
        <v>100</v>
      </c>
      <c r="F919" s="108">
        <v>0</v>
      </c>
      <c r="G919" s="108">
        <v>100</v>
      </c>
      <c r="H919" s="108">
        <v>0</v>
      </c>
      <c r="I919" s="108">
        <v>0</v>
      </c>
      <c r="J919" s="108">
        <v>0</v>
      </c>
      <c r="K919" s="108">
        <v>1</v>
      </c>
      <c r="L919" s="108">
        <v>1</v>
      </c>
      <c r="M919" s="134">
        <v>0</v>
      </c>
      <c r="N919" s="134">
        <v>31</v>
      </c>
      <c r="O919" s="134">
        <v>85000</v>
      </c>
      <c r="P919" s="133">
        <v>0</v>
      </c>
      <c r="Q919" s="133">
        <v>0</v>
      </c>
      <c r="R919" s="133">
        <v>0</v>
      </c>
      <c r="S919" s="133">
        <v>1</v>
      </c>
    </row>
    <row r="920" spans="1:19">
      <c r="A920" s="85" t="s">
        <v>267</v>
      </c>
      <c r="B920" s="85">
        <v>3</v>
      </c>
      <c r="C920" s="85">
        <v>1</v>
      </c>
      <c r="D920" s="108">
        <v>100</v>
      </c>
      <c r="E920" s="108">
        <v>0</v>
      </c>
      <c r="F920" s="108">
        <v>0</v>
      </c>
      <c r="G920" s="108">
        <v>100</v>
      </c>
      <c r="H920" s="108">
        <v>100</v>
      </c>
      <c r="I920" s="108">
        <v>0</v>
      </c>
      <c r="J920" s="108">
        <v>0</v>
      </c>
      <c r="K920" s="108">
        <v>1</v>
      </c>
      <c r="L920" s="108">
        <v>1</v>
      </c>
      <c r="M920" s="134">
        <v>0</v>
      </c>
      <c r="N920" s="134">
        <v>31</v>
      </c>
      <c r="O920" s="134">
        <v>85000</v>
      </c>
      <c r="P920" s="133">
        <v>0</v>
      </c>
      <c r="Q920" s="133">
        <v>0</v>
      </c>
      <c r="R920" s="133">
        <v>0</v>
      </c>
      <c r="S920" s="133">
        <v>1</v>
      </c>
    </row>
    <row r="921" spans="1:19">
      <c r="A921" s="85" t="s">
        <v>267</v>
      </c>
      <c r="B921" s="85">
        <v>5</v>
      </c>
      <c r="C921" s="85">
        <v>1</v>
      </c>
      <c r="D921" s="108">
        <v>0</v>
      </c>
      <c r="E921" s="108">
        <v>100</v>
      </c>
      <c r="F921" s="108">
        <v>100</v>
      </c>
      <c r="G921" s="108">
        <v>0</v>
      </c>
      <c r="H921" s="108">
        <v>100</v>
      </c>
      <c r="I921" s="108">
        <v>0</v>
      </c>
      <c r="J921" s="108">
        <v>0</v>
      </c>
      <c r="K921" s="108">
        <v>0</v>
      </c>
      <c r="L921" s="108">
        <v>1</v>
      </c>
      <c r="M921" s="134">
        <v>0</v>
      </c>
      <c r="N921" s="134">
        <v>31</v>
      </c>
      <c r="O921" s="134">
        <v>85000</v>
      </c>
      <c r="P921" s="133">
        <v>0</v>
      </c>
      <c r="Q921" s="133">
        <v>0</v>
      </c>
      <c r="R921" s="133">
        <v>0</v>
      </c>
      <c r="S921" s="133">
        <v>1</v>
      </c>
    </row>
    <row r="922" spans="1:19">
      <c r="A922" s="85" t="s">
        <v>267</v>
      </c>
      <c r="B922" s="85">
        <v>6</v>
      </c>
      <c r="C922" s="85">
        <v>1</v>
      </c>
      <c r="D922" s="108">
        <v>100</v>
      </c>
      <c r="E922" s="108">
        <v>100</v>
      </c>
      <c r="F922" s="108">
        <v>0</v>
      </c>
      <c r="G922" s="108">
        <v>100</v>
      </c>
      <c r="H922" s="108">
        <v>0</v>
      </c>
      <c r="I922" s="108">
        <v>0</v>
      </c>
      <c r="J922" s="108">
        <v>0</v>
      </c>
      <c r="K922" s="108">
        <v>1</v>
      </c>
      <c r="L922" s="108">
        <v>1</v>
      </c>
      <c r="M922" s="134">
        <v>0</v>
      </c>
      <c r="N922" s="134">
        <v>31</v>
      </c>
      <c r="O922" s="134">
        <v>85000</v>
      </c>
      <c r="P922" s="133">
        <v>0</v>
      </c>
      <c r="Q922" s="133">
        <v>0</v>
      </c>
      <c r="R922" s="133">
        <v>0</v>
      </c>
      <c r="S922" s="133">
        <v>1</v>
      </c>
    </row>
    <row r="923" spans="1:19">
      <c r="A923" s="85" t="s">
        <v>267</v>
      </c>
      <c r="B923" s="85">
        <v>7</v>
      </c>
      <c r="C923" s="85">
        <v>1</v>
      </c>
      <c r="D923" s="108">
        <v>0</v>
      </c>
      <c r="E923" s="108">
        <v>0</v>
      </c>
      <c r="F923" s="108">
        <v>0</v>
      </c>
      <c r="G923" s="108">
        <v>100</v>
      </c>
      <c r="H923" s="108">
        <v>100</v>
      </c>
      <c r="I923" s="108">
        <v>0</v>
      </c>
      <c r="J923" s="108">
        <v>1</v>
      </c>
      <c r="K923" s="108">
        <v>0</v>
      </c>
      <c r="L923" s="108">
        <v>1</v>
      </c>
      <c r="M923" s="134">
        <v>0</v>
      </c>
      <c r="N923" s="134">
        <v>31</v>
      </c>
      <c r="O923" s="134">
        <v>85000</v>
      </c>
      <c r="P923" s="133">
        <v>0</v>
      </c>
      <c r="Q923" s="133">
        <v>0</v>
      </c>
      <c r="R923" s="133">
        <v>0</v>
      </c>
      <c r="S923" s="133">
        <v>1</v>
      </c>
    </row>
    <row r="924" spans="1:19">
      <c r="A924" s="85" t="s">
        <v>268</v>
      </c>
      <c r="B924" s="85">
        <v>1</v>
      </c>
      <c r="C924" s="85">
        <v>1</v>
      </c>
      <c r="D924" s="108">
        <v>0</v>
      </c>
      <c r="E924" s="108">
        <v>100</v>
      </c>
      <c r="F924" s="108">
        <v>0</v>
      </c>
      <c r="G924" s="108">
        <v>100</v>
      </c>
      <c r="H924" s="108">
        <v>0</v>
      </c>
      <c r="I924" s="108">
        <v>1</v>
      </c>
      <c r="J924" s="108">
        <v>0</v>
      </c>
      <c r="K924" s="108">
        <v>0</v>
      </c>
      <c r="L924" s="108">
        <v>1</v>
      </c>
      <c r="M924" s="134">
        <v>0</v>
      </c>
      <c r="N924" s="134">
        <v>37</v>
      </c>
      <c r="O924" s="134">
        <v>120000</v>
      </c>
      <c r="P924" s="133">
        <v>0</v>
      </c>
      <c r="Q924" s="133">
        <v>1</v>
      </c>
      <c r="R924" s="133">
        <v>1</v>
      </c>
      <c r="S924" s="133">
        <v>1</v>
      </c>
    </row>
    <row r="925" spans="1:19">
      <c r="A925" s="85" t="s">
        <v>268</v>
      </c>
      <c r="B925" s="85">
        <v>3</v>
      </c>
      <c r="C925" s="85">
        <v>1</v>
      </c>
      <c r="D925" s="108">
        <v>100</v>
      </c>
      <c r="E925" s="108">
        <v>100</v>
      </c>
      <c r="F925" s="108">
        <v>100</v>
      </c>
      <c r="G925" s="108">
        <v>0</v>
      </c>
      <c r="H925" s="108">
        <v>0</v>
      </c>
      <c r="I925" s="108">
        <v>0</v>
      </c>
      <c r="J925" s="108">
        <v>0</v>
      </c>
      <c r="K925" s="108">
        <v>1</v>
      </c>
      <c r="L925" s="108">
        <v>1</v>
      </c>
      <c r="M925" s="134">
        <v>0</v>
      </c>
      <c r="N925" s="134">
        <v>37</v>
      </c>
      <c r="O925" s="134">
        <v>120000</v>
      </c>
      <c r="P925" s="133">
        <v>0</v>
      </c>
      <c r="Q925" s="133">
        <v>1</v>
      </c>
      <c r="R925" s="133">
        <v>1</v>
      </c>
      <c r="S925" s="133">
        <v>1</v>
      </c>
    </row>
    <row r="926" spans="1:19">
      <c r="A926" s="85" t="s">
        <v>268</v>
      </c>
      <c r="B926" s="85">
        <v>5</v>
      </c>
      <c r="C926" s="85">
        <v>1</v>
      </c>
      <c r="D926" s="108">
        <v>100</v>
      </c>
      <c r="E926" s="108">
        <v>100</v>
      </c>
      <c r="F926" s="108">
        <v>0</v>
      </c>
      <c r="G926" s="108">
        <v>100</v>
      </c>
      <c r="H926" s="108">
        <v>0</v>
      </c>
      <c r="I926" s="108">
        <v>0</v>
      </c>
      <c r="J926" s="108">
        <v>0</v>
      </c>
      <c r="K926" s="108">
        <v>1</v>
      </c>
      <c r="L926" s="108">
        <v>1</v>
      </c>
      <c r="M926" s="134">
        <v>0</v>
      </c>
      <c r="N926" s="134">
        <v>37</v>
      </c>
      <c r="O926" s="134">
        <v>120000</v>
      </c>
      <c r="P926" s="133">
        <v>0</v>
      </c>
      <c r="Q926" s="133">
        <v>1</v>
      </c>
      <c r="R926" s="133">
        <v>1</v>
      </c>
      <c r="S926" s="133">
        <v>1</v>
      </c>
    </row>
    <row r="927" spans="1:19">
      <c r="A927" s="85" t="s">
        <v>268</v>
      </c>
      <c r="B927" s="85">
        <v>6</v>
      </c>
      <c r="C927" s="85">
        <v>1</v>
      </c>
      <c r="D927" s="108">
        <v>100</v>
      </c>
      <c r="E927" s="108">
        <v>0</v>
      </c>
      <c r="F927" s="108">
        <v>100</v>
      </c>
      <c r="G927" s="108">
        <v>0</v>
      </c>
      <c r="H927" s="108">
        <v>100</v>
      </c>
      <c r="I927" s="108">
        <v>0</v>
      </c>
      <c r="J927" s="108">
        <v>0</v>
      </c>
      <c r="K927" s="108">
        <v>1</v>
      </c>
      <c r="L927" s="108">
        <v>1</v>
      </c>
      <c r="M927" s="134">
        <v>0</v>
      </c>
      <c r="N927" s="134">
        <v>37</v>
      </c>
      <c r="O927" s="134">
        <v>120000</v>
      </c>
      <c r="P927" s="133">
        <v>0</v>
      </c>
      <c r="Q927" s="133">
        <v>1</v>
      </c>
      <c r="R927" s="133">
        <v>1</v>
      </c>
      <c r="S927" s="133">
        <v>1</v>
      </c>
    </row>
    <row r="928" spans="1:19">
      <c r="A928" s="85" t="s">
        <v>268</v>
      </c>
      <c r="B928" s="85">
        <v>7</v>
      </c>
      <c r="C928" s="85">
        <v>1</v>
      </c>
      <c r="D928" s="108">
        <v>100</v>
      </c>
      <c r="E928" s="108">
        <v>100</v>
      </c>
      <c r="F928" s="108">
        <v>0</v>
      </c>
      <c r="G928" s="108">
        <v>17.12765957446808</v>
      </c>
      <c r="H928" s="108">
        <v>50</v>
      </c>
      <c r="I928" s="108">
        <v>0</v>
      </c>
      <c r="J928" s="108">
        <v>1</v>
      </c>
      <c r="K928" s="108">
        <v>1</v>
      </c>
      <c r="L928" s="108">
        <v>1</v>
      </c>
      <c r="M928" s="134">
        <v>0</v>
      </c>
      <c r="N928" s="134">
        <v>37</v>
      </c>
      <c r="O928" s="134">
        <v>120000</v>
      </c>
      <c r="P928" s="133">
        <v>0</v>
      </c>
      <c r="Q928" s="133">
        <v>1</v>
      </c>
      <c r="R928" s="133">
        <v>1</v>
      </c>
      <c r="S928" s="133">
        <v>1</v>
      </c>
    </row>
    <row r="929" spans="1:19">
      <c r="A929" s="85" t="s">
        <v>269</v>
      </c>
      <c r="B929" s="85">
        <v>1</v>
      </c>
      <c r="C929" s="85">
        <v>1</v>
      </c>
      <c r="D929" s="108">
        <v>100</v>
      </c>
      <c r="E929" s="108">
        <v>100</v>
      </c>
      <c r="F929" s="108">
        <v>100</v>
      </c>
      <c r="G929" s="108">
        <v>0</v>
      </c>
      <c r="H929" s="108">
        <v>0</v>
      </c>
      <c r="I929" s="108">
        <v>1</v>
      </c>
      <c r="J929" s="108">
        <v>0</v>
      </c>
      <c r="K929" s="108">
        <v>1</v>
      </c>
      <c r="L929" s="108">
        <v>1</v>
      </c>
      <c r="M929" s="134">
        <v>0</v>
      </c>
      <c r="N929" s="134">
        <v>28</v>
      </c>
      <c r="O929" s="134">
        <v>85000</v>
      </c>
      <c r="P929" s="133">
        <v>1</v>
      </c>
      <c r="Q929" s="133">
        <v>1</v>
      </c>
      <c r="R929" s="133">
        <v>0</v>
      </c>
      <c r="S929" s="133">
        <v>1</v>
      </c>
    </row>
    <row r="930" spans="1:19">
      <c r="A930" s="85" t="s">
        <v>269</v>
      </c>
      <c r="B930" s="85">
        <v>2</v>
      </c>
      <c r="C930" s="85">
        <v>1</v>
      </c>
      <c r="D930" s="108">
        <v>100</v>
      </c>
      <c r="E930" s="108">
        <v>0</v>
      </c>
      <c r="F930" s="108">
        <v>17.01063829787234</v>
      </c>
      <c r="G930" s="108">
        <v>50</v>
      </c>
      <c r="H930" s="108">
        <v>100</v>
      </c>
      <c r="I930" s="108">
        <v>0</v>
      </c>
      <c r="J930" s="108">
        <v>0</v>
      </c>
      <c r="K930" s="108">
        <v>1</v>
      </c>
      <c r="L930" s="108">
        <v>1</v>
      </c>
      <c r="M930" s="134">
        <v>0</v>
      </c>
      <c r="N930" s="134">
        <v>28</v>
      </c>
      <c r="O930" s="134">
        <v>85000</v>
      </c>
      <c r="P930" s="133">
        <v>1</v>
      </c>
      <c r="Q930" s="133">
        <v>1</v>
      </c>
      <c r="R930" s="133">
        <v>0</v>
      </c>
      <c r="S930" s="133">
        <v>1</v>
      </c>
    </row>
    <row r="931" spans="1:19">
      <c r="A931" s="85" t="s">
        <v>269</v>
      </c>
      <c r="B931" s="85">
        <v>4</v>
      </c>
      <c r="C931" s="85">
        <v>1</v>
      </c>
      <c r="D931" s="108">
        <v>100</v>
      </c>
      <c r="E931" s="108">
        <v>0</v>
      </c>
      <c r="F931" s="108">
        <v>0</v>
      </c>
      <c r="G931" s="108">
        <v>100</v>
      </c>
      <c r="H931" s="108">
        <v>100</v>
      </c>
      <c r="I931" s="108">
        <v>0</v>
      </c>
      <c r="J931" s="108">
        <v>0</v>
      </c>
      <c r="K931" s="108">
        <v>1</v>
      </c>
      <c r="L931" s="108">
        <v>1</v>
      </c>
      <c r="M931" s="134">
        <v>0</v>
      </c>
      <c r="N931" s="134">
        <v>28</v>
      </c>
      <c r="O931" s="134">
        <v>85000</v>
      </c>
      <c r="P931" s="133">
        <v>1</v>
      </c>
      <c r="Q931" s="133">
        <v>1</v>
      </c>
      <c r="R931" s="133">
        <v>0</v>
      </c>
      <c r="S931" s="133">
        <v>1</v>
      </c>
    </row>
    <row r="932" spans="1:19">
      <c r="A932" s="85" t="s">
        <v>269</v>
      </c>
      <c r="B932" s="85">
        <v>5</v>
      </c>
      <c r="C932" s="85">
        <v>1</v>
      </c>
      <c r="D932" s="108">
        <v>0</v>
      </c>
      <c r="E932" s="108">
        <v>100</v>
      </c>
      <c r="F932" s="108">
        <v>100</v>
      </c>
      <c r="G932" s="108">
        <v>0</v>
      </c>
      <c r="H932" s="108">
        <v>0</v>
      </c>
      <c r="I932" s="108">
        <v>0</v>
      </c>
      <c r="J932" s="108">
        <v>0</v>
      </c>
      <c r="K932" s="108">
        <v>0</v>
      </c>
      <c r="L932" s="108">
        <v>1</v>
      </c>
      <c r="M932" s="134">
        <v>0</v>
      </c>
      <c r="N932" s="134">
        <v>28</v>
      </c>
      <c r="O932" s="134">
        <v>85000</v>
      </c>
      <c r="P932" s="133">
        <v>1</v>
      </c>
      <c r="Q932" s="133">
        <v>1</v>
      </c>
      <c r="R932" s="133">
        <v>0</v>
      </c>
      <c r="S932" s="133">
        <v>1</v>
      </c>
    </row>
    <row r="933" spans="1:19">
      <c r="A933" s="85" t="s">
        <v>269</v>
      </c>
      <c r="B933" s="85">
        <v>7</v>
      </c>
      <c r="C933" s="85">
        <v>1</v>
      </c>
      <c r="D933" s="108">
        <v>100</v>
      </c>
      <c r="E933" s="108">
        <v>100</v>
      </c>
      <c r="F933" s="108">
        <v>0</v>
      </c>
      <c r="G933" s="108">
        <v>0</v>
      </c>
      <c r="H933" s="108">
        <v>100</v>
      </c>
      <c r="I933" s="108">
        <v>0</v>
      </c>
      <c r="J933" s="108">
        <v>1</v>
      </c>
      <c r="K933" s="108">
        <v>1</v>
      </c>
      <c r="L933" s="108">
        <v>1</v>
      </c>
      <c r="M933" s="134">
        <v>0</v>
      </c>
      <c r="N933" s="134">
        <v>28</v>
      </c>
      <c r="O933" s="134">
        <v>85000</v>
      </c>
      <c r="P933" s="133">
        <v>1</v>
      </c>
      <c r="Q933" s="133">
        <v>1</v>
      </c>
      <c r="R933" s="133">
        <v>0</v>
      </c>
      <c r="S933" s="133">
        <v>1</v>
      </c>
    </row>
    <row r="934" spans="1:19">
      <c r="A934" s="85" t="s">
        <v>270</v>
      </c>
      <c r="B934" s="85">
        <v>1</v>
      </c>
      <c r="C934" s="85">
        <v>1</v>
      </c>
      <c r="D934" s="108">
        <v>100</v>
      </c>
      <c r="E934" s="108">
        <v>18.20931639443436</v>
      </c>
      <c r="F934" s="108">
        <v>50</v>
      </c>
      <c r="G934" s="108">
        <v>0</v>
      </c>
      <c r="H934" s="108">
        <v>100</v>
      </c>
      <c r="I934" s="108">
        <v>1</v>
      </c>
      <c r="J934" s="108">
        <v>0</v>
      </c>
      <c r="K934" s="108">
        <v>1</v>
      </c>
      <c r="L934" s="108">
        <v>1</v>
      </c>
      <c r="M934" s="134">
        <v>1</v>
      </c>
      <c r="N934" s="134">
        <v>29</v>
      </c>
      <c r="O934" s="134">
        <v>120000</v>
      </c>
      <c r="P934" s="133">
        <v>1</v>
      </c>
      <c r="Q934" s="133">
        <v>1</v>
      </c>
      <c r="R934" s="133">
        <v>0</v>
      </c>
      <c r="S934" s="133">
        <v>1</v>
      </c>
    </row>
    <row r="935" spans="1:19">
      <c r="A935" s="85" t="s">
        <v>270</v>
      </c>
      <c r="B935" s="85">
        <v>2</v>
      </c>
      <c r="C935" s="85">
        <v>1</v>
      </c>
      <c r="D935" s="108">
        <v>100</v>
      </c>
      <c r="E935" s="108">
        <v>100</v>
      </c>
      <c r="F935" s="108">
        <v>0</v>
      </c>
      <c r="G935" s="108">
        <v>0</v>
      </c>
      <c r="H935" s="108">
        <v>0</v>
      </c>
      <c r="I935" s="108">
        <v>0</v>
      </c>
      <c r="J935" s="108">
        <v>0</v>
      </c>
      <c r="K935" s="108">
        <v>1</v>
      </c>
      <c r="L935" s="108">
        <v>1</v>
      </c>
      <c r="M935" s="134">
        <v>1</v>
      </c>
      <c r="N935" s="134">
        <v>29</v>
      </c>
      <c r="O935" s="134">
        <v>120000</v>
      </c>
      <c r="P935" s="133">
        <v>1</v>
      </c>
      <c r="Q935" s="133">
        <v>1</v>
      </c>
      <c r="R935" s="133">
        <v>0</v>
      </c>
      <c r="S935" s="133">
        <v>1</v>
      </c>
    </row>
    <row r="936" spans="1:19">
      <c r="A936" s="85" t="s">
        <v>270</v>
      </c>
      <c r="B936" s="85">
        <v>3</v>
      </c>
      <c r="C936" s="85">
        <v>1</v>
      </c>
      <c r="D936" s="108">
        <v>100</v>
      </c>
      <c r="E936" s="108">
        <v>0</v>
      </c>
      <c r="F936" s="108">
        <v>100</v>
      </c>
      <c r="G936" s="108">
        <v>0</v>
      </c>
      <c r="H936" s="108">
        <v>100</v>
      </c>
      <c r="I936" s="108">
        <v>0</v>
      </c>
      <c r="J936" s="108">
        <v>0</v>
      </c>
      <c r="K936" s="108">
        <v>1</v>
      </c>
      <c r="L936" s="108">
        <v>1</v>
      </c>
      <c r="M936" s="134">
        <v>1</v>
      </c>
      <c r="N936" s="134">
        <v>29</v>
      </c>
      <c r="O936" s="134">
        <v>120000</v>
      </c>
      <c r="P936" s="133">
        <v>1</v>
      </c>
      <c r="Q936" s="133">
        <v>1</v>
      </c>
      <c r="R936" s="133">
        <v>0</v>
      </c>
      <c r="S936" s="133">
        <v>1</v>
      </c>
    </row>
    <row r="937" spans="1:19">
      <c r="A937" s="85" t="s">
        <v>270</v>
      </c>
      <c r="B937" s="85">
        <v>4</v>
      </c>
      <c r="C937" s="85">
        <v>1</v>
      </c>
      <c r="D937" s="108">
        <v>100</v>
      </c>
      <c r="E937" s="108">
        <v>0</v>
      </c>
      <c r="F937" s="108">
        <v>100</v>
      </c>
      <c r="G937" s="108">
        <v>100</v>
      </c>
      <c r="H937" s="108">
        <v>0</v>
      </c>
      <c r="I937" s="108">
        <v>0</v>
      </c>
      <c r="J937" s="108">
        <v>0</v>
      </c>
      <c r="K937" s="108">
        <v>1</v>
      </c>
      <c r="L937" s="108">
        <v>1</v>
      </c>
      <c r="M937" s="134">
        <v>1</v>
      </c>
      <c r="N937" s="134">
        <v>29</v>
      </c>
      <c r="O937" s="134">
        <v>120000</v>
      </c>
      <c r="P937" s="133">
        <v>1</v>
      </c>
      <c r="Q937" s="133">
        <v>1</v>
      </c>
      <c r="R937" s="133">
        <v>0</v>
      </c>
      <c r="S937" s="133">
        <v>1</v>
      </c>
    </row>
    <row r="938" spans="1:19">
      <c r="A938" s="85" t="s">
        <v>270</v>
      </c>
      <c r="B938" s="85">
        <v>5</v>
      </c>
      <c r="C938" s="85">
        <v>1</v>
      </c>
      <c r="D938" s="108">
        <v>100</v>
      </c>
      <c r="E938" s="108">
        <v>0</v>
      </c>
      <c r="F938" s="108">
        <v>0</v>
      </c>
      <c r="G938" s="108">
        <v>100</v>
      </c>
      <c r="H938" s="108">
        <v>100</v>
      </c>
      <c r="I938" s="108">
        <v>0</v>
      </c>
      <c r="J938" s="108">
        <v>0</v>
      </c>
      <c r="K938" s="108">
        <v>1</v>
      </c>
      <c r="L938" s="108">
        <v>1</v>
      </c>
      <c r="M938" s="134">
        <v>1</v>
      </c>
      <c r="N938" s="134">
        <v>29</v>
      </c>
      <c r="O938" s="134">
        <v>120000</v>
      </c>
      <c r="P938" s="133">
        <v>1</v>
      </c>
      <c r="Q938" s="133">
        <v>1</v>
      </c>
      <c r="R938" s="133">
        <v>0</v>
      </c>
      <c r="S938" s="133">
        <v>1</v>
      </c>
    </row>
    <row r="939" spans="1:19">
      <c r="A939" s="85" t="s">
        <v>270</v>
      </c>
      <c r="B939" s="85">
        <v>6</v>
      </c>
      <c r="C939" s="85">
        <v>1</v>
      </c>
      <c r="D939" s="108">
        <v>100</v>
      </c>
      <c r="E939" s="108">
        <v>0</v>
      </c>
      <c r="F939" s="108">
        <v>100</v>
      </c>
      <c r="G939" s="108">
        <v>100</v>
      </c>
      <c r="H939" s="108">
        <v>0</v>
      </c>
      <c r="I939" s="108">
        <v>0</v>
      </c>
      <c r="J939" s="108">
        <v>0</v>
      </c>
      <c r="K939" s="108">
        <v>1</v>
      </c>
      <c r="L939" s="108">
        <v>1</v>
      </c>
      <c r="M939" s="134">
        <v>1</v>
      </c>
      <c r="N939" s="134">
        <v>29</v>
      </c>
      <c r="O939" s="134">
        <v>120000</v>
      </c>
      <c r="P939" s="133">
        <v>1</v>
      </c>
      <c r="Q939" s="133">
        <v>1</v>
      </c>
      <c r="R939" s="133">
        <v>0</v>
      </c>
      <c r="S939" s="133">
        <v>1</v>
      </c>
    </row>
    <row r="940" spans="1:19">
      <c r="A940" s="85" t="s">
        <v>270</v>
      </c>
      <c r="B940" s="85">
        <v>7</v>
      </c>
      <c r="C940" s="85">
        <v>1</v>
      </c>
      <c r="D940" s="108">
        <v>0</v>
      </c>
      <c r="E940" s="108">
        <v>100</v>
      </c>
      <c r="F940" s="108">
        <v>0</v>
      </c>
      <c r="G940" s="108">
        <v>100</v>
      </c>
      <c r="H940" s="108">
        <v>100</v>
      </c>
      <c r="I940" s="108">
        <v>0</v>
      </c>
      <c r="J940" s="108">
        <v>1</v>
      </c>
      <c r="K940" s="108">
        <v>0</v>
      </c>
      <c r="L940" s="108">
        <v>1</v>
      </c>
      <c r="M940" s="134">
        <v>1</v>
      </c>
      <c r="N940" s="134">
        <v>29</v>
      </c>
      <c r="O940" s="134">
        <v>120000</v>
      </c>
      <c r="P940" s="133">
        <v>1</v>
      </c>
      <c r="Q940" s="133">
        <v>1</v>
      </c>
      <c r="R940" s="133">
        <v>0</v>
      </c>
      <c r="S940" s="133">
        <v>1</v>
      </c>
    </row>
    <row r="941" spans="1:19">
      <c r="A941" s="85" t="s">
        <v>271</v>
      </c>
      <c r="B941" s="85">
        <v>1</v>
      </c>
      <c r="C941" s="85">
        <v>1</v>
      </c>
      <c r="D941" s="108">
        <v>0</v>
      </c>
      <c r="E941" s="108">
        <v>100</v>
      </c>
      <c r="F941" s="108">
        <v>0</v>
      </c>
      <c r="G941" s="108">
        <v>100</v>
      </c>
      <c r="H941" s="108">
        <v>100</v>
      </c>
      <c r="I941" s="108">
        <v>1</v>
      </c>
      <c r="J941" s="108">
        <v>0</v>
      </c>
      <c r="K941" s="108">
        <v>0</v>
      </c>
      <c r="L941" s="108">
        <v>1</v>
      </c>
      <c r="M941" s="134">
        <v>0</v>
      </c>
      <c r="N941" s="134">
        <v>34</v>
      </c>
      <c r="O941" s="134">
        <v>150000</v>
      </c>
      <c r="P941" s="133">
        <v>1</v>
      </c>
      <c r="Q941" s="133">
        <v>1</v>
      </c>
      <c r="R941" s="133">
        <v>1</v>
      </c>
      <c r="S941" s="133">
        <v>1</v>
      </c>
    </row>
    <row r="942" spans="1:19">
      <c r="A942" s="85" t="s">
        <v>271</v>
      </c>
      <c r="B942" s="85">
        <v>2</v>
      </c>
      <c r="C942" s="85">
        <v>1</v>
      </c>
      <c r="D942" s="108">
        <v>100</v>
      </c>
      <c r="E942" s="108">
        <v>100</v>
      </c>
      <c r="F942" s="108">
        <v>0</v>
      </c>
      <c r="G942" s="108">
        <v>100</v>
      </c>
      <c r="H942" s="108">
        <v>0</v>
      </c>
      <c r="I942" s="108">
        <v>0</v>
      </c>
      <c r="J942" s="108">
        <v>0</v>
      </c>
      <c r="K942" s="108">
        <v>1</v>
      </c>
      <c r="L942" s="108">
        <v>1</v>
      </c>
      <c r="M942" s="134">
        <v>0</v>
      </c>
      <c r="N942" s="134">
        <v>34</v>
      </c>
      <c r="O942" s="134">
        <v>150000</v>
      </c>
      <c r="P942" s="133">
        <v>1</v>
      </c>
      <c r="Q942" s="133">
        <v>1</v>
      </c>
      <c r="R942" s="133">
        <v>1</v>
      </c>
      <c r="S942" s="133">
        <v>1</v>
      </c>
    </row>
    <row r="943" spans="1:19">
      <c r="A943" s="85" t="s">
        <v>271</v>
      </c>
      <c r="B943" s="85">
        <v>4</v>
      </c>
      <c r="C943" s="85">
        <v>1</v>
      </c>
      <c r="D943" s="108">
        <v>100</v>
      </c>
      <c r="E943" s="108">
        <v>100</v>
      </c>
      <c r="F943" s="108">
        <v>0</v>
      </c>
      <c r="G943" s="108">
        <v>17.074468085106389</v>
      </c>
      <c r="H943" s="108">
        <v>50</v>
      </c>
      <c r="I943" s="108">
        <v>0</v>
      </c>
      <c r="J943" s="108">
        <v>0</v>
      </c>
      <c r="K943" s="108">
        <v>1</v>
      </c>
      <c r="L943" s="108">
        <v>1</v>
      </c>
      <c r="M943" s="134">
        <v>0</v>
      </c>
      <c r="N943" s="134">
        <v>34</v>
      </c>
      <c r="O943" s="134">
        <v>150000</v>
      </c>
      <c r="P943" s="133">
        <v>1</v>
      </c>
      <c r="Q943" s="133">
        <v>1</v>
      </c>
      <c r="R943" s="133">
        <v>1</v>
      </c>
      <c r="S943" s="133">
        <v>1</v>
      </c>
    </row>
    <row r="944" spans="1:19">
      <c r="A944" s="85" t="s">
        <v>271</v>
      </c>
      <c r="B944" s="85">
        <v>5</v>
      </c>
      <c r="C944" s="85">
        <v>1</v>
      </c>
      <c r="D944" s="108">
        <v>100</v>
      </c>
      <c r="E944" s="108">
        <v>0</v>
      </c>
      <c r="F944" s="108">
        <v>100</v>
      </c>
      <c r="G944" s="108">
        <v>100</v>
      </c>
      <c r="H944" s="108">
        <v>0</v>
      </c>
      <c r="I944" s="108">
        <v>0</v>
      </c>
      <c r="J944" s="108">
        <v>0</v>
      </c>
      <c r="K944" s="108">
        <v>1</v>
      </c>
      <c r="L944" s="108">
        <v>1</v>
      </c>
      <c r="M944" s="134">
        <v>0</v>
      </c>
      <c r="N944" s="134">
        <v>34</v>
      </c>
      <c r="O944" s="134">
        <v>150000</v>
      </c>
      <c r="P944" s="133">
        <v>1</v>
      </c>
      <c r="Q944" s="133">
        <v>1</v>
      </c>
      <c r="R944" s="133">
        <v>1</v>
      </c>
      <c r="S944" s="133">
        <v>1</v>
      </c>
    </row>
    <row r="945" spans="1:19">
      <c r="A945" s="85" t="s">
        <v>271</v>
      </c>
      <c r="B945" s="85">
        <v>6</v>
      </c>
      <c r="C945" s="85">
        <v>1</v>
      </c>
      <c r="D945" s="108">
        <v>100</v>
      </c>
      <c r="E945" s="108">
        <v>100</v>
      </c>
      <c r="F945" s="108">
        <v>100</v>
      </c>
      <c r="G945" s="108">
        <v>0</v>
      </c>
      <c r="H945" s="108">
        <v>0</v>
      </c>
      <c r="I945" s="108">
        <v>0</v>
      </c>
      <c r="J945" s="108">
        <v>0</v>
      </c>
      <c r="K945" s="108">
        <v>1</v>
      </c>
      <c r="L945" s="108">
        <v>1</v>
      </c>
      <c r="M945" s="134">
        <v>0</v>
      </c>
      <c r="N945" s="134">
        <v>34</v>
      </c>
      <c r="O945" s="134">
        <v>150000</v>
      </c>
      <c r="P945" s="133">
        <v>1</v>
      </c>
      <c r="Q945" s="133">
        <v>1</v>
      </c>
      <c r="R945" s="133">
        <v>1</v>
      </c>
      <c r="S945" s="133">
        <v>1</v>
      </c>
    </row>
    <row r="946" spans="1:19">
      <c r="A946" s="85" t="s">
        <v>271</v>
      </c>
      <c r="B946" s="85">
        <v>7</v>
      </c>
      <c r="C946" s="85">
        <v>1</v>
      </c>
      <c r="D946" s="108">
        <v>0</v>
      </c>
      <c r="E946" s="108">
        <v>0</v>
      </c>
      <c r="F946" s="108">
        <v>100</v>
      </c>
      <c r="G946" s="108">
        <v>100</v>
      </c>
      <c r="H946" s="108">
        <v>0</v>
      </c>
      <c r="I946" s="108">
        <v>0</v>
      </c>
      <c r="J946" s="108">
        <v>1</v>
      </c>
      <c r="K946" s="108">
        <v>0</v>
      </c>
      <c r="L946" s="108">
        <v>1</v>
      </c>
      <c r="M946" s="134">
        <v>0</v>
      </c>
      <c r="N946" s="134">
        <v>34</v>
      </c>
      <c r="O946" s="134">
        <v>150000</v>
      </c>
      <c r="P946" s="133">
        <v>1</v>
      </c>
      <c r="Q946" s="133">
        <v>1</v>
      </c>
      <c r="R946" s="133">
        <v>1</v>
      </c>
      <c r="S946" s="133">
        <v>1</v>
      </c>
    </row>
    <row r="947" spans="1:19">
      <c r="A947" s="85" t="s">
        <v>272</v>
      </c>
      <c r="B947" s="85">
        <v>1</v>
      </c>
      <c r="C947" s="85">
        <v>1</v>
      </c>
      <c r="D947" s="108">
        <v>50</v>
      </c>
      <c r="E947" s="108">
        <v>100</v>
      </c>
      <c r="F947" s="108">
        <v>0</v>
      </c>
      <c r="G947" s="108">
        <v>100</v>
      </c>
      <c r="H947" s="108">
        <v>18.747474747474751</v>
      </c>
      <c r="I947" s="108">
        <v>1</v>
      </c>
      <c r="J947" s="108">
        <v>0</v>
      </c>
      <c r="K947" s="108">
        <v>1</v>
      </c>
      <c r="L947" s="108">
        <v>1</v>
      </c>
      <c r="M947" s="134">
        <v>1</v>
      </c>
      <c r="N947" s="134">
        <v>39</v>
      </c>
      <c r="O947" s="134">
        <v>120000</v>
      </c>
      <c r="P947" s="133">
        <v>0</v>
      </c>
      <c r="Q947" s="133">
        <v>0</v>
      </c>
      <c r="R947" s="133">
        <v>1</v>
      </c>
      <c r="S947" s="133">
        <v>1</v>
      </c>
    </row>
    <row r="948" spans="1:19">
      <c r="A948" s="85" t="s">
        <v>272</v>
      </c>
      <c r="B948" s="85">
        <v>2</v>
      </c>
      <c r="C948" s="85">
        <v>1</v>
      </c>
      <c r="D948" s="108">
        <v>0</v>
      </c>
      <c r="E948" s="108">
        <v>100</v>
      </c>
      <c r="F948" s="108">
        <v>100</v>
      </c>
      <c r="G948" s="108">
        <v>0</v>
      </c>
      <c r="H948" s="108">
        <v>100</v>
      </c>
      <c r="I948" s="108">
        <v>0</v>
      </c>
      <c r="J948" s="108">
        <v>0</v>
      </c>
      <c r="K948" s="108">
        <v>0</v>
      </c>
      <c r="L948" s="108">
        <v>1</v>
      </c>
      <c r="M948" s="134">
        <v>1</v>
      </c>
      <c r="N948" s="134">
        <v>39</v>
      </c>
      <c r="O948" s="134">
        <v>120000</v>
      </c>
      <c r="P948" s="133">
        <v>0</v>
      </c>
      <c r="Q948" s="133">
        <v>0</v>
      </c>
      <c r="R948" s="133">
        <v>1</v>
      </c>
      <c r="S948" s="133">
        <v>1</v>
      </c>
    </row>
    <row r="949" spans="1:19">
      <c r="A949" s="85" t="s">
        <v>272</v>
      </c>
      <c r="B949" s="85">
        <v>3</v>
      </c>
      <c r="C949" s="85">
        <v>1</v>
      </c>
      <c r="D949" s="108">
        <v>0</v>
      </c>
      <c r="E949" s="108">
        <v>100</v>
      </c>
      <c r="F949" s="108">
        <v>0</v>
      </c>
      <c r="G949" s="108">
        <v>100</v>
      </c>
      <c r="H949" s="108">
        <v>100</v>
      </c>
      <c r="I949" s="108">
        <v>0</v>
      </c>
      <c r="J949" s="108">
        <v>0</v>
      </c>
      <c r="K949" s="108">
        <v>0</v>
      </c>
      <c r="L949" s="108">
        <v>1</v>
      </c>
      <c r="M949" s="134">
        <v>1</v>
      </c>
      <c r="N949" s="134">
        <v>39</v>
      </c>
      <c r="O949" s="134">
        <v>120000</v>
      </c>
      <c r="P949" s="133">
        <v>0</v>
      </c>
      <c r="Q949" s="133">
        <v>0</v>
      </c>
      <c r="R949" s="133">
        <v>1</v>
      </c>
      <c r="S949" s="133">
        <v>1</v>
      </c>
    </row>
    <row r="950" spans="1:19">
      <c r="A950" s="85" t="s">
        <v>272</v>
      </c>
      <c r="B950" s="85">
        <v>4</v>
      </c>
      <c r="C950" s="85">
        <v>1</v>
      </c>
      <c r="D950" s="108">
        <v>100</v>
      </c>
      <c r="E950" s="108">
        <v>0</v>
      </c>
      <c r="F950" s="108">
        <v>0</v>
      </c>
      <c r="G950" s="108">
        <v>100</v>
      </c>
      <c r="H950" s="108">
        <v>0</v>
      </c>
      <c r="I950" s="108">
        <v>0</v>
      </c>
      <c r="J950" s="108">
        <v>0</v>
      </c>
      <c r="K950" s="108">
        <v>1</v>
      </c>
      <c r="L950" s="108">
        <v>1</v>
      </c>
      <c r="M950" s="134">
        <v>1</v>
      </c>
      <c r="N950" s="134">
        <v>39</v>
      </c>
      <c r="O950" s="134">
        <v>120000</v>
      </c>
      <c r="P950" s="133">
        <v>0</v>
      </c>
      <c r="Q950" s="133">
        <v>0</v>
      </c>
      <c r="R950" s="133">
        <v>1</v>
      </c>
      <c r="S950" s="133">
        <v>1</v>
      </c>
    </row>
    <row r="951" spans="1:19">
      <c r="A951" s="85" t="s">
        <v>272</v>
      </c>
      <c r="B951" s="85">
        <v>5</v>
      </c>
      <c r="C951" s="85">
        <v>1</v>
      </c>
      <c r="D951" s="108">
        <v>100</v>
      </c>
      <c r="E951" s="108">
        <v>100</v>
      </c>
      <c r="F951" s="108">
        <v>0</v>
      </c>
      <c r="G951" s="108">
        <v>0</v>
      </c>
      <c r="H951" s="108">
        <v>100</v>
      </c>
      <c r="I951" s="108">
        <v>0</v>
      </c>
      <c r="J951" s="108">
        <v>0</v>
      </c>
      <c r="K951" s="108">
        <v>1</v>
      </c>
      <c r="L951" s="108">
        <v>1</v>
      </c>
      <c r="M951" s="134">
        <v>1</v>
      </c>
      <c r="N951" s="134">
        <v>39</v>
      </c>
      <c r="O951" s="134">
        <v>120000</v>
      </c>
      <c r="P951" s="133">
        <v>0</v>
      </c>
      <c r="Q951" s="133">
        <v>0</v>
      </c>
      <c r="R951" s="133">
        <v>1</v>
      </c>
      <c r="S951" s="133">
        <v>1</v>
      </c>
    </row>
    <row r="952" spans="1:19">
      <c r="A952" s="85" t="s">
        <v>272</v>
      </c>
      <c r="B952" s="85">
        <v>6</v>
      </c>
      <c r="C952" s="85">
        <v>1</v>
      </c>
      <c r="D952" s="108">
        <v>100</v>
      </c>
      <c r="E952" s="108">
        <v>0</v>
      </c>
      <c r="F952" s="108">
        <v>100</v>
      </c>
      <c r="G952" s="108">
        <v>0</v>
      </c>
      <c r="H952" s="108">
        <v>100</v>
      </c>
      <c r="I952" s="108">
        <v>0</v>
      </c>
      <c r="J952" s="108">
        <v>0</v>
      </c>
      <c r="K952" s="108">
        <v>1</v>
      </c>
      <c r="L952" s="108">
        <v>1</v>
      </c>
      <c r="M952" s="134">
        <v>1</v>
      </c>
      <c r="N952" s="134">
        <v>39</v>
      </c>
      <c r="O952" s="134">
        <v>120000</v>
      </c>
      <c r="P952" s="133">
        <v>0</v>
      </c>
      <c r="Q952" s="133">
        <v>0</v>
      </c>
      <c r="R952" s="133">
        <v>1</v>
      </c>
      <c r="S952" s="133">
        <v>1</v>
      </c>
    </row>
    <row r="953" spans="1:19">
      <c r="A953" s="85" t="s">
        <v>272</v>
      </c>
      <c r="B953" s="85">
        <v>7</v>
      </c>
      <c r="C953" s="85">
        <v>1</v>
      </c>
      <c r="D953" s="108">
        <v>100</v>
      </c>
      <c r="E953" s="108">
        <v>0</v>
      </c>
      <c r="F953" s="108">
        <v>100</v>
      </c>
      <c r="G953" s="108">
        <v>0</v>
      </c>
      <c r="H953" s="108">
        <v>100</v>
      </c>
      <c r="I953" s="108">
        <v>0</v>
      </c>
      <c r="J953" s="108">
        <v>1</v>
      </c>
      <c r="K953" s="108">
        <v>1</v>
      </c>
      <c r="L953" s="108">
        <v>1</v>
      </c>
      <c r="M953" s="134">
        <v>1</v>
      </c>
      <c r="N953" s="134">
        <v>39</v>
      </c>
      <c r="O953" s="134">
        <v>120000</v>
      </c>
      <c r="P953" s="133">
        <v>0</v>
      </c>
      <c r="Q953" s="133">
        <v>0</v>
      </c>
      <c r="R953" s="133">
        <v>1</v>
      </c>
      <c r="S953" s="133">
        <v>1</v>
      </c>
    </row>
    <row r="954" spans="1:19">
      <c r="A954" s="85" t="s">
        <v>273</v>
      </c>
      <c r="B954" s="85">
        <v>1</v>
      </c>
      <c r="C954" s="85">
        <v>1</v>
      </c>
      <c r="D954" s="108">
        <v>100</v>
      </c>
      <c r="E954" s="108">
        <v>100</v>
      </c>
      <c r="F954" s="108">
        <v>0</v>
      </c>
      <c r="G954" s="108">
        <v>100</v>
      </c>
      <c r="H954" s="108">
        <v>0</v>
      </c>
      <c r="I954" s="108">
        <v>1</v>
      </c>
      <c r="J954" s="108">
        <v>0</v>
      </c>
      <c r="K954" s="108">
        <v>1</v>
      </c>
      <c r="L954" s="108">
        <v>1</v>
      </c>
      <c r="M954" s="134">
        <v>0</v>
      </c>
      <c r="N954" s="134">
        <v>32</v>
      </c>
      <c r="O954" s="134">
        <v>150000</v>
      </c>
      <c r="P954" s="133">
        <v>1</v>
      </c>
      <c r="Q954" s="133">
        <v>1</v>
      </c>
      <c r="R954" s="133">
        <v>1</v>
      </c>
      <c r="S954" s="133">
        <v>1</v>
      </c>
    </row>
    <row r="955" spans="1:19">
      <c r="A955" s="85" t="s">
        <v>273</v>
      </c>
      <c r="B955" s="85">
        <v>2</v>
      </c>
      <c r="C955" s="85">
        <v>1</v>
      </c>
      <c r="D955" s="108">
        <v>0</v>
      </c>
      <c r="E955" s="108">
        <v>100</v>
      </c>
      <c r="F955" s="108">
        <v>0</v>
      </c>
      <c r="G955" s="108">
        <v>100</v>
      </c>
      <c r="H955" s="108">
        <v>100</v>
      </c>
      <c r="I955" s="108">
        <v>0</v>
      </c>
      <c r="J955" s="108">
        <v>0</v>
      </c>
      <c r="K955" s="108">
        <v>0</v>
      </c>
      <c r="L955" s="108">
        <v>1</v>
      </c>
      <c r="M955" s="134">
        <v>0</v>
      </c>
      <c r="N955" s="134">
        <v>32</v>
      </c>
      <c r="O955" s="134">
        <v>150000</v>
      </c>
      <c r="P955" s="133">
        <v>1</v>
      </c>
      <c r="Q955" s="133">
        <v>1</v>
      </c>
      <c r="R955" s="133">
        <v>1</v>
      </c>
      <c r="S955" s="133">
        <v>1</v>
      </c>
    </row>
    <row r="956" spans="1:19">
      <c r="A956" s="85" t="s">
        <v>273</v>
      </c>
      <c r="B956" s="85">
        <v>3</v>
      </c>
      <c r="C956" s="85">
        <v>1</v>
      </c>
      <c r="D956" s="108">
        <v>0</v>
      </c>
      <c r="E956" s="108">
        <v>0</v>
      </c>
      <c r="F956" s="108">
        <v>100</v>
      </c>
      <c r="G956" s="108">
        <v>100</v>
      </c>
      <c r="H956" s="108">
        <v>100</v>
      </c>
      <c r="I956" s="108">
        <v>0</v>
      </c>
      <c r="J956" s="108">
        <v>0</v>
      </c>
      <c r="K956" s="108">
        <v>0</v>
      </c>
      <c r="L956" s="108">
        <v>1</v>
      </c>
      <c r="M956" s="134">
        <v>0</v>
      </c>
      <c r="N956" s="134">
        <v>32</v>
      </c>
      <c r="O956" s="134">
        <v>150000</v>
      </c>
      <c r="P956" s="133">
        <v>1</v>
      </c>
      <c r="Q956" s="133">
        <v>1</v>
      </c>
      <c r="R956" s="133">
        <v>1</v>
      </c>
      <c r="S956" s="133">
        <v>1</v>
      </c>
    </row>
    <row r="957" spans="1:19">
      <c r="A957" s="85" t="s">
        <v>273</v>
      </c>
      <c r="B957" s="85">
        <v>4</v>
      </c>
      <c r="C957" s="85">
        <v>1</v>
      </c>
      <c r="D957" s="108">
        <v>100</v>
      </c>
      <c r="E957" s="108">
        <v>100</v>
      </c>
      <c r="F957" s="108">
        <v>17.01063829787234</v>
      </c>
      <c r="G957" s="108">
        <v>0</v>
      </c>
      <c r="H957" s="108">
        <v>50</v>
      </c>
      <c r="I957" s="108">
        <v>0</v>
      </c>
      <c r="J957" s="108">
        <v>0</v>
      </c>
      <c r="K957" s="108">
        <v>1</v>
      </c>
      <c r="L957" s="108">
        <v>1</v>
      </c>
      <c r="M957" s="134">
        <v>0</v>
      </c>
      <c r="N957" s="134">
        <v>32</v>
      </c>
      <c r="O957" s="134">
        <v>150000</v>
      </c>
      <c r="P957" s="133">
        <v>1</v>
      </c>
      <c r="Q957" s="133">
        <v>1</v>
      </c>
      <c r="R957" s="133">
        <v>1</v>
      </c>
      <c r="S957" s="133">
        <v>1</v>
      </c>
    </row>
    <row r="958" spans="1:19">
      <c r="A958" s="85" t="s">
        <v>273</v>
      </c>
      <c r="B958" s="85">
        <v>5</v>
      </c>
      <c r="C958" s="85">
        <v>1</v>
      </c>
      <c r="D958" s="108">
        <v>100</v>
      </c>
      <c r="E958" s="108">
        <v>0</v>
      </c>
      <c r="F958" s="108">
        <v>100</v>
      </c>
      <c r="G958" s="108">
        <v>0</v>
      </c>
      <c r="H958" s="108">
        <v>0</v>
      </c>
      <c r="I958" s="108">
        <v>0</v>
      </c>
      <c r="J958" s="108">
        <v>0</v>
      </c>
      <c r="K958" s="108">
        <v>1</v>
      </c>
      <c r="L958" s="108">
        <v>1</v>
      </c>
      <c r="M958" s="134">
        <v>0</v>
      </c>
      <c r="N958" s="134">
        <v>32</v>
      </c>
      <c r="O958" s="134">
        <v>150000</v>
      </c>
      <c r="P958" s="133">
        <v>1</v>
      </c>
      <c r="Q958" s="133">
        <v>1</v>
      </c>
      <c r="R958" s="133">
        <v>1</v>
      </c>
      <c r="S958" s="133">
        <v>1</v>
      </c>
    </row>
    <row r="959" spans="1:19">
      <c r="A959" s="85" t="s">
        <v>273</v>
      </c>
      <c r="B959" s="85">
        <v>6</v>
      </c>
      <c r="C959" s="85">
        <v>1</v>
      </c>
      <c r="D959" s="108">
        <v>0</v>
      </c>
      <c r="E959" s="108">
        <v>0</v>
      </c>
      <c r="F959" s="108">
        <v>100</v>
      </c>
      <c r="G959" s="108">
        <v>100</v>
      </c>
      <c r="H959" s="108">
        <v>100</v>
      </c>
      <c r="I959" s="108">
        <v>0</v>
      </c>
      <c r="J959" s="108">
        <v>0</v>
      </c>
      <c r="K959" s="108">
        <v>0</v>
      </c>
      <c r="L959" s="108">
        <v>1</v>
      </c>
      <c r="M959" s="134">
        <v>0</v>
      </c>
      <c r="N959" s="134">
        <v>32</v>
      </c>
      <c r="O959" s="134">
        <v>150000</v>
      </c>
      <c r="P959" s="133">
        <v>1</v>
      </c>
      <c r="Q959" s="133">
        <v>1</v>
      </c>
      <c r="R959" s="133">
        <v>1</v>
      </c>
      <c r="S959" s="133">
        <v>1</v>
      </c>
    </row>
    <row r="960" spans="1:19">
      <c r="A960" s="85" t="s">
        <v>273</v>
      </c>
      <c r="B960" s="85">
        <v>7</v>
      </c>
      <c r="C960" s="85">
        <v>1</v>
      </c>
      <c r="D960" s="108">
        <v>100</v>
      </c>
      <c r="E960" s="108">
        <v>100</v>
      </c>
      <c r="F960" s="108">
        <v>0</v>
      </c>
      <c r="G960" s="108">
        <v>0</v>
      </c>
      <c r="H960" s="108">
        <v>100</v>
      </c>
      <c r="I960" s="108">
        <v>0</v>
      </c>
      <c r="J960" s="108">
        <v>1</v>
      </c>
      <c r="K960" s="108">
        <v>1</v>
      </c>
      <c r="L960" s="108">
        <v>1</v>
      </c>
      <c r="M960" s="134">
        <v>0</v>
      </c>
      <c r="N960" s="134">
        <v>32</v>
      </c>
      <c r="O960" s="134">
        <v>150000</v>
      </c>
      <c r="P960" s="133">
        <v>1</v>
      </c>
      <c r="Q960" s="133">
        <v>1</v>
      </c>
      <c r="R960" s="133">
        <v>1</v>
      </c>
      <c r="S960" s="133">
        <v>1</v>
      </c>
    </row>
    <row r="961" spans="1:19">
      <c r="A961" s="85" t="s">
        <v>274</v>
      </c>
      <c r="B961" s="85">
        <v>1</v>
      </c>
      <c r="C961" s="85">
        <v>1</v>
      </c>
      <c r="D961" s="108">
        <v>100</v>
      </c>
      <c r="E961" s="108">
        <v>0</v>
      </c>
      <c r="F961" s="108">
        <v>100</v>
      </c>
      <c r="G961" s="108">
        <v>100</v>
      </c>
      <c r="H961" s="108">
        <v>0</v>
      </c>
      <c r="I961" s="108">
        <v>1</v>
      </c>
      <c r="J961" s="108">
        <v>0</v>
      </c>
      <c r="K961" s="108">
        <v>1</v>
      </c>
      <c r="L961" s="108">
        <v>1</v>
      </c>
      <c r="M961" s="134">
        <v>1</v>
      </c>
      <c r="N961" s="134">
        <v>29</v>
      </c>
      <c r="O961" s="134">
        <v>170000</v>
      </c>
      <c r="P961" s="133">
        <v>0</v>
      </c>
      <c r="Q961" s="133">
        <v>0</v>
      </c>
      <c r="R961" s="133">
        <v>1</v>
      </c>
      <c r="S961" s="133">
        <v>1</v>
      </c>
    </row>
    <row r="962" spans="1:19">
      <c r="A962" s="85" t="s">
        <v>274</v>
      </c>
      <c r="B962" s="85">
        <v>2</v>
      </c>
      <c r="C962" s="85">
        <v>1</v>
      </c>
      <c r="D962" s="108">
        <v>100</v>
      </c>
      <c r="E962" s="108">
        <v>0</v>
      </c>
      <c r="F962" s="108">
        <v>0</v>
      </c>
      <c r="G962" s="108">
        <v>100</v>
      </c>
      <c r="H962" s="108">
        <v>100</v>
      </c>
      <c r="I962" s="108">
        <v>0</v>
      </c>
      <c r="J962" s="108">
        <v>0</v>
      </c>
      <c r="K962" s="108">
        <v>1</v>
      </c>
      <c r="L962" s="108">
        <v>1</v>
      </c>
      <c r="M962" s="134">
        <v>1</v>
      </c>
      <c r="N962" s="134">
        <v>29</v>
      </c>
      <c r="O962" s="134">
        <v>170000</v>
      </c>
      <c r="P962" s="133">
        <v>0</v>
      </c>
      <c r="Q962" s="133">
        <v>0</v>
      </c>
      <c r="R962" s="133">
        <v>1</v>
      </c>
      <c r="S962" s="133">
        <v>1</v>
      </c>
    </row>
    <row r="963" spans="1:19">
      <c r="A963" s="85" t="s">
        <v>274</v>
      </c>
      <c r="B963" s="85">
        <v>3</v>
      </c>
      <c r="C963" s="85">
        <v>1</v>
      </c>
      <c r="D963" s="108">
        <v>0</v>
      </c>
      <c r="E963" s="108">
        <v>100</v>
      </c>
      <c r="F963" s="108">
        <v>0</v>
      </c>
      <c r="G963" s="108">
        <v>100</v>
      </c>
      <c r="H963" s="108">
        <v>0</v>
      </c>
      <c r="I963" s="108">
        <v>0</v>
      </c>
      <c r="J963" s="108">
        <v>0</v>
      </c>
      <c r="K963" s="108">
        <v>0</v>
      </c>
      <c r="L963" s="108">
        <v>1</v>
      </c>
      <c r="M963" s="134">
        <v>1</v>
      </c>
      <c r="N963" s="134">
        <v>29</v>
      </c>
      <c r="O963" s="134">
        <v>170000</v>
      </c>
      <c r="P963" s="133">
        <v>0</v>
      </c>
      <c r="Q963" s="133">
        <v>0</v>
      </c>
      <c r="R963" s="133">
        <v>1</v>
      </c>
      <c r="S963" s="133">
        <v>1</v>
      </c>
    </row>
    <row r="964" spans="1:19">
      <c r="A964" s="85" t="s">
        <v>274</v>
      </c>
      <c r="B964" s="85">
        <v>4</v>
      </c>
      <c r="C964" s="85">
        <v>1</v>
      </c>
      <c r="D964" s="108">
        <v>0</v>
      </c>
      <c r="E964" s="108">
        <v>100</v>
      </c>
      <c r="F964" s="108">
        <v>0</v>
      </c>
      <c r="G964" s="108">
        <v>100</v>
      </c>
      <c r="H964" s="108">
        <v>100</v>
      </c>
      <c r="I964" s="108">
        <v>0</v>
      </c>
      <c r="J964" s="108">
        <v>0</v>
      </c>
      <c r="K964" s="108">
        <v>0</v>
      </c>
      <c r="L964" s="108">
        <v>1</v>
      </c>
      <c r="M964" s="134">
        <v>1</v>
      </c>
      <c r="N964" s="134">
        <v>29</v>
      </c>
      <c r="O964" s="134">
        <v>170000</v>
      </c>
      <c r="P964" s="133">
        <v>0</v>
      </c>
      <c r="Q964" s="133">
        <v>0</v>
      </c>
      <c r="R964" s="133">
        <v>1</v>
      </c>
      <c r="S964" s="133">
        <v>1</v>
      </c>
    </row>
    <row r="965" spans="1:19">
      <c r="A965" s="85" t="s">
        <v>274</v>
      </c>
      <c r="B965" s="85">
        <v>6</v>
      </c>
      <c r="C965" s="85">
        <v>1</v>
      </c>
      <c r="D965" s="108">
        <v>100</v>
      </c>
      <c r="E965" s="108">
        <v>100</v>
      </c>
      <c r="F965" s="108">
        <v>0</v>
      </c>
      <c r="G965" s="108">
        <v>100</v>
      </c>
      <c r="H965" s="108">
        <v>0</v>
      </c>
      <c r="I965" s="108">
        <v>0</v>
      </c>
      <c r="J965" s="108">
        <v>0</v>
      </c>
      <c r="K965" s="108">
        <v>1</v>
      </c>
      <c r="L965" s="108">
        <v>1</v>
      </c>
      <c r="M965" s="134">
        <v>1</v>
      </c>
      <c r="N965" s="134">
        <v>29</v>
      </c>
      <c r="O965" s="134">
        <v>170000</v>
      </c>
      <c r="P965" s="133">
        <v>0</v>
      </c>
      <c r="Q965" s="133">
        <v>0</v>
      </c>
      <c r="R965" s="133">
        <v>1</v>
      </c>
      <c r="S965" s="133">
        <v>1</v>
      </c>
    </row>
    <row r="966" spans="1:19">
      <c r="A966" s="85" t="s">
        <v>275</v>
      </c>
      <c r="B966" s="85">
        <v>1</v>
      </c>
      <c r="C966" s="85">
        <v>1</v>
      </c>
      <c r="D966" s="108">
        <v>100</v>
      </c>
      <c r="E966" s="108">
        <v>100</v>
      </c>
      <c r="F966" s="108">
        <v>0</v>
      </c>
      <c r="G966" s="108">
        <v>100</v>
      </c>
      <c r="H966" s="108">
        <v>0</v>
      </c>
      <c r="I966" s="108">
        <v>1</v>
      </c>
      <c r="J966" s="108">
        <v>0</v>
      </c>
      <c r="K966" s="108">
        <v>1</v>
      </c>
      <c r="L966" s="108">
        <v>1</v>
      </c>
      <c r="M966" s="134">
        <v>1</v>
      </c>
      <c r="N966" s="134">
        <v>31</v>
      </c>
      <c r="O966" s="134">
        <v>170000</v>
      </c>
      <c r="P966" s="133">
        <v>1</v>
      </c>
      <c r="Q966" s="133">
        <v>0</v>
      </c>
      <c r="R966" s="133">
        <v>1</v>
      </c>
      <c r="S966" s="133">
        <v>1</v>
      </c>
    </row>
    <row r="967" spans="1:19">
      <c r="A967" s="85" t="s">
        <v>275</v>
      </c>
      <c r="B967" s="85">
        <v>2</v>
      </c>
      <c r="C967" s="85">
        <v>1</v>
      </c>
      <c r="D967" s="108">
        <v>100</v>
      </c>
      <c r="E967" s="108">
        <v>100</v>
      </c>
      <c r="F967" s="108">
        <v>100</v>
      </c>
      <c r="G967" s="108">
        <v>0</v>
      </c>
      <c r="H967" s="108">
        <v>0</v>
      </c>
      <c r="I967" s="108">
        <v>0</v>
      </c>
      <c r="J967" s="108">
        <v>0</v>
      </c>
      <c r="K967" s="108">
        <v>1</v>
      </c>
      <c r="L967" s="108">
        <v>1</v>
      </c>
      <c r="M967" s="134">
        <v>1</v>
      </c>
      <c r="N967" s="134">
        <v>31</v>
      </c>
      <c r="O967" s="134">
        <v>170000</v>
      </c>
      <c r="P967" s="133">
        <v>1</v>
      </c>
      <c r="Q967" s="133">
        <v>0</v>
      </c>
      <c r="R967" s="133">
        <v>1</v>
      </c>
      <c r="S967" s="133">
        <v>1</v>
      </c>
    </row>
    <row r="968" spans="1:19">
      <c r="A968" s="85" t="s">
        <v>275</v>
      </c>
      <c r="B968" s="85">
        <v>3</v>
      </c>
      <c r="C968" s="85">
        <v>1</v>
      </c>
      <c r="D968" s="108">
        <v>100</v>
      </c>
      <c r="E968" s="108">
        <v>100</v>
      </c>
      <c r="F968" s="108">
        <v>100</v>
      </c>
      <c r="G968" s="108">
        <v>0</v>
      </c>
      <c r="H968" s="108">
        <v>0</v>
      </c>
      <c r="I968" s="108">
        <v>0</v>
      </c>
      <c r="J968" s="108">
        <v>0</v>
      </c>
      <c r="K968" s="108">
        <v>1</v>
      </c>
      <c r="L968" s="108">
        <v>1</v>
      </c>
      <c r="M968" s="134">
        <v>1</v>
      </c>
      <c r="N968" s="134">
        <v>31</v>
      </c>
      <c r="O968" s="134">
        <v>170000</v>
      </c>
      <c r="P968" s="133">
        <v>1</v>
      </c>
      <c r="Q968" s="133">
        <v>0</v>
      </c>
      <c r="R968" s="133">
        <v>1</v>
      </c>
      <c r="S968" s="133">
        <v>1</v>
      </c>
    </row>
    <row r="969" spans="1:19">
      <c r="A969" s="85" t="s">
        <v>275</v>
      </c>
      <c r="B969" s="85">
        <v>5</v>
      </c>
      <c r="C969" s="85">
        <v>1</v>
      </c>
      <c r="D969" s="108">
        <v>0</v>
      </c>
      <c r="E969" s="108">
        <v>100</v>
      </c>
      <c r="F969" s="108">
        <v>0</v>
      </c>
      <c r="G969" s="108">
        <v>100</v>
      </c>
      <c r="H969" s="108">
        <v>100</v>
      </c>
      <c r="I969" s="108">
        <v>0</v>
      </c>
      <c r="J969" s="108">
        <v>0</v>
      </c>
      <c r="K969" s="108">
        <v>0</v>
      </c>
      <c r="L969" s="108">
        <v>1</v>
      </c>
      <c r="M969" s="134">
        <v>1</v>
      </c>
      <c r="N969" s="134">
        <v>31</v>
      </c>
      <c r="O969" s="134">
        <v>170000</v>
      </c>
      <c r="P969" s="133">
        <v>1</v>
      </c>
      <c r="Q969" s="133">
        <v>0</v>
      </c>
      <c r="R969" s="133">
        <v>1</v>
      </c>
      <c r="S969" s="133">
        <v>1</v>
      </c>
    </row>
    <row r="970" spans="1:19">
      <c r="A970" s="85" t="s">
        <v>275</v>
      </c>
      <c r="B970" s="85">
        <v>6</v>
      </c>
      <c r="C970" s="85">
        <v>1</v>
      </c>
      <c r="D970" s="108">
        <v>0</v>
      </c>
      <c r="E970" s="108">
        <v>100</v>
      </c>
      <c r="F970" s="108">
        <v>100</v>
      </c>
      <c r="G970" s="108">
        <v>0</v>
      </c>
      <c r="H970" s="108">
        <v>100</v>
      </c>
      <c r="I970" s="108">
        <v>0</v>
      </c>
      <c r="J970" s="108">
        <v>0</v>
      </c>
      <c r="K970" s="108">
        <v>0</v>
      </c>
      <c r="L970" s="108">
        <v>1</v>
      </c>
      <c r="M970" s="134">
        <v>1</v>
      </c>
      <c r="N970" s="134">
        <v>31</v>
      </c>
      <c r="O970" s="134">
        <v>170000</v>
      </c>
      <c r="P970" s="133">
        <v>1</v>
      </c>
      <c r="Q970" s="133">
        <v>0</v>
      </c>
      <c r="R970" s="133">
        <v>1</v>
      </c>
      <c r="S970" s="133">
        <v>1</v>
      </c>
    </row>
    <row r="971" spans="1:19">
      <c r="A971" s="85" t="s">
        <v>275</v>
      </c>
      <c r="B971" s="85">
        <v>7</v>
      </c>
      <c r="C971" s="85">
        <v>1</v>
      </c>
      <c r="D971" s="108">
        <v>0</v>
      </c>
      <c r="E971" s="108">
        <v>0</v>
      </c>
      <c r="F971" s="108">
        <v>100</v>
      </c>
      <c r="G971" s="108">
        <v>0</v>
      </c>
      <c r="H971" s="108">
        <v>100</v>
      </c>
      <c r="I971" s="108">
        <v>0</v>
      </c>
      <c r="J971" s="108">
        <v>1</v>
      </c>
      <c r="K971" s="108">
        <v>0</v>
      </c>
      <c r="L971" s="108">
        <v>1</v>
      </c>
      <c r="M971" s="134">
        <v>1</v>
      </c>
      <c r="N971" s="134">
        <v>31</v>
      </c>
      <c r="O971" s="134">
        <v>170000</v>
      </c>
      <c r="P971" s="133">
        <v>1</v>
      </c>
      <c r="Q971" s="133">
        <v>0</v>
      </c>
      <c r="R971" s="133">
        <v>1</v>
      </c>
      <c r="S971" s="133">
        <v>1</v>
      </c>
    </row>
    <row r="972" spans="1:19">
      <c r="A972" s="85" t="s">
        <v>276</v>
      </c>
      <c r="B972" s="85">
        <v>2</v>
      </c>
      <c r="C972" s="85">
        <v>1</v>
      </c>
      <c r="D972" s="108">
        <v>100</v>
      </c>
      <c r="E972" s="108">
        <v>0</v>
      </c>
      <c r="F972" s="108">
        <v>100</v>
      </c>
      <c r="G972" s="108">
        <v>0</v>
      </c>
      <c r="H972" s="108">
        <v>100</v>
      </c>
      <c r="I972" s="108">
        <v>0</v>
      </c>
      <c r="J972" s="108">
        <v>0</v>
      </c>
      <c r="K972" s="108">
        <v>1</v>
      </c>
      <c r="L972" s="108">
        <v>1</v>
      </c>
      <c r="M972" s="134">
        <v>0</v>
      </c>
      <c r="N972" s="134">
        <v>31</v>
      </c>
      <c r="O972" s="134">
        <v>85000</v>
      </c>
      <c r="P972" s="133">
        <v>0</v>
      </c>
      <c r="Q972" s="133">
        <v>0</v>
      </c>
      <c r="R972" s="133">
        <v>1</v>
      </c>
      <c r="S972" s="133">
        <v>1</v>
      </c>
    </row>
    <row r="973" spans="1:19">
      <c r="A973" s="85" t="s">
        <v>276</v>
      </c>
      <c r="B973" s="85">
        <v>3</v>
      </c>
      <c r="C973" s="85">
        <v>1</v>
      </c>
      <c r="D973" s="108">
        <v>0</v>
      </c>
      <c r="E973" s="108">
        <v>100</v>
      </c>
      <c r="F973" s="108">
        <v>100</v>
      </c>
      <c r="G973" s="108">
        <v>0</v>
      </c>
      <c r="H973" s="108">
        <v>100</v>
      </c>
      <c r="I973" s="108">
        <v>0</v>
      </c>
      <c r="J973" s="108">
        <v>0</v>
      </c>
      <c r="K973" s="108">
        <v>0</v>
      </c>
      <c r="L973" s="108">
        <v>1</v>
      </c>
      <c r="M973" s="134">
        <v>0</v>
      </c>
      <c r="N973" s="134">
        <v>31</v>
      </c>
      <c r="O973" s="134">
        <v>85000</v>
      </c>
      <c r="P973" s="133">
        <v>0</v>
      </c>
      <c r="Q973" s="133">
        <v>0</v>
      </c>
      <c r="R973" s="133">
        <v>1</v>
      </c>
      <c r="S973" s="133">
        <v>1</v>
      </c>
    </row>
    <row r="974" spans="1:19">
      <c r="A974" s="85" t="s">
        <v>276</v>
      </c>
      <c r="B974" s="85">
        <v>4</v>
      </c>
      <c r="C974" s="85">
        <v>1</v>
      </c>
      <c r="D974" s="108">
        <v>100</v>
      </c>
      <c r="E974" s="108">
        <v>0</v>
      </c>
      <c r="F974" s="108">
        <v>100</v>
      </c>
      <c r="G974" s="108">
        <v>100</v>
      </c>
      <c r="H974" s="108">
        <v>0</v>
      </c>
      <c r="I974" s="108">
        <v>0</v>
      </c>
      <c r="J974" s="108">
        <v>0</v>
      </c>
      <c r="K974" s="108">
        <v>1</v>
      </c>
      <c r="L974" s="108">
        <v>1</v>
      </c>
      <c r="M974" s="134">
        <v>0</v>
      </c>
      <c r="N974" s="134">
        <v>31</v>
      </c>
      <c r="O974" s="134">
        <v>85000</v>
      </c>
      <c r="P974" s="133">
        <v>0</v>
      </c>
      <c r="Q974" s="133">
        <v>0</v>
      </c>
      <c r="R974" s="133">
        <v>1</v>
      </c>
      <c r="S974" s="133">
        <v>1</v>
      </c>
    </row>
    <row r="975" spans="1:19">
      <c r="A975" s="85" t="s">
        <v>276</v>
      </c>
      <c r="B975" s="85">
        <v>5</v>
      </c>
      <c r="C975" s="85">
        <v>1</v>
      </c>
      <c r="D975" s="108">
        <v>100</v>
      </c>
      <c r="E975" s="108">
        <v>100</v>
      </c>
      <c r="F975" s="108">
        <v>100</v>
      </c>
      <c r="G975" s="108">
        <v>0</v>
      </c>
      <c r="H975" s="108">
        <v>0</v>
      </c>
      <c r="I975" s="108">
        <v>0</v>
      </c>
      <c r="J975" s="108">
        <v>0</v>
      </c>
      <c r="K975" s="108">
        <v>1</v>
      </c>
      <c r="L975" s="108">
        <v>1</v>
      </c>
      <c r="M975" s="134">
        <v>0</v>
      </c>
      <c r="N975" s="134">
        <v>31</v>
      </c>
      <c r="O975" s="134">
        <v>85000</v>
      </c>
      <c r="P975" s="133">
        <v>0</v>
      </c>
      <c r="Q975" s="133">
        <v>0</v>
      </c>
      <c r="R975" s="133">
        <v>1</v>
      </c>
      <c r="S975" s="133">
        <v>1</v>
      </c>
    </row>
    <row r="976" spans="1:19">
      <c r="A976" s="85" t="s">
        <v>276</v>
      </c>
      <c r="B976" s="85">
        <v>6</v>
      </c>
      <c r="C976" s="85">
        <v>1</v>
      </c>
      <c r="D976" s="108">
        <v>0</v>
      </c>
      <c r="E976" s="108">
        <v>100</v>
      </c>
      <c r="F976" s="108">
        <v>0</v>
      </c>
      <c r="G976" s="108">
        <v>100</v>
      </c>
      <c r="H976" s="108">
        <v>0</v>
      </c>
      <c r="I976" s="108">
        <v>0</v>
      </c>
      <c r="J976" s="108">
        <v>0</v>
      </c>
      <c r="K976" s="108">
        <v>0</v>
      </c>
      <c r="L976" s="108">
        <v>1</v>
      </c>
      <c r="M976" s="134">
        <v>0</v>
      </c>
      <c r="N976" s="134">
        <v>31</v>
      </c>
      <c r="O976" s="134">
        <v>85000</v>
      </c>
      <c r="P976" s="133">
        <v>0</v>
      </c>
      <c r="Q976" s="133">
        <v>0</v>
      </c>
      <c r="R976" s="133">
        <v>1</v>
      </c>
      <c r="S976" s="133">
        <v>1</v>
      </c>
    </row>
    <row r="977" spans="1:19">
      <c r="A977" s="85" t="s">
        <v>276</v>
      </c>
      <c r="B977" s="85">
        <v>7</v>
      </c>
      <c r="C977" s="85">
        <v>1</v>
      </c>
      <c r="D977" s="108">
        <v>50</v>
      </c>
      <c r="E977" s="108">
        <v>100</v>
      </c>
      <c r="F977" s="108">
        <v>100</v>
      </c>
      <c r="G977" s="108">
        <v>17.11702127659575</v>
      </c>
      <c r="H977" s="108">
        <v>0</v>
      </c>
      <c r="I977" s="108">
        <v>0</v>
      </c>
      <c r="J977" s="108">
        <v>1</v>
      </c>
      <c r="K977" s="108">
        <v>1</v>
      </c>
      <c r="L977" s="108">
        <v>1</v>
      </c>
      <c r="M977" s="134">
        <v>0</v>
      </c>
      <c r="N977" s="134">
        <v>31</v>
      </c>
      <c r="O977" s="134">
        <v>85000</v>
      </c>
      <c r="P977" s="133">
        <v>0</v>
      </c>
      <c r="Q977" s="133">
        <v>0</v>
      </c>
      <c r="R977" s="133">
        <v>1</v>
      </c>
      <c r="S977" s="133">
        <v>1</v>
      </c>
    </row>
    <row r="978" spans="1:19">
      <c r="A978" s="85" t="s">
        <v>277</v>
      </c>
      <c r="B978" s="85">
        <v>1</v>
      </c>
      <c r="C978" s="85">
        <v>1</v>
      </c>
      <c r="D978" s="108">
        <v>0</v>
      </c>
      <c r="E978" s="108">
        <v>50</v>
      </c>
      <c r="F978" s="108">
        <v>100</v>
      </c>
      <c r="G978" s="108">
        <v>100</v>
      </c>
      <c r="H978" s="108">
        <v>18.741159830268739</v>
      </c>
      <c r="I978" s="108">
        <v>1</v>
      </c>
      <c r="J978" s="108">
        <v>0</v>
      </c>
      <c r="K978" s="108">
        <v>0</v>
      </c>
      <c r="L978" s="108">
        <v>1</v>
      </c>
      <c r="M978" s="134">
        <v>0</v>
      </c>
      <c r="N978" s="134">
        <v>29</v>
      </c>
      <c r="O978" s="134">
        <v>150000</v>
      </c>
      <c r="P978" s="133">
        <v>0</v>
      </c>
      <c r="Q978" s="133">
        <v>0</v>
      </c>
      <c r="R978" s="133">
        <v>1</v>
      </c>
      <c r="S978" s="133">
        <v>1</v>
      </c>
    </row>
    <row r="979" spans="1:19">
      <c r="A979" s="85" t="s">
        <v>277</v>
      </c>
      <c r="B979" s="85">
        <v>2</v>
      </c>
      <c r="C979" s="85">
        <v>1</v>
      </c>
      <c r="D979" s="108">
        <v>0</v>
      </c>
      <c r="E979" s="108">
        <v>0</v>
      </c>
      <c r="F979" s="108">
        <v>100</v>
      </c>
      <c r="G979" s="108">
        <v>100</v>
      </c>
      <c r="H979" s="108">
        <v>100</v>
      </c>
      <c r="I979" s="108">
        <v>0</v>
      </c>
      <c r="J979" s="108">
        <v>0</v>
      </c>
      <c r="K979" s="108">
        <v>0</v>
      </c>
      <c r="L979" s="108">
        <v>1</v>
      </c>
      <c r="M979" s="134">
        <v>0</v>
      </c>
      <c r="N979" s="134">
        <v>29</v>
      </c>
      <c r="O979" s="134">
        <v>150000</v>
      </c>
      <c r="P979" s="133">
        <v>0</v>
      </c>
      <c r="Q979" s="133">
        <v>0</v>
      </c>
      <c r="R979" s="133">
        <v>1</v>
      </c>
      <c r="S979" s="133">
        <v>1</v>
      </c>
    </row>
    <row r="980" spans="1:19">
      <c r="A980" s="85" t="s">
        <v>277</v>
      </c>
      <c r="B980" s="85">
        <v>3</v>
      </c>
      <c r="C980" s="85">
        <v>1</v>
      </c>
      <c r="D980" s="108">
        <v>0</v>
      </c>
      <c r="E980" s="108">
        <v>100</v>
      </c>
      <c r="F980" s="108">
        <v>100</v>
      </c>
      <c r="G980" s="108">
        <v>0</v>
      </c>
      <c r="H980" s="108">
        <v>100</v>
      </c>
      <c r="I980" s="108">
        <v>0</v>
      </c>
      <c r="J980" s="108">
        <v>0</v>
      </c>
      <c r="K980" s="108">
        <v>0</v>
      </c>
      <c r="L980" s="108">
        <v>1</v>
      </c>
      <c r="M980" s="134">
        <v>0</v>
      </c>
      <c r="N980" s="134">
        <v>29</v>
      </c>
      <c r="O980" s="134">
        <v>150000</v>
      </c>
      <c r="P980" s="133">
        <v>0</v>
      </c>
      <c r="Q980" s="133">
        <v>0</v>
      </c>
      <c r="R980" s="133">
        <v>1</v>
      </c>
      <c r="S980" s="133">
        <v>1</v>
      </c>
    </row>
    <row r="981" spans="1:19">
      <c r="A981" s="85" t="s">
        <v>277</v>
      </c>
      <c r="B981" s="85">
        <v>4</v>
      </c>
      <c r="C981" s="85">
        <v>1</v>
      </c>
      <c r="D981" s="108">
        <v>100</v>
      </c>
      <c r="E981" s="108">
        <v>100</v>
      </c>
      <c r="F981" s="108">
        <v>0</v>
      </c>
      <c r="G981" s="108">
        <v>0</v>
      </c>
      <c r="H981" s="108">
        <v>100</v>
      </c>
      <c r="I981" s="108">
        <v>0</v>
      </c>
      <c r="J981" s="108">
        <v>0</v>
      </c>
      <c r="K981" s="108">
        <v>1</v>
      </c>
      <c r="L981" s="108">
        <v>1</v>
      </c>
      <c r="M981" s="134">
        <v>0</v>
      </c>
      <c r="N981" s="134">
        <v>29</v>
      </c>
      <c r="O981" s="134">
        <v>150000</v>
      </c>
      <c r="P981" s="133">
        <v>0</v>
      </c>
      <c r="Q981" s="133">
        <v>0</v>
      </c>
      <c r="R981" s="133">
        <v>1</v>
      </c>
      <c r="S981" s="133">
        <v>1</v>
      </c>
    </row>
    <row r="982" spans="1:19">
      <c r="A982" s="85" t="s">
        <v>277</v>
      </c>
      <c r="B982" s="85">
        <v>5</v>
      </c>
      <c r="C982" s="85">
        <v>1</v>
      </c>
      <c r="D982" s="108">
        <v>100</v>
      </c>
      <c r="E982" s="108">
        <v>100</v>
      </c>
      <c r="F982" s="108">
        <v>100</v>
      </c>
      <c r="G982" s="108">
        <v>0</v>
      </c>
      <c r="H982" s="108">
        <v>0</v>
      </c>
      <c r="I982" s="108">
        <v>0</v>
      </c>
      <c r="J982" s="108">
        <v>0</v>
      </c>
      <c r="K982" s="108">
        <v>1</v>
      </c>
      <c r="L982" s="108">
        <v>1</v>
      </c>
      <c r="M982" s="134">
        <v>0</v>
      </c>
      <c r="N982" s="134">
        <v>29</v>
      </c>
      <c r="O982" s="134">
        <v>150000</v>
      </c>
      <c r="P982" s="133">
        <v>0</v>
      </c>
      <c r="Q982" s="133">
        <v>0</v>
      </c>
      <c r="R982" s="133">
        <v>1</v>
      </c>
      <c r="S982" s="133">
        <v>1</v>
      </c>
    </row>
    <row r="983" spans="1:19">
      <c r="A983" s="85" t="s">
        <v>277</v>
      </c>
      <c r="B983" s="85">
        <v>7</v>
      </c>
      <c r="C983" s="85">
        <v>1</v>
      </c>
      <c r="D983" s="108">
        <v>100</v>
      </c>
      <c r="E983" s="108">
        <v>0</v>
      </c>
      <c r="F983" s="108">
        <v>0</v>
      </c>
      <c r="G983" s="108">
        <v>100</v>
      </c>
      <c r="H983" s="108">
        <v>100</v>
      </c>
      <c r="I983" s="108">
        <v>0</v>
      </c>
      <c r="J983" s="108">
        <v>1</v>
      </c>
      <c r="K983" s="108">
        <v>1</v>
      </c>
      <c r="L983" s="108">
        <v>1</v>
      </c>
      <c r="M983" s="134">
        <v>0</v>
      </c>
      <c r="N983" s="134">
        <v>29</v>
      </c>
      <c r="O983" s="134">
        <v>150000</v>
      </c>
      <c r="P983" s="133">
        <v>0</v>
      </c>
      <c r="Q983" s="133">
        <v>0</v>
      </c>
      <c r="R983" s="133">
        <v>1</v>
      </c>
      <c r="S983" s="133">
        <v>1</v>
      </c>
    </row>
    <row r="984" spans="1:19">
      <c r="A984" s="85" t="s">
        <v>278</v>
      </c>
      <c r="B984" s="85">
        <v>1</v>
      </c>
      <c r="C984" s="85">
        <v>1</v>
      </c>
      <c r="D984" s="108">
        <v>86.391973504773034</v>
      </c>
      <c r="E984" s="108">
        <v>98.548607052405998</v>
      </c>
      <c r="F984" s="108">
        <v>100</v>
      </c>
      <c r="G984" s="108">
        <v>4.2080654587960282</v>
      </c>
      <c r="H984" s="108">
        <v>6.3413208649912347</v>
      </c>
      <c r="I984" s="108">
        <v>1</v>
      </c>
      <c r="J984" s="108">
        <v>0</v>
      </c>
      <c r="K984" s="108">
        <v>1</v>
      </c>
      <c r="L984" s="108">
        <v>1</v>
      </c>
      <c r="M984" s="134">
        <v>0</v>
      </c>
      <c r="N984" s="134">
        <v>66</v>
      </c>
      <c r="O984" s="134">
        <v>25000</v>
      </c>
      <c r="P984" s="133">
        <v>0</v>
      </c>
      <c r="Q984" s="133">
        <v>0</v>
      </c>
      <c r="R984" s="133">
        <v>1</v>
      </c>
      <c r="S984" s="133">
        <v>0</v>
      </c>
    </row>
    <row r="985" spans="1:19">
      <c r="A985" s="85" t="s">
        <v>278</v>
      </c>
      <c r="B985" s="85">
        <v>2</v>
      </c>
      <c r="C985" s="85">
        <v>1</v>
      </c>
      <c r="D985" s="108">
        <v>15.09869264291207</v>
      </c>
      <c r="E985" s="108">
        <v>30.287105870289668</v>
      </c>
      <c r="F985" s="108">
        <v>50</v>
      </c>
      <c r="G985" s="108">
        <v>92.117405793386311</v>
      </c>
      <c r="H985" s="108">
        <v>21.135606254806461</v>
      </c>
      <c r="I985" s="108">
        <v>0</v>
      </c>
      <c r="J985" s="108">
        <v>0</v>
      </c>
      <c r="K985" s="108">
        <v>0</v>
      </c>
      <c r="L985" s="108">
        <v>1</v>
      </c>
      <c r="M985" s="134">
        <v>0</v>
      </c>
      <c r="N985" s="134">
        <v>66</v>
      </c>
      <c r="O985" s="134">
        <v>25000</v>
      </c>
      <c r="P985" s="133">
        <v>0</v>
      </c>
      <c r="Q985" s="133">
        <v>0</v>
      </c>
      <c r="R985" s="133">
        <v>1</v>
      </c>
      <c r="S985" s="133">
        <v>0</v>
      </c>
    </row>
    <row r="986" spans="1:19">
      <c r="A986" s="85" t="s">
        <v>278</v>
      </c>
      <c r="B986" s="85">
        <v>3</v>
      </c>
      <c r="C986" s="85">
        <v>1</v>
      </c>
      <c r="D986" s="108">
        <v>6.421430402460909</v>
      </c>
      <c r="E986" s="108">
        <v>10.85619072032812</v>
      </c>
      <c r="F986" s="108">
        <v>6.4086131761086911</v>
      </c>
      <c r="G986" s="108">
        <v>84.67059728274802</v>
      </c>
      <c r="H986" s="108">
        <v>92.963342732632654</v>
      </c>
      <c r="I986" s="108">
        <v>0</v>
      </c>
      <c r="J986" s="108">
        <v>0</v>
      </c>
      <c r="K986" s="108">
        <v>0</v>
      </c>
      <c r="L986" s="108">
        <v>1</v>
      </c>
      <c r="M986" s="134">
        <v>0</v>
      </c>
      <c r="N986" s="134">
        <v>66</v>
      </c>
      <c r="O986" s="134">
        <v>25000</v>
      </c>
      <c r="P986" s="133">
        <v>0</v>
      </c>
      <c r="Q986" s="133">
        <v>0</v>
      </c>
      <c r="R986" s="133">
        <v>1</v>
      </c>
      <c r="S986" s="133">
        <v>0</v>
      </c>
    </row>
    <row r="987" spans="1:19">
      <c r="A987" s="85" t="s">
        <v>278</v>
      </c>
      <c r="B987" s="85">
        <v>6</v>
      </c>
      <c r="C987" s="85">
        <v>1</v>
      </c>
      <c r="D987" s="108">
        <v>17.277621122789029</v>
      </c>
      <c r="E987" s="108">
        <v>13.00948474750064</v>
      </c>
      <c r="F987" s="108">
        <v>94.693668290182003</v>
      </c>
      <c r="G987" s="108">
        <v>10.023071007433989</v>
      </c>
      <c r="H987" s="108">
        <v>8.1004870546013859</v>
      </c>
      <c r="I987" s="108">
        <v>0</v>
      </c>
      <c r="J987" s="108">
        <v>0</v>
      </c>
      <c r="K987" s="108">
        <v>0</v>
      </c>
      <c r="L987" s="108">
        <v>1</v>
      </c>
      <c r="M987" s="134">
        <v>0</v>
      </c>
      <c r="N987" s="134">
        <v>66</v>
      </c>
      <c r="O987" s="134">
        <v>25000</v>
      </c>
      <c r="P987" s="133">
        <v>0</v>
      </c>
      <c r="Q987" s="133">
        <v>0</v>
      </c>
      <c r="R987" s="133">
        <v>1</v>
      </c>
      <c r="S987" s="133">
        <v>0</v>
      </c>
    </row>
    <row r="988" spans="1:19">
      <c r="A988" s="85" t="s">
        <v>278</v>
      </c>
      <c r="B988" s="85">
        <v>7</v>
      </c>
      <c r="C988" s="85">
        <v>1</v>
      </c>
      <c r="D988" s="108">
        <v>5.1268905408869534</v>
      </c>
      <c r="E988" s="108">
        <v>10.45885670340938</v>
      </c>
      <c r="F988" s="108">
        <v>3.2171238144065639</v>
      </c>
      <c r="G988" s="108">
        <v>94.873109459113053</v>
      </c>
      <c r="H988" s="108">
        <v>82.953088951550896</v>
      </c>
      <c r="I988" s="108">
        <v>0</v>
      </c>
      <c r="J988" s="108">
        <v>1</v>
      </c>
      <c r="K988" s="108">
        <v>0</v>
      </c>
      <c r="L988" s="108">
        <v>1</v>
      </c>
      <c r="M988" s="134">
        <v>0</v>
      </c>
      <c r="N988" s="134">
        <v>66</v>
      </c>
      <c r="O988" s="134">
        <v>25000</v>
      </c>
      <c r="P988" s="133">
        <v>0</v>
      </c>
      <c r="Q988" s="133">
        <v>0</v>
      </c>
      <c r="R988" s="133">
        <v>1</v>
      </c>
      <c r="S988" s="133">
        <v>0</v>
      </c>
    </row>
    <row r="989" spans="1:19">
      <c r="A989" s="85" t="s">
        <v>279</v>
      </c>
      <c r="B989" s="85">
        <v>1</v>
      </c>
      <c r="C989" s="85">
        <v>1</v>
      </c>
      <c r="D989" s="108">
        <v>76.039625517091224</v>
      </c>
      <c r="E989" s="108">
        <v>50</v>
      </c>
      <c r="F989" s="108">
        <v>2.038606403013183</v>
      </c>
      <c r="G989" s="108">
        <v>0.90866290018832285</v>
      </c>
      <c r="H989" s="108">
        <v>67.74439364249946</v>
      </c>
      <c r="I989" s="108">
        <v>1</v>
      </c>
      <c r="J989" s="108">
        <v>0</v>
      </c>
      <c r="K989" s="108">
        <v>1</v>
      </c>
      <c r="L989" s="108">
        <v>1</v>
      </c>
      <c r="M989" s="134">
        <v>0</v>
      </c>
      <c r="N989" s="134">
        <v>73</v>
      </c>
      <c r="O989" s="134">
        <v>30000</v>
      </c>
      <c r="P989" s="133">
        <v>0</v>
      </c>
      <c r="Q989" s="133">
        <v>0</v>
      </c>
      <c r="R989" s="133">
        <v>0</v>
      </c>
      <c r="S989" s="133">
        <v>0</v>
      </c>
    </row>
    <row r="990" spans="1:19">
      <c r="A990" s="85" t="s">
        <v>279</v>
      </c>
      <c r="B990" s="85">
        <v>3</v>
      </c>
      <c r="C990" s="85">
        <v>1</v>
      </c>
      <c r="D990" s="108">
        <v>21.086435880688001</v>
      </c>
      <c r="E990" s="108">
        <v>50</v>
      </c>
      <c r="F990" s="108">
        <v>50</v>
      </c>
      <c r="G990" s="108">
        <v>38.31918136294361</v>
      </c>
      <c r="H990" s="108">
        <v>9.6124537339429548</v>
      </c>
      <c r="I990" s="108">
        <v>0</v>
      </c>
      <c r="J990" s="108">
        <v>0</v>
      </c>
      <c r="K990" s="108">
        <v>0</v>
      </c>
      <c r="L990" s="108">
        <v>1</v>
      </c>
      <c r="M990" s="134">
        <v>0</v>
      </c>
      <c r="N990" s="134">
        <v>73</v>
      </c>
      <c r="O990" s="134">
        <v>30000</v>
      </c>
      <c r="P990" s="133">
        <v>0</v>
      </c>
      <c r="Q990" s="133">
        <v>0</v>
      </c>
      <c r="R990" s="133">
        <v>0</v>
      </c>
      <c r="S990" s="133">
        <v>0</v>
      </c>
    </row>
    <row r="991" spans="1:19">
      <c r="A991" s="85" t="s">
        <v>279</v>
      </c>
      <c r="B991" s="85">
        <v>4</v>
      </c>
      <c r="C991" s="85">
        <v>1</v>
      </c>
      <c r="D991" s="108">
        <v>11.06030916612236</v>
      </c>
      <c r="E991" s="108">
        <v>43.555410407141302</v>
      </c>
      <c r="F991" s="108">
        <v>28.489005007620289</v>
      </c>
      <c r="G991" s="108">
        <v>12.12715001088613</v>
      </c>
      <c r="H991" s="108">
        <v>13.41171347703026</v>
      </c>
      <c r="I991" s="108">
        <v>0</v>
      </c>
      <c r="J991" s="108">
        <v>0</v>
      </c>
      <c r="K991" s="108">
        <v>0</v>
      </c>
      <c r="L991" s="108">
        <v>1</v>
      </c>
      <c r="M991" s="134">
        <v>0</v>
      </c>
      <c r="N991" s="134">
        <v>73</v>
      </c>
      <c r="O991" s="134">
        <v>30000</v>
      </c>
      <c r="P991" s="133">
        <v>0</v>
      </c>
      <c r="Q991" s="133">
        <v>0</v>
      </c>
      <c r="R991" s="133">
        <v>0</v>
      </c>
      <c r="S991" s="133">
        <v>0</v>
      </c>
    </row>
    <row r="992" spans="1:19">
      <c r="A992" s="85" t="s">
        <v>279</v>
      </c>
      <c r="B992" s="85">
        <v>6</v>
      </c>
      <c r="C992" s="85">
        <v>1</v>
      </c>
      <c r="D992" s="108">
        <v>2.1772262138036739E-2</v>
      </c>
      <c r="E992" s="108">
        <v>50</v>
      </c>
      <c r="F992" s="108">
        <v>93.729588504245598</v>
      </c>
      <c r="G992" s="108">
        <v>2.1772262138036739E-2</v>
      </c>
      <c r="H992" s="108">
        <v>5.1491399956455464</v>
      </c>
      <c r="I992" s="108">
        <v>0</v>
      </c>
      <c r="J992" s="108">
        <v>0</v>
      </c>
      <c r="K992" s="108">
        <v>0</v>
      </c>
      <c r="L992" s="108">
        <v>1</v>
      </c>
      <c r="M992" s="134">
        <v>0</v>
      </c>
      <c r="N992" s="134">
        <v>73</v>
      </c>
      <c r="O992" s="134">
        <v>30000</v>
      </c>
      <c r="P992" s="133">
        <v>0</v>
      </c>
      <c r="Q992" s="133">
        <v>0</v>
      </c>
      <c r="R992" s="133">
        <v>0</v>
      </c>
      <c r="S992" s="133">
        <v>0</v>
      </c>
    </row>
    <row r="993" spans="1:19">
      <c r="A993" s="85" t="s">
        <v>280</v>
      </c>
      <c r="B993" s="85">
        <v>2</v>
      </c>
      <c r="C993" s="85">
        <v>1</v>
      </c>
      <c r="D993" s="108">
        <v>95.777812209482491</v>
      </c>
      <c r="E993" s="108">
        <v>95.622869538270834</v>
      </c>
      <c r="F993" s="108">
        <v>92.725441586612959</v>
      </c>
      <c r="G993" s="108">
        <v>12.511620700340879</v>
      </c>
      <c r="H993" s="108">
        <v>9.5986984815618239</v>
      </c>
      <c r="I993" s="108">
        <v>0</v>
      </c>
      <c r="J993" s="108">
        <v>0</v>
      </c>
      <c r="K993" s="108">
        <v>1</v>
      </c>
      <c r="L993" s="108">
        <v>1</v>
      </c>
      <c r="M993" s="134">
        <v>0</v>
      </c>
      <c r="N993" s="134">
        <v>23</v>
      </c>
      <c r="O993" s="134">
        <v>-99</v>
      </c>
      <c r="P993" s="133">
        <v>0</v>
      </c>
      <c r="Q993" s="133">
        <v>0</v>
      </c>
      <c r="R993" s="133">
        <v>1</v>
      </c>
      <c r="S993" s="133">
        <v>0</v>
      </c>
    </row>
    <row r="994" spans="1:19">
      <c r="A994" s="85" t="s">
        <v>280</v>
      </c>
      <c r="B994" s="85">
        <v>3</v>
      </c>
      <c r="C994" s="85">
        <v>1</v>
      </c>
      <c r="D994" s="108">
        <v>97.3737217229625</v>
      </c>
      <c r="E994" s="108">
        <v>97.427951657886581</v>
      </c>
      <c r="F994" s="108">
        <v>95.351719863650459</v>
      </c>
      <c r="G994" s="108">
        <v>9.3662844747443472</v>
      </c>
      <c r="H994" s="108">
        <v>4.5553145336225622</v>
      </c>
      <c r="I994" s="108">
        <v>0</v>
      </c>
      <c r="J994" s="108">
        <v>0</v>
      </c>
      <c r="K994" s="108">
        <v>1</v>
      </c>
      <c r="L994" s="108">
        <v>1</v>
      </c>
      <c r="M994" s="134">
        <v>0</v>
      </c>
      <c r="N994" s="134">
        <v>23</v>
      </c>
      <c r="O994" s="134">
        <v>-99</v>
      </c>
      <c r="P994" s="133">
        <v>0</v>
      </c>
      <c r="Q994" s="133">
        <v>0</v>
      </c>
      <c r="R994" s="133">
        <v>1</v>
      </c>
      <c r="S994" s="133">
        <v>0</v>
      </c>
    </row>
    <row r="995" spans="1:19">
      <c r="A995" s="85" t="s">
        <v>280</v>
      </c>
      <c r="B995" s="85">
        <v>4</v>
      </c>
      <c r="C995" s="85">
        <v>1</v>
      </c>
      <c r="D995" s="108">
        <v>92.004958165478783</v>
      </c>
      <c r="E995" s="108">
        <v>8.6303067864890011</v>
      </c>
      <c r="F995" s="108">
        <v>86.450263402541054</v>
      </c>
      <c r="G995" s="108">
        <v>30.918810040285091</v>
      </c>
      <c r="H995" s="108">
        <v>91.911992562751777</v>
      </c>
      <c r="I995" s="108">
        <v>0</v>
      </c>
      <c r="J995" s="108">
        <v>0</v>
      </c>
      <c r="K995" s="108">
        <v>1</v>
      </c>
      <c r="L995" s="108">
        <v>1</v>
      </c>
      <c r="M995" s="134">
        <v>0</v>
      </c>
      <c r="N995" s="134">
        <v>23</v>
      </c>
      <c r="O995" s="134">
        <v>-99</v>
      </c>
      <c r="P995" s="133">
        <v>0</v>
      </c>
      <c r="Q995" s="133">
        <v>0</v>
      </c>
      <c r="R995" s="133">
        <v>1</v>
      </c>
      <c r="S995" s="133">
        <v>0</v>
      </c>
    </row>
    <row r="996" spans="1:19">
      <c r="A996" s="85" t="s">
        <v>280</v>
      </c>
      <c r="B996" s="85">
        <v>5</v>
      </c>
      <c r="C996" s="85">
        <v>1</v>
      </c>
      <c r="D996" s="108">
        <v>95.096064456151225</v>
      </c>
      <c r="E996" s="108">
        <v>97.451193058568336</v>
      </c>
      <c r="F996" s="108">
        <v>88.47226526185311</v>
      </c>
      <c r="G996" s="108">
        <v>15.85063526495197</v>
      </c>
      <c r="H996" s="108">
        <v>4.214440656956925</v>
      </c>
      <c r="I996" s="108">
        <v>0</v>
      </c>
      <c r="J996" s="108">
        <v>0</v>
      </c>
      <c r="K996" s="108">
        <v>1</v>
      </c>
      <c r="L996" s="108">
        <v>1</v>
      </c>
      <c r="M996" s="134">
        <v>0</v>
      </c>
      <c r="N996" s="134">
        <v>23</v>
      </c>
      <c r="O996" s="134">
        <v>-99</v>
      </c>
      <c r="P996" s="133">
        <v>0</v>
      </c>
      <c r="Q996" s="133">
        <v>0</v>
      </c>
      <c r="R996" s="133">
        <v>1</v>
      </c>
      <c r="S996" s="133">
        <v>0</v>
      </c>
    </row>
    <row r="997" spans="1:19">
      <c r="A997" s="85" t="s">
        <v>280</v>
      </c>
      <c r="B997" s="85">
        <v>6</v>
      </c>
      <c r="C997" s="85">
        <v>1</v>
      </c>
      <c r="D997" s="108">
        <v>17.227615965480041</v>
      </c>
      <c r="E997" s="108">
        <v>29.579288025889969</v>
      </c>
      <c r="F997" s="108">
        <v>50</v>
      </c>
      <c r="G997" s="108">
        <v>84.22869471413162</v>
      </c>
      <c r="H997" s="108">
        <v>79.158576051779932</v>
      </c>
      <c r="I997" s="108">
        <v>0</v>
      </c>
      <c r="J997" s="108">
        <v>0</v>
      </c>
      <c r="K997" s="108">
        <v>0</v>
      </c>
      <c r="L997" s="108">
        <v>1</v>
      </c>
      <c r="M997" s="134">
        <v>0</v>
      </c>
      <c r="N997" s="134">
        <v>23</v>
      </c>
      <c r="O997" s="134">
        <v>-99</v>
      </c>
      <c r="P997" s="133">
        <v>0</v>
      </c>
      <c r="Q997" s="133">
        <v>0</v>
      </c>
      <c r="R997" s="133">
        <v>1</v>
      </c>
      <c r="S997" s="133">
        <v>0</v>
      </c>
    </row>
    <row r="998" spans="1:19">
      <c r="A998" s="85" t="s">
        <v>280</v>
      </c>
      <c r="B998" s="85">
        <v>7</v>
      </c>
      <c r="C998" s="85">
        <v>1</v>
      </c>
      <c r="D998" s="108">
        <v>8.3063646170442258</v>
      </c>
      <c r="E998" s="108">
        <v>0</v>
      </c>
      <c r="F998" s="108">
        <v>10.04314994606257</v>
      </c>
      <c r="G998" s="108">
        <v>91.693635382955776</v>
      </c>
      <c r="H998" s="108">
        <v>3.193096008629992</v>
      </c>
      <c r="I998" s="108">
        <v>0</v>
      </c>
      <c r="J998" s="108">
        <v>1</v>
      </c>
      <c r="K998" s="108">
        <v>0</v>
      </c>
      <c r="L998" s="108">
        <v>1</v>
      </c>
      <c r="M998" s="134">
        <v>0</v>
      </c>
      <c r="N998" s="134">
        <v>23</v>
      </c>
      <c r="O998" s="134">
        <v>-99</v>
      </c>
      <c r="P998" s="133">
        <v>0</v>
      </c>
      <c r="Q998" s="133">
        <v>0</v>
      </c>
      <c r="R998" s="133">
        <v>1</v>
      </c>
      <c r="S998" s="133">
        <v>0</v>
      </c>
    </row>
    <row r="999" spans="1:19">
      <c r="A999" s="85" t="s">
        <v>281</v>
      </c>
      <c r="B999" s="85">
        <v>1</v>
      </c>
      <c r="C999" s="85">
        <v>1</v>
      </c>
      <c r="D999" s="108">
        <v>99.970424265810948</v>
      </c>
      <c r="E999" s="108">
        <v>99.96382367277306</v>
      </c>
      <c r="F999" s="108">
        <v>99.959761769365116</v>
      </c>
      <c r="G999" s="108">
        <v>9.7358747308989857E-2</v>
      </c>
      <c r="H999" s="108">
        <v>0.15651021568707241</v>
      </c>
      <c r="I999" s="108">
        <v>1</v>
      </c>
      <c r="J999" s="108">
        <v>0</v>
      </c>
      <c r="K999" s="108">
        <v>1</v>
      </c>
      <c r="L999" s="108">
        <v>1</v>
      </c>
      <c r="M999" s="134">
        <v>0</v>
      </c>
      <c r="N999" s="134">
        <v>31</v>
      </c>
      <c r="O999" s="134">
        <v>75000</v>
      </c>
      <c r="P999" s="133">
        <v>0</v>
      </c>
      <c r="Q999" s="133">
        <v>0</v>
      </c>
      <c r="R999" s="133">
        <v>1</v>
      </c>
      <c r="S999" s="133">
        <v>0</v>
      </c>
    </row>
    <row r="1000" spans="1:19">
      <c r="A1000" s="85" t="s">
        <v>281</v>
      </c>
      <c r="B1000" s="85">
        <v>2</v>
      </c>
      <c r="C1000" s="85">
        <v>1</v>
      </c>
      <c r="D1000" s="108">
        <v>4.6584954709777422E-2</v>
      </c>
      <c r="E1000" s="108">
        <v>50</v>
      </c>
      <c r="F1000" s="108">
        <v>4.6584954709777422E-2</v>
      </c>
      <c r="G1000" s="108">
        <v>99.933994069621022</v>
      </c>
      <c r="H1000" s="108">
        <v>32.333485401459853</v>
      </c>
      <c r="I1000" s="108">
        <v>0</v>
      </c>
      <c r="J1000" s="108">
        <v>0</v>
      </c>
      <c r="K1000" s="108">
        <v>0</v>
      </c>
      <c r="L1000" s="108">
        <v>1</v>
      </c>
      <c r="M1000" s="134">
        <v>0</v>
      </c>
      <c r="N1000" s="134">
        <v>31</v>
      </c>
      <c r="O1000" s="134">
        <v>75000</v>
      </c>
      <c r="P1000" s="133">
        <v>0</v>
      </c>
      <c r="Q1000" s="133">
        <v>0</v>
      </c>
      <c r="R1000" s="133">
        <v>1</v>
      </c>
      <c r="S1000" s="133">
        <v>0</v>
      </c>
    </row>
    <row r="1001" spans="1:19">
      <c r="A1001" s="85" t="s">
        <v>281</v>
      </c>
      <c r="B1001" s="85">
        <v>3</v>
      </c>
      <c r="C1001" s="85">
        <v>1</v>
      </c>
      <c r="D1001" s="108">
        <v>12.557025547445249</v>
      </c>
      <c r="E1001" s="108">
        <v>97.53649635036497</v>
      </c>
      <c r="F1001" s="108">
        <v>7.0369525547445244</v>
      </c>
      <c r="G1001" s="108">
        <v>8.1774635036496353</v>
      </c>
      <c r="H1001" s="108">
        <v>5.5200729927007313</v>
      </c>
      <c r="I1001" s="108">
        <v>0</v>
      </c>
      <c r="J1001" s="108">
        <v>0</v>
      </c>
      <c r="K1001" s="108">
        <v>0</v>
      </c>
      <c r="L1001" s="108">
        <v>1</v>
      </c>
      <c r="M1001" s="134">
        <v>0</v>
      </c>
      <c r="N1001" s="134">
        <v>31</v>
      </c>
      <c r="O1001" s="134">
        <v>75000</v>
      </c>
      <c r="P1001" s="133">
        <v>0</v>
      </c>
      <c r="Q1001" s="133">
        <v>0</v>
      </c>
      <c r="R1001" s="133">
        <v>1</v>
      </c>
      <c r="S1001" s="133">
        <v>0</v>
      </c>
    </row>
    <row r="1002" spans="1:19">
      <c r="A1002" s="85" t="s">
        <v>281</v>
      </c>
      <c r="B1002" s="85">
        <v>4</v>
      </c>
      <c r="C1002" s="85">
        <v>1</v>
      </c>
      <c r="D1002" s="108">
        <v>99.612226277372258</v>
      </c>
      <c r="E1002" s="108">
        <v>96.384580291970806</v>
      </c>
      <c r="F1002" s="108">
        <v>100</v>
      </c>
      <c r="G1002" s="108">
        <v>3.0679744525547452</v>
      </c>
      <c r="H1002" s="108">
        <v>99.612226277372258</v>
      </c>
      <c r="I1002" s="108">
        <v>0</v>
      </c>
      <c r="J1002" s="108">
        <v>0</v>
      </c>
      <c r="K1002" s="108">
        <v>1</v>
      </c>
      <c r="L1002" s="108">
        <v>1</v>
      </c>
      <c r="M1002" s="134">
        <v>0</v>
      </c>
      <c r="N1002" s="134">
        <v>31</v>
      </c>
      <c r="O1002" s="134">
        <v>75000</v>
      </c>
      <c r="P1002" s="133">
        <v>0</v>
      </c>
      <c r="Q1002" s="133">
        <v>0</v>
      </c>
      <c r="R1002" s="133">
        <v>1</v>
      </c>
      <c r="S1002" s="133">
        <v>0</v>
      </c>
    </row>
    <row r="1003" spans="1:19">
      <c r="A1003" s="85" t="s">
        <v>281</v>
      </c>
      <c r="B1003" s="85">
        <v>6</v>
      </c>
      <c r="C1003" s="85">
        <v>1</v>
      </c>
      <c r="D1003" s="108">
        <v>97.182937956204384</v>
      </c>
      <c r="E1003" s="108">
        <v>97.137317518248167</v>
      </c>
      <c r="F1003" s="108">
        <v>9.5004562043795602</v>
      </c>
      <c r="G1003" s="108">
        <v>17.529653284671529</v>
      </c>
      <c r="H1003" s="108">
        <v>5.2919708029197103</v>
      </c>
      <c r="I1003" s="108">
        <v>0</v>
      </c>
      <c r="J1003" s="108">
        <v>0</v>
      </c>
      <c r="K1003" s="108">
        <v>1</v>
      </c>
      <c r="L1003" s="108">
        <v>1</v>
      </c>
      <c r="M1003" s="134">
        <v>0</v>
      </c>
      <c r="N1003" s="134">
        <v>31</v>
      </c>
      <c r="O1003" s="134">
        <v>75000</v>
      </c>
      <c r="P1003" s="133">
        <v>0</v>
      </c>
      <c r="Q1003" s="133">
        <v>0</v>
      </c>
      <c r="R1003" s="133">
        <v>1</v>
      </c>
      <c r="S1003" s="133">
        <v>0</v>
      </c>
    </row>
    <row r="1004" spans="1:19">
      <c r="A1004" s="85" t="s">
        <v>281</v>
      </c>
      <c r="B1004" s="85">
        <v>7</v>
      </c>
      <c r="C1004" s="85">
        <v>1</v>
      </c>
      <c r="D1004" s="108">
        <v>11.78147810218978</v>
      </c>
      <c r="E1004" s="108">
        <v>6.272810218978103</v>
      </c>
      <c r="F1004" s="108">
        <v>44.445711678832119</v>
      </c>
      <c r="G1004" s="108">
        <v>13.67472627737226</v>
      </c>
      <c r="H1004" s="108">
        <v>91.434762773722625</v>
      </c>
      <c r="I1004" s="108">
        <v>0</v>
      </c>
      <c r="J1004" s="108">
        <v>1</v>
      </c>
      <c r="K1004" s="108">
        <v>0</v>
      </c>
      <c r="L1004" s="108">
        <v>1</v>
      </c>
      <c r="M1004" s="134">
        <v>0</v>
      </c>
      <c r="N1004" s="134">
        <v>31</v>
      </c>
      <c r="O1004" s="134">
        <v>75000</v>
      </c>
      <c r="P1004" s="133">
        <v>0</v>
      </c>
      <c r="Q1004" s="133">
        <v>0</v>
      </c>
      <c r="R1004" s="133">
        <v>1</v>
      </c>
      <c r="S1004" s="133">
        <v>0</v>
      </c>
    </row>
    <row r="1005" spans="1:19">
      <c r="A1005" s="85" t="s">
        <v>282</v>
      </c>
      <c r="B1005" s="85">
        <v>1</v>
      </c>
      <c r="C1005" s="85">
        <v>1</v>
      </c>
      <c r="D1005" s="108">
        <v>98.399742930591259</v>
      </c>
      <c r="E1005" s="108">
        <v>95.514138817480728</v>
      </c>
      <c r="F1005" s="108">
        <v>94.76221079691517</v>
      </c>
      <c r="G1005" s="108">
        <v>3.7403598971722349</v>
      </c>
      <c r="H1005" s="108">
        <v>97.011568123393317</v>
      </c>
      <c r="I1005" s="108">
        <v>1</v>
      </c>
      <c r="J1005" s="108">
        <v>0</v>
      </c>
      <c r="K1005" s="108">
        <v>1</v>
      </c>
      <c r="L1005" s="108">
        <v>1</v>
      </c>
      <c r="M1005" s="134">
        <v>0</v>
      </c>
      <c r="N1005" s="134">
        <v>36</v>
      </c>
      <c r="O1005" s="134">
        <v>30000</v>
      </c>
      <c r="P1005" s="133">
        <v>0</v>
      </c>
      <c r="Q1005" s="133">
        <v>0</v>
      </c>
      <c r="R1005" s="133">
        <v>1</v>
      </c>
      <c r="S1005" s="133">
        <v>0</v>
      </c>
    </row>
    <row r="1006" spans="1:19">
      <c r="A1006" s="85" t="s">
        <v>283</v>
      </c>
      <c r="B1006" s="85">
        <v>1</v>
      </c>
      <c r="C1006" s="85">
        <v>1</v>
      </c>
      <c r="D1006" s="108">
        <v>98.707478401727869</v>
      </c>
      <c r="E1006" s="108">
        <v>98.808720302375804</v>
      </c>
      <c r="F1006" s="108">
        <v>95.771463282937361</v>
      </c>
      <c r="G1006" s="108">
        <v>3.7729481641468658</v>
      </c>
      <c r="H1006" s="108">
        <v>4.4917656587472976</v>
      </c>
      <c r="I1006" s="108">
        <v>1</v>
      </c>
      <c r="J1006" s="108">
        <v>0</v>
      </c>
      <c r="K1006" s="108">
        <v>1</v>
      </c>
      <c r="L1006" s="108">
        <v>1</v>
      </c>
      <c r="M1006" s="134">
        <v>1</v>
      </c>
      <c r="N1006" s="134">
        <v>19</v>
      </c>
      <c r="O1006" s="134">
        <v>50000</v>
      </c>
      <c r="P1006" s="133">
        <v>0</v>
      </c>
      <c r="Q1006" s="133">
        <v>0</v>
      </c>
      <c r="R1006" s="133">
        <v>0</v>
      </c>
      <c r="S1006" s="133">
        <v>0</v>
      </c>
    </row>
    <row r="1007" spans="1:19">
      <c r="A1007" s="85" t="s">
        <v>283</v>
      </c>
      <c r="B1007" s="85">
        <v>2</v>
      </c>
      <c r="C1007" s="85">
        <v>1</v>
      </c>
      <c r="D1007" s="108">
        <v>50</v>
      </c>
      <c r="E1007" s="108">
        <v>95.3847942338991</v>
      </c>
      <c r="F1007" s="108">
        <v>97.357586393088553</v>
      </c>
      <c r="G1007" s="108">
        <v>33.933968844454768</v>
      </c>
      <c r="H1007" s="108">
        <v>4.7887419006479472</v>
      </c>
      <c r="I1007" s="108">
        <v>0</v>
      </c>
      <c r="J1007" s="108">
        <v>0</v>
      </c>
      <c r="K1007" s="108">
        <v>1</v>
      </c>
      <c r="L1007" s="108">
        <v>1</v>
      </c>
      <c r="M1007" s="134">
        <v>1</v>
      </c>
      <c r="N1007" s="134">
        <v>19</v>
      </c>
      <c r="O1007" s="134">
        <v>50000</v>
      </c>
      <c r="P1007" s="133">
        <v>0</v>
      </c>
      <c r="Q1007" s="133">
        <v>0</v>
      </c>
      <c r="R1007" s="133">
        <v>0</v>
      </c>
      <c r="S1007" s="133">
        <v>0</v>
      </c>
    </row>
    <row r="1008" spans="1:19">
      <c r="A1008" s="85" t="s">
        <v>283</v>
      </c>
      <c r="B1008" s="85">
        <v>4</v>
      </c>
      <c r="C1008" s="85">
        <v>1</v>
      </c>
      <c r="D1008" s="108">
        <v>4.1734480353406216</v>
      </c>
      <c r="E1008" s="108">
        <v>4.1734480353406216</v>
      </c>
      <c r="F1008" s="108">
        <v>2.534294350151129</v>
      </c>
      <c r="G1008" s="108">
        <v>89.118809579167632</v>
      </c>
      <c r="H1008" s="108">
        <v>0.52313415484770975</v>
      </c>
      <c r="I1008" s="108">
        <v>0</v>
      </c>
      <c r="J1008" s="108">
        <v>0</v>
      </c>
      <c r="K1008" s="108">
        <v>0</v>
      </c>
      <c r="L1008" s="108">
        <v>1</v>
      </c>
      <c r="M1008" s="134">
        <v>1</v>
      </c>
      <c r="N1008" s="134">
        <v>19</v>
      </c>
      <c r="O1008" s="134">
        <v>50000</v>
      </c>
      <c r="P1008" s="133">
        <v>0</v>
      </c>
      <c r="Q1008" s="133">
        <v>0</v>
      </c>
      <c r="R1008" s="133">
        <v>0</v>
      </c>
      <c r="S1008" s="133">
        <v>0</v>
      </c>
    </row>
    <row r="1009" spans="1:19">
      <c r="A1009" s="85" t="s">
        <v>283</v>
      </c>
      <c r="B1009" s="85">
        <v>6</v>
      </c>
      <c r="C1009" s="85">
        <v>1</v>
      </c>
      <c r="D1009" s="108">
        <v>59.288537549407117</v>
      </c>
      <c r="E1009" s="108">
        <v>50</v>
      </c>
      <c r="F1009" s="108">
        <v>7.5680074401302031</v>
      </c>
      <c r="G1009" s="108">
        <v>50</v>
      </c>
      <c r="H1009" s="108">
        <v>12.369216461288071</v>
      </c>
      <c r="I1009" s="108">
        <v>0</v>
      </c>
      <c r="J1009" s="108">
        <v>0</v>
      </c>
      <c r="K1009" s="108">
        <v>1</v>
      </c>
      <c r="L1009" s="108">
        <v>1</v>
      </c>
      <c r="M1009" s="134">
        <v>1</v>
      </c>
      <c r="N1009" s="134">
        <v>19</v>
      </c>
      <c r="O1009" s="134">
        <v>50000</v>
      </c>
      <c r="P1009" s="133">
        <v>0</v>
      </c>
      <c r="Q1009" s="133">
        <v>0</v>
      </c>
      <c r="R1009" s="133">
        <v>0</v>
      </c>
      <c r="S1009" s="133">
        <v>0</v>
      </c>
    </row>
    <row r="1010" spans="1:19">
      <c r="A1010" s="85" t="s">
        <v>283</v>
      </c>
      <c r="B1010" s="85">
        <v>7</v>
      </c>
      <c r="C1010" s="85">
        <v>1</v>
      </c>
      <c r="D1010" s="108">
        <v>13.75261567077424</v>
      </c>
      <c r="E1010" s="108">
        <v>93.106254359451285</v>
      </c>
      <c r="F1010" s="108">
        <v>7.1727505231341526</v>
      </c>
      <c r="G1010" s="108">
        <v>16.519414089746569</v>
      </c>
      <c r="H1010" s="108">
        <v>8.1492676121832144</v>
      </c>
      <c r="I1010" s="108">
        <v>0</v>
      </c>
      <c r="J1010" s="108">
        <v>1</v>
      </c>
      <c r="K1010" s="108">
        <v>0</v>
      </c>
      <c r="L1010" s="108">
        <v>1</v>
      </c>
      <c r="M1010" s="134">
        <v>1</v>
      </c>
      <c r="N1010" s="134">
        <v>19</v>
      </c>
      <c r="O1010" s="134">
        <v>50000</v>
      </c>
      <c r="P1010" s="133">
        <v>0</v>
      </c>
      <c r="Q1010" s="133">
        <v>0</v>
      </c>
      <c r="R1010" s="133">
        <v>0</v>
      </c>
      <c r="S1010" s="133">
        <v>0</v>
      </c>
    </row>
    <row r="1011" spans="1:19">
      <c r="A1011" s="85" t="s">
        <v>284</v>
      </c>
      <c r="B1011" s="85">
        <v>1</v>
      </c>
      <c r="C1011" s="85">
        <v>1</v>
      </c>
      <c r="D1011" s="108">
        <v>69.423558897243112</v>
      </c>
      <c r="E1011" s="108">
        <v>7.4416811258916526</v>
      </c>
      <c r="F1011" s="108">
        <v>0.32774243300558997</v>
      </c>
      <c r="G1011" s="108">
        <v>30.576441102756888</v>
      </c>
      <c r="H1011" s="108">
        <v>0.89647194910352779</v>
      </c>
      <c r="I1011" s="108">
        <v>1</v>
      </c>
      <c r="J1011" s="108">
        <v>0</v>
      </c>
      <c r="K1011" s="108">
        <v>1</v>
      </c>
      <c r="L1011" s="108">
        <v>1</v>
      </c>
      <c r="M1011" s="134">
        <v>1</v>
      </c>
      <c r="N1011" s="134">
        <v>43</v>
      </c>
      <c r="O1011" s="134">
        <v>35000</v>
      </c>
      <c r="P1011" s="133">
        <v>0</v>
      </c>
      <c r="Q1011" s="133">
        <v>0</v>
      </c>
      <c r="R1011" s="133">
        <v>1</v>
      </c>
      <c r="S1011" s="133">
        <v>0</v>
      </c>
    </row>
    <row r="1012" spans="1:19">
      <c r="A1012" s="85" t="s">
        <v>284</v>
      </c>
      <c r="B1012" s="85">
        <v>4</v>
      </c>
      <c r="C1012" s="85">
        <v>1</v>
      </c>
      <c r="D1012" s="108">
        <v>98.370927318295742</v>
      </c>
      <c r="E1012" s="108">
        <v>0.50125313283208017</v>
      </c>
      <c r="F1012" s="108">
        <v>1.0507036822826279</v>
      </c>
      <c r="G1012" s="108">
        <v>81.656063235010606</v>
      </c>
      <c r="H1012" s="108">
        <v>1.503759398496241</v>
      </c>
      <c r="I1012" s="108">
        <v>0</v>
      </c>
      <c r="J1012" s="108">
        <v>0</v>
      </c>
      <c r="K1012" s="108">
        <v>1</v>
      </c>
      <c r="L1012" s="108">
        <v>1</v>
      </c>
      <c r="M1012" s="134">
        <v>1</v>
      </c>
      <c r="N1012" s="134">
        <v>43</v>
      </c>
      <c r="O1012" s="134">
        <v>35000</v>
      </c>
      <c r="P1012" s="133">
        <v>0</v>
      </c>
      <c r="Q1012" s="133">
        <v>0</v>
      </c>
      <c r="R1012" s="133">
        <v>1</v>
      </c>
      <c r="S1012" s="133">
        <v>0</v>
      </c>
    </row>
    <row r="1013" spans="1:19">
      <c r="A1013" s="85" t="s">
        <v>284</v>
      </c>
      <c r="B1013" s="85">
        <v>7</v>
      </c>
      <c r="C1013" s="85">
        <v>1</v>
      </c>
      <c r="D1013" s="108">
        <v>50</v>
      </c>
      <c r="E1013" s="108">
        <v>66.571239815018714</v>
      </c>
      <c r="F1013" s="108">
        <v>8.8636864126844301</v>
      </c>
      <c r="G1013" s="108">
        <v>88.218454085003302</v>
      </c>
      <c r="H1013" s="108">
        <v>8.6654921823386903</v>
      </c>
      <c r="I1013" s="108">
        <v>0</v>
      </c>
      <c r="J1013" s="108">
        <v>1</v>
      </c>
      <c r="K1013" s="108">
        <v>0</v>
      </c>
      <c r="L1013" s="108">
        <v>1</v>
      </c>
      <c r="M1013" s="134">
        <v>1</v>
      </c>
      <c r="N1013" s="134">
        <v>43</v>
      </c>
      <c r="O1013" s="134">
        <v>35000</v>
      </c>
      <c r="P1013" s="133">
        <v>0</v>
      </c>
      <c r="Q1013" s="133">
        <v>0</v>
      </c>
      <c r="R1013" s="133">
        <v>1</v>
      </c>
      <c r="S1013" s="133">
        <v>0</v>
      </c>
    </row>
    <row r="1014" spans="1:19">
      <c r="A1014" s="85" t="s">
        <v>285</v>
      </c>
      <c r="B1014" s="85">
        <v>1</v>
      </c>
      <c r="C1014" s="85">
        <v>1</v>
      </c>
      <c r="D1014" s="108">
        <v>100</v>
      </c>
      <c r="E1014" s="108">
        <v>100</v>
      </c>
      <c r="F1014" s="108">
        <v>0</v>
      </c>
      <c r="G1014" s="108">
        <v>0</v>
      </c>
      <c r="H1014" s="108">
        <v>0</v>
      </c>
      <c r="I1014" s="108">
        <v>1</v>
      </c>
      <c r="J1014" s="108">
        <v>0</v>
      </c>
      <c r="K1014" s="108">
        <v>1</v>
      </c>
      <c r="L1014" s="108">
        <v>1</v>
      </c>
      <c r="M1014" s="134">
        <v>1</v>
      </c>
      <c r="N1014" s="134">
        <v>40</v>
      </c>
      <c r="O1014" s="134">
        <v>120000</v>
      </c>
      <c r="P1014" s="133">
        <v>0</v>
      </c>
      <c r="Q1014" s="133">
        <v>0</v>
      </c>
      <c r="R1014" s="133">
        <v>1</v>
      </c>
      <c r="S1014" s="133">
        <v>1</v>
      </c>
    </row>
    <row r="1015" spans="1:19">
      <c r="A1015" s="85" t="s">
        <v>285</v>
      </c>
      <c r="B1015" s="85">
        <v>2</v>
      </c>
      <c r="C1015" s="85">
        <v>1</v>
      </c>
      <c r="D1015" s="108">
        <v>100</v>
      </c>
      <c r="E1015" s="108">
        <v>0.35765379113018581</v>
      </c>
      <c r="F1015" s="108">
        <v>100</v>
      </c>
      <c r="G1015" s="108">
        <v>100</v>
      </c>
      <c r="H1015" s="108">
        <v>100</v>
      </c>
      <c r="I1015" s="108">
        <v>0</v>
      </c>
      <c r="J1015" s="108">
        <v>0</v>
      </c>
      <c r="K1015" s="108">
        <v>1</v>
      </c>
      <c r="L1015" s="108">
        <v>1</v>
      </c>
      <c r="M1015" s="134">
        <v>1</v>
      </c>
      <c r="N1015" s="134">
        <v>40</v>
      </c>
      <c r="O1015" s="134">
        <v>120000</v>
      </c>
      <c r="P1015" s="133">
        <v>0</v>
      </c>
      <c r="Q1015" s="133">
        <v>0</v>
      </c>
      <c r="R1015" s="133">
        <v>1</v>
      </c>
      <c r="S1015" s="133">
        <v>1</v>
      </c>
    </row>
    <row r="1016" spans="1:19">
      <c r="A1016" s="85" t="s">
        <v>285</v>
      </c>
      <c r="B1016" s="85">
        <v>3</v>
      </c>
      <c r="C1016" s="85">
        <v>1</v>
      </c>
      <c r="D1016" s="108">
        <v>100</v>
      </c>
      <c r="E1016" s="108">
        <v>100</v>
      </c>
      <c r="F1016" s="108">
        <v>100</v>
      </c>
      <c r="G1016" s="108">
        <v>50</v>
      </c>
      <c r="H1016" s="108">
        <v>100</v>
      </c>
      <c r="I1016" s="108">
        <v>0</v>
      </c>
      <c r="J1016" s="108">
        <v>0</v>
      </c>
      <c r="K1016" s="108">
        <v>1</v>
      </c>
      <c r="L1016" s="108">
        <v>1</v>
      </c>
      <c r="M1016" s="134">
        <v>1</v>
      </c>
      <c r="N1016" s="134">
        <v>40</v>
      </c>
      <c r="O1016" s="134">
        <v>120000</v>
      </c>
      <c r="P1016" s="133">
        <v>0</v>
      </c>
      <c r="Q1016" s="133">
        <v>0</v>
      </c>
      <c r="R1016" s="133">
        <v>1</v>
      </c>
      <c r="S1016" s="133">
        <v>1</v>
      </c>
    </row>
    <row r="1017" spans="1:19">
      <c r="A1017" s="85" t="s">
        <v>285</v>
      </c>
      <c r="B1017" s="85">
        <v>5</v>
      </c>
      <c r="C1017" s="85">
        <v>1</v>
      </c>
      <c r="D1017" s="108">
        <v>0</v>
      </c>
      <c r="E1017" s="108">
        <v>0</v>
      </c>
      <c r="F1017" s="108">
        <v>100</v>
      </c>
      <c r="G1017" s="108">
        <v>100</v>
      </c>
      <c r="H1017" s="108">
        <v>100</v>
      </c>
      <c r="I1017" s="108">
        <v>0</v>
      </c>
      <c r="J1017" s="108">
        <v>0</v>
      </c>
      <c r="K1017" s="108">
        <v>0</v>
      </c>
      <c r="L1017" s="108">
        <v>1</v>
      </c>
      <c r="M1017" s="134">
        <v>1</v>
      </c>
      <c r="N1017" s="134">
        <v>40</v>
      </c>
      <c r="O1017" s="134">
        <v>120000</v>
      </c>
      <c r="P1017" s="133">
        <v>0</v>
      </c>
      <c r="Q1017" s="133">
        <v>0</v>
      </c>
      <c r="R1017" s="133">
        <v>1</v>
      </c>
      <c r="S1017" s="133">
        <v>1</v>
      </c>
    </row>
    <row r="1018" spans="1:19">
      <c r="A1018" s="85" t="s">
        <v>286</v>
      </c>
      <c r="B1018" s="85">
        <v>1</v>
      </c>
      <c r="C1018" s="85">
        <v>1</v>
      </c>
      <c r="D1018" s="108">
        <v>96.603808128890506</v>
      </c>
      <c r="E1018" s="108">
        <v>92.475283778835589</v>
      </c>
      <c r="F1018" s="108">
        <v>2.3343097766385941</v>
      </c>
      <c r="G1018" s="108">
        <v>6.5269132186012433</v>
      </c>
      <c r="H1018" s="108">
        <v>1.876601977297693</v>
      </c>
      <c r="I1018" s="108">
        <v>1</v>
      </c>
      <c r="J1018" s="108">
        <v>0</v>
      </c>
      <c r="K1018" s="108">
        <v>1</v>
      </c>
      <c r="L1018" s="108">
        <v>1</v>
      </c>
      <c r="M1018" s="134">
        <v>1</v>
      </c>
      <c r="N1018" s="134">
        <v>49</v>
      </c>
      <c r="O1018" s="134">
        <v>50000</v>
      </c>
      <c r="P1018" s="133">
        <v>1</v>
      </c>
      <c r="Q1018" s="133">
        <v>1</v>
      </c>
      <c r="R1018" s="133">
        <v>1</v>
      </c>
      <c r="S1018" s="133">
        <v>1</v>
      </c>
    </row>
    <row r="1019" spans="1:19">
      <c r="A1019" s="85" t="s">
        <v>286</v>
      </c>
      <c r="B1019" s="85">
        <v>2</v>
      </c>
      <c r="C1019" s="85">
        <v>1</v>
      </c>
      <c r="D1019" s="108">
        <v>96.622116440864161</v>
      </c>
      <c r="E1019" s="108">
        <v>89.921274258513364</v>
      </c>
      <c r="F1019" s="108">
        <v>91.999267667521053</v>
      </c>
      <c r="G1019" s="108">
        <v>5.336872940314902</v>
      </c>
      <c r="H1019" s="108">
        <v>4.7235444891980949</v>
      </c>
      <c r="I1019" s="108">
        <v>0</v>
      </c>
      <c r="J1019" s="108">
        <v>0</v>
      </c>
      <c r="K1019" s="108">
        <v>1</v>
      </c>
      <c r="L1019" s="108">
        <v>1</v>
      </c>
      <c r="M1019" s="134">
        <v>1</v>
      </c>
      <c r="N1019" s="134">
        <v>49</v>
      </c>
      <c r="O1019" s="134">
        <v>50000</v>
      </c>
      <c r="P1019" s="133">
        <v>1</v>
      </c>
      <c r="Q1019" s="133">
        <v>1</v>
      </c>
      <c r="R1019" s="133">
        <v>1</v>
      </c>
      <c r="S1019" s="133">
        <v>1</v>
      </c>
    </row>
    <row r="1020" spans="1:19">
      <c r="A1020" s="85" t="s">
        <v>286</v>
      </c>
      <c r="B1020" s="85">
        <v>3</v>
      </c>
      <c r="C1020" s="85">
        <v>1</v>
      </c>
      <c r="D1020" s="108">
        <v>91.429324894514764</v>
      </c>
      <c r="E1020" s="108">
        <v>50</v>
      </c>
      <c r="F1020" s="108">
        <v>35.838607594936711</v>
      </c>
      <c r="G1020" s="108">
        <v>3.190928270042193</v>
      </c>
      <c r="H1020" s="108">
        <v>11.761603375527431</v>
      </c>
      <c r="I1020" s="108">
        <v>0</v>
      </c>
      <c r="J1020" s="108">
        <v>0</v>
      </c>
      <c r="K1020" s="108">
        <v>1</v>
      </c>
      <c r="L1020" s="108">
        <v>1</v>
      </c>
      <c r="M1020" s="134">
        <v>1</v>
      </c>
      <c r="N1020" s="134">
        <v>49</v>
      </c>
      <c r="O1020" s="134">
        <v>50000</v>
      </c>
      <c r="P1020" s="133">
        <v>1</v>
      </c>
      <c r="Q1020" s="133">
        <v>1</v>
      </c>
      <c r="R1020" s="133">
        <v>1</v>
      </c>
      <c r="S1020" s="133">
        <v>1</v>
      </c>
    </row>
    <row r="1021" spans="1:19">
      <c r="A1021" s="85" t="s">
        <v>286</v>
      </c>
      <c r="B1021" s="85">
        <v>4</v>
      </c>
      <c r="C1021" s="85">
        <v>1</v>
      </c>
      <c r="D1021" s="108">
        <v>8.0828059071729967</v>
      </c>
      <c r="E1021" s="108">
        <v>72.494725738396625</v>
      </c>
      <c r="F1021" s="108">
        <v>2.8085443037974671</v>
      </c>
      <c r="G1021" s="108">
        <v>5.0105485232067482</v>
      </c>
      <c r="H1021" s="108">
        <v>5.6830168776371313</v>
      </c>
      <c r="I1021" s="108">
        <v>0</v>
      </c>
      <c r="J1021" s="108">
        <v>0</v>
      </c>
      <c r="K1021" s="108">
        <v>0</v>
      </c>
      <c r="L1021" s="108">
        <v>1</v>
      </c>
      <c r="M1021" s="134">
        <v>1</v>
      </c>
      <c r="N1021" s="134">
        <v>49</v>
      </c>
      <c r="O1021" s="134">
        <v>50000</v>
      </c>
      <c r="P1021" s="133">
        <v>1</v>
      </c>
      <c r="Q1021" s="133">
        <v>1</v>
      </c>
      <c r="R1021" s="133">
        <v>1</v>
      </c>
      <c r="S1021" s="133">
        <v>1</v>
      </c>
    </row>
    <row r="1022" spans="1:19">
      <c r="A1022" s="85" t="s">
        <v>286</v>
      </c>
      <c r="B1022" s="85">
        <v>5</v>
      </c>
      <c r="C1022" s="85">
        <v>1</v>
      </c>
      <c r="D1022" s="108">
        <v>97.006856540084385</v>
      </c>
      <c r="E1022" s="108">
        <v>96.031118143459921</v>
      </c>
      <c r="F1022" s="108">
        <v>3.085443037974684</v>
      </c>
      <c r="G1022" s="108">
        <v>13.27795358649789</v>
      </c>
      <c r="H1022" s="108">
        <v>0</v>
      </c>
      <c r="I1022" s="108">
        <v>0</v>
      </c>
      <c r="J1022" s="108">
        <v>0</v>
      </c>
      <c r="K1022" s="108">
        <v>1</v>
      </c>
      <c r="L1022" s="108">
        <v>1</v>
      </c>
      <c r="M1022" s="134">
        <v>1</v>
      </c>
      <c r="N1022" s="134">
        <v>49</v>
      </c>
      <c r="O1022" s="134">
        <v>50000</v>
      </c>
      <c r="P1022" s="133">
        <v>1</v>
      </c>
      <c r="Q1022" s="133">
        <v>1</v>
      </c>
      <c r="R1022" s="133">
        <v>1</v>
      </c>
      <c r="S1022" s="133">
        <v>1</v>
      </c>
    </row>
    <row r="1023" spans="1:19">
      <c r="A1023" s="85" t="s">
        <v>286</v>
      </c>
      <c r="B1023" s="85">
        <v>6</v>
      </c>
      <c r="C1023" s="85">
        <v>1</v>
      </c>
      <c r="D1023" s="108">
        <v>20.582805907173</v>
      </c>
      <c r="E1023" s="108">
        <v>92.286392405063282</v>
      </c>
      <c r="F1023" s="108">
        <v>12.27584388185654</v>
      </c>
      <c r="G1023" s="108">
        <v>7.4103375527426181</v>
      </c>
      <c r="H1023" s="108">
        <v>24.498945147679329</v>
      </c>
      <c r="I1023" s="108">
        <v>0</v>
      </c>
      <c r="J1023" s="108">
        <v>0</v>
      </c>
      <c r="K1023" s="108">
        <v>0</v>
      </c>
      <c r="L1023" s="108">
        <v>1</v>
      </c>
      <c r="M1023" s="134">
        <v>1</v>
      </c>
      <c r="N1023" s="134">
        <v>49</v>
      </c>
      <c r="O1023" s="134">
        <v>50000</v>
      </c>
      <c r="P1023" s="133">
        <v>1</v>
      </c>
      <c r="Q1023" s="133">
        <v>1</v>
      </c>
      <c r="R1023" s="133">
        <v>1</v>
      </c>
      <c r="S1023" s="133">
        <v>1</v>
      </c>
    </row>
    <row r="1024" spans="1:19">
      <c r="A1024" s="85" t="s">
        <v>286</v>
      </c>
      <c r="B1024" s="85">
        <v>7</v>
      </c>
      <c r="C1024" s="85">
        <v>1</v>
      </c>
      <c r="D1024" s="108">
        <v>4.3512658227848107</v>
      </c>
      <c r="E1024" s="108">
        <v>7.1993670886075947</v>
      </c>
      <c r="F1024" s="108">
        <v>6.1181434599156148</v>
      </c>
      <c r="G1024" s="108">
        <v>93.39398734177216</v>
      </c>
      <c r="H1024" s="108">
        <v>4.3512658227848107</v>
      </c>
      <c r="I1024" s="108">
        <v>0</v>
      </c>
      <c r="J1024" s="108">
        <v>1</v>
      </c>
      <c r="K1024" s="108">
        <v>0</v>
      </c>
      <c r="L1024" s="108">
        <v>1</v>
      </c>
      <c r="M1024" s="134">
        <v>1</v>
      </c>
      <c r="N1024" s="134">
        <v>49</v>
      </c>
      <c r="O1024" s="134">
        <v>50000</v>
      </c>
      <c r="P1024" s="133">
        <v>1</v>
      </c>
      <c r="Q1024" s="133">
        <v>1</v>
      </c>
      <c r="R1024" s="133">
        <v>1</v>
      </c>
      <c r="S1024" s="133">
        <v>1</v>
      </c>
    </row>
    <row r="1025" spans="13:19">
      <c r="M1025" s="133">
        <f>AVERAGE(M3:M1024)</f>
        <v>0.45792563600782776</v>
      </c>
      <c r="N1025" s="133">
        <f t="shared" ref="N1025:S1025" si="0">AVERAGE(N3:N1024)</f>
        <v>38.733855185909981</v>
      </c>
      <c r="O1025" s="133">
        <f t="shared" si="0"/>
        <v>65657.764187866924</v>
      </c>
      <c r="P1025" s="133">
        <f t="shared" si="0"/>
        <v>0.37573385518590996</v>
      </c>
      <c r="Q1025" s="133">
        <f t="shared" si="0"/>
        <v>0.37084148727984345</v>
      </c>
      <c r="R1025" s="133">
        <f t="shared" si="0"/>
        <v>0.55381604696673192</v>
      </c>
      <c r="S1025" s="133">
        <f t="shared" si="0"/>
        <v>0.5880626223091977</v>
      </c>
    </row>
  </sheetData>
  <autoFilter ref="A2:S2" xr:uid="{00000000-0009-0000-0000-000003000000}"/>
  <phoneticPr fontId="5" type="noConversion"/>
  <pageMargins left="0.78740157499999996" right="0.78740157499999996" top="0.984251969" bottom="0.984251969" header="0.4921259845" footer="0.492125984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X6620"/>
  <sheetViews>
    <sheetView workbookViewId="0">
      <pane xSplit="8" ySplit="2" topLeftCell="R1355" activePane="bottomRight" state="frozen"/>
      <selection pane="bottomRight" activeCell="T1251" sqref="T1251:T1395"/>
      <selection pane="bottomLeft" activeCell="A3" sqref="A3"/>
      <selection pane="topRight" activeCell="I1" sqref="I1"/>
    </sheetView>
  </sheetViews>
  <sheetFormatPr defaultColWidth="7.140625" defaultRowHeight="13.15"/>
  <cols>
    <col min="1" max="1" width="17" customWidth="1"/>
    <col min="4" max="8" width="9" bestFit="1" customWidth="1"/>
    <col min="12" max="13" width="7.140625" customWidth="1"/>
    <col min="14" max="14" width="9.7109375" customWidth="1"/>
    <col min="15" max="15" width="11.7109375" bestFit="1" customWidth="1"/>
    <col min="16" max="16" width="45.28515625" bestFit="1" customWidth="1"/>
    <col min="17" max="17" width="43.85546875" bestFit="1" customWidth="1"/>
    <col min="18" max="18" width="50.140625" bestFit="1" customWidth="1"/>
    <col min="19" max="19" width="74.7109375" bestFit="1" customWidth="1"/>
    <col min="20" max="20" width="7.7109375" style="123" bestFit="1" customWidth="1"/>
    <col min="21" max="21" width="14.28515625" bestFit="1" customWidth="1"/>
  </cols>
  <sheetData>
    <row r="1" spans="1:24" s="1" customFormat="1">
      <c r="A1" s="1">
        <v>1</v>
      </c>
      <c r="B1" s="1">
        <v>2</v>
      </c>
      <c r="C1" s="1">
        <v>3</v>
      </c>
      <c r="D1" s="1">
        <v>4</v>
      </c>
      <c r="E1" s="1">
        <v>5</v>
      </c>
      <c r="F1" s="1">
        <v>6</v>
      </c>
      <c r="G1" s="1">
        <v>7</v>
      </c>
      <c r="H1" s="1">
        <v>8</v>
      </c>
      <c r="I1" s="1">
        <v>9</v>
      </c>
      <c r="J1" s="1">
        <v>10</v>
      </c>
      <c r="K1" s="1">
        <v>11</v>
      </c>
      <c r="L1" s="1">
        <v>12</v>
      </c>
      <c r="M1" s="128">
        <f>AVERAGE(M3:M2165)</f>
        <v>0.47738693467336685</v>
      </c>
      <c r="N1" s="129">
        <f>AVERAGE(N3:N2165)</f>
        <v>39</v>
      </c>
      <c r="O1" s="129">
        <v>-99</v>
      </c>
      <c r="P1" s="1">
        <v>16</v>
      </c>
      <c r="Q1" s="1">
        <v>17</v>
      </c>
      <c r="R1" s="1">
        <v>18</v>
      </c>
      <c r="S1" s="1">
        <v>19</v>
      </c>
      <c r="T1" s="1">
        <v>20</v>
      </c>
      <c r="U1" s="128">
        <f>AVERAGE(U3:U2165)</f>
        <v>0.34673366834170855</v>
      </c>
      <c r="V1" s="128">
        <f t="shared" ref="V1:X1" si="0">AVERAGE(V3:V2165)</f>
        <v>0.34673366834170855</v>
      </c>
      <c r="W1" s="128">
        <f t="shared" si="0"/>
        <v>0.542713567839196</v>
      </c>
      <c r="X1" s="128">
        <f t="shared" si="0"/>
        <v>0.56281407035175879</v>
      </c>
    </row>
    <row r="2" spans="1:24" s="122" customFormat="1" ht="49.9" customHeight="1">
      <c r="A2" s="119" t="s">
        <v>4</v>
      </c>
      <c r="B2" s="119" t="s">
        <v>5</v>
      </c>
      <c r="C2" s="119" t="s">
        <v>6</v>
      </c>
      <c r="D2" s="119" t="s">
        <v>7</v>
      </c>
      <c r="E2" s="119" t="s">
        <v>8</v>
      </c>
      <c r="F2" s="119" t="s">
        <v>9</v>
      </c>
      <c r="G2" s="119" t="s">
        <v>10</v>
      </c>
      <c r="H2" s="119" t="s">
        <v>11</v>
      </c>
      <c r="I2" s="119" t="s">
        <v>12</v>
      </c>
      <c r="J2" s="119" t="s">
        <v>13</v>
      </c>
      <c r="K2" s="119" t="s">
        <v>14</v>
      </c>
      <c r="L2" s="119" t="s">
        <v>15</v>
      </c>
      <c r="M2" s="119" t="s">
        <v>16</v>
      </c>
      <c r="N2" s="119" t="s">
        <v>17</v>
      </c>
      <c r="O2" s="119" t="s">
        <v>18</v>
      </c>
      <c r="P2" s="119" t="s">
        <v>19</v>
      </c>
      <c r="Q2" s="119" t="s">
        <v>20</v>
      </c>
      <c r="R2" s="120" t="s">
        <v>21</v>
      </c>
      <c r="S2" s="120" t="s">
        <v>22</v>
      </c>
      <c r="T2" s="121" t="s">
        <v>287</v>
      </c>
      <c r="U2" s="126" t="s">
        <v>19</v>
      </c>
      <c r="V2" s="126" t="s">
        <v>20</v>
      </c>
      <c r="W2" s="127" t="s">
        <v>21</v>
      </c>
      <c r="X2" s="127" t="s">
        <v>22</v>
      </c>
    </row>
    <row r="3" spans="1:24">
      <c r="A3" t="s">
        <v>91</v>
      </c>
      <c r="B3">
        <v>1</v>
      </c>
      <c r="C3">
        <v>1</v>
      </c>
      <c r="D3">
        <v>2.9212792127921272</v>
      </c>
      <c r="E3">
        <v>92.035670356703577</v>
      </c>
      <c r="F3">
        <v>99.200492004920051</v>
      </c>
      <c r="G3">
        <v>6.9726322263222613</v>
      </c>
      <c r="H3">
        <v>9.3788437884378855</v>
      </c>
      <c r="I3">
        <v>1</v>
      </c>
      <c r="J3">
        <v>0</v>
      </c>
      <c r="K3">
        <v>0</v>
      </c>
      <c r="L3">
        <v>1</v>
      </c>
      <c r="M3">
        <v>1</v>
      </c>
      <c r="N3">
        <v>56</v>
      </c>
      <c r="O3">
        <v>35000</v>
      </c>
      <c r="P3">
        <v>1</v>
      </c>
      <c r="Q3">
        <v>1</v>
      </c>
      <c r="R3">
        <v>3</v>
      </c>
      <c r="S3">
        <v>3</v>
      </c>
      <c r="T3" s="123">
        <f>IF(OR(IF(AVERAGE(E3:F3)-G3&gt;(10),1,0),IF(AVERAGE(E3:F3)-G3&lt;(-10),1,0)),0,1)</f>
        <v>0</v>
      </c>
      <c r="U3">
        <f>IF(P3&gt;3,1,0)</f>
        <v>0</v>
      </c>
      <c r="V3">
        <f t="shared" ref="V3:X3" si="1">IF(Q3&gt;3,1,0)</f>
        <v>0</v>
      </c>
      <c r="W3">
        <f t="shared" si="1"/>
        <v>0</v>
      </c>
      <c r="X3">
        <f t="shared" si="1"/>
        <v>0</v>
      </c>
    </row>
    <row r="4" spans="1:24">
      <c r="A4" t="s">
        <v>91</v>
      </c>
      <c r="B4">
        <v>2</v>
      </c>
      <c r="C4">
        <v>1</v>
      </c>
      <c r="D4">
        <v>1.3991389913899139</v>
      </c>
      <c r="E4">
        <v>92.29704797047971</v>
      </c>
      <c r="F4">
        <v>76.114698646986469</v>
      </c>
      <c r="G4">
        <v>9.0559655596555988</v>
      </c>
      <c r="H4">
        <v>2.3831488314883131</v>
      </c>
      <c r="I4">
        <v>0</v>
      </c>
      <c r="J4">
        <v>0</v>
      </c>
      <c r="K4">
        <v>0</v>
      </c>
      <c r="L4">
        <v>1</v>
      </c>
      <c r="M4">
        <v>1</v>
      </c>
      <c r="N4">
        <v>56</v>
      </c>
      <c r="O4">
        <v>35000</v>
      </c>
      <c r="P4">
        <v>1</v>
      </c>
      <c r="Q4">
        <v>1</v>
      </c>
      <c r="R4">
        <v>3</v>
      </c>
      <c r="S4">
        <v>3</v>
      </c>
      <c r="T4" s="123">
        <f t="shared" ref="T4:T67" si="2">IF(OR(IF(AVERAGE(E4:F4)-G4&gt;(10),1,0),IF(AVERAGE(E4:F4)-G4&lt;(-10),1,0)),0,1)</f>
        <v>0</v>
      </c>
      <c r="U4">
        <f t="shared" ref="U4:U67" si="3">IF(P4&gt;3,1,0)</f>
        <v>0</v>
      </c>
      <c r="V4">
        <f t="shared" ref="V4:V67" si="4">IF(Q4&gt;3,1,0)</f>
        <v>0</v>
      </c>
      <c r="W4">
        <f t="shared" ref="W4:W67" si="5">IF(R4&gt;3,1,0)</f>
        <v>0</v>
      </c>
      <c r="X4">
        <f t="shared" ref="X4:X67" si="6">IF(S4&gt;3,1,0)</f>
        <v>0</v>
      </c>
    </row>
    <row r="5" spans="1:24">
      <c r="A5" t="s">
        <v>91</v>
      </c>
      <c r="B5">
        <v>3</v>
      </c>
      <c r="C5">
        <v>1</v>
      </c>
      <c r="D5">
        <v>2.3831488314883131</v>
      </c>
      <c r="E5">
        <v>95.817958179581794</v>
      </c>
      <c r="F5">
        <v>0</v>
      </c>
      <c r="G5">
        <v>6.0808733087330866</v>
      </c>
      <c r="H5">
        <v>82.034132841328415</v>
      </c>
      <c r="I5">
        <v>0</v>
      </c>
      <c r="J5">
        <v>0</v>
      </c>
      <c r="K5">
        <v>0</v>
      </c>
      <c r="L5">
        <v>1</v>
      </c>
      <c r="M5">
        <v>1</v>
      </c>
      <c r="N5">
        <v>56</v>
      </c>
      <c r="O5">
        <v>35000</v>
      </c>
      <c r="P5">
        <v>1</v>
      </c>
      <c r="Q5">
        <v>1</v>
      </c>
      <c r="R5">
        <v>3</v>
      </c>
      <c r="S5">
        <v>3</v>
      </c>
      <c r="T5" s="123">
        <f t="shared" si="2"/>
        <v>0</v>
      </c>
      <c r="U5">
        <f t="shared" si="3"/>
        <v>0</v>
      </c>
      <c r="V5">
        <f t="shared" si="4"/>
        <v>0</v>
      </c>
      <c r="W5">
        <f t="shared" si="5"/>
        <v>0</v>
      </c>
      <c r="X5">
        <f t="shared" si="6"/>
        <v>0</v>
      </c>
    </row>
    <row r="6" spans="1:24">
      <c r="A6" t="s">
        <v>91</v>
      </c>
      <c r="B6">
        <v>4</v>
      </c>
      <c r="C6">
        <v>1</v>
      </c>
      <c r="D6">
        <v>2.6445264452644501</v>
      </c>
      <c r="E6">
        <v>6.6651291512915156</v>
      </c>
      <c r="F6">
        <v>13.053505535055351</v>
      </c>
      <c r="G6">
        <v>94.526445264452647</v>
      </c>
      <c r="H6">
        <v>95.787207872078724</v>
      </c>
      <c r="I6">
        <v>0</v>
      </c>
      <c r="J6">
        <v>0</v>
      </c>
      <c r="K6">
        <v>0</v>
      </c>
      <c r="L6">
        <v>1</v>
      </c>
      <c r="M6">
        <v>1</v>
      </c>
      <c r="N6">
        <v>56</v>
      </c>
      <c r="O6">
        <v>35000</v>
      </c>
      <c r="P6">
        <v>1</v>
      </c>
      <c r="Q6">
        <v>1</v>
      </c>
      <c r="R6">
        <v>3</v>
      </c>
      <c r="S6">
        <v>3</v>
      </c>
      <c r="T6" s="123">
        <f t="shared" si="2"/>
        <v>0</v>
      </c>
      <c r="U6">
        <f t="shared" si="3"/>
        <v>0</v>
      </c>
      <c r="V6">
        <f t="shared" si="4"/>
        <v>0</v>
      </c>
      <c r="W6">
        <f t="shared" si="5"/>
        <v>0</v>
      </c>
      <c r="X6">
        <f t="shared" si="6"/>
        <v>0</v>
      </c>
    </row>
    <row r="7" spans="1:24">
      <c r="A7" t="s">
        <v>91</v>
      </c>
      <c r="B7">
        <v>5</v>
      </c>
      <c r="C7">
        <v>1</v>
      </c>
      <c r="D7">
        <v>6.2627032520325194</v>
      </c>
      <c r="E7">
        <v>50</v>
      </c>
      <c r="F7">
        <v>6.2245934959349603</v>
      </c>
      <c r="G7">
        <v>83.689024390243901</v>
      </c>
      <c r="H7">
        <v>86.369410569105696</v>
      </c>
      <c r="I7">
        <v>0</v>
      </c>
      <c r="J7">
        <v>0</v>
      </c>
      <c r="K7">
        <v>0</v>
      </c>
      <c r="L7">
        <v>1</v>
      </c>
      <c r="M7">
        <v>1</v>
      </c>
      <c r="N7">
        <v>56</v>
      </c>
      <c r="O7">
        <v>35000</v>
      </c>
      <c r="P7">
        <v>1</v>
      </c>
      <c r="Q7">
        <v>1</v>
      </c>
      <c r="R7">
        <v>3</v>
      </c>
      <c r="S7">
        <v>3</v>
      </c>
      <c r="T7" s="123">
        <f t="shared" si="2"/>
        <v>0</v>
      </c>
      <c r="U7">
        <f t="shared" si="3"/>
        <v>0</v>
      </c>
      <c r="V7">
        <f t="shared" si="4"/>
        <v>0</v>
      </c>
      <c r="W7">
        <f t="shared" si="5"/>
        <v>0</v>
      </c>
      <c r="X7">
        <f t="shared" si="6"/>
        <v>0</v>
      </c>
    </row>
    <row r="8" spans="1:24">
      <c r="A8" t="s">
        <v>91</v>
      </c>
      <c r="B8">
        <v>6</v>
      </c>
      <c r="C8">
        <v>1</v>
      </c>
      <c r="D8">
        <v>9.0828252032520318</v>
      </c>
      <c r="E8">
        <v>5.2718495934959364</v>
      </c>
      <c r="F8">
        <v>30.221036585365852</v>
      </c>
      <c r="G8">
        <v>4.4969512195121961</v>
      </c>
      <c r="H8">
        <v>75.978150406504056</v>
      </c>
      <c r="I8">
        <v>0</v>
      </c>
      <c r="J8">
        <v>0</v>
      </c>
      <c r="K8">
        <v>0</v>
      </c>
      <c r="L8">
        <v>1</v>
      </c>
      <c r="M8">
        <v>1</v>
      </c>
      <c r="N8">
        <v>56</v>
      </c>
      <c r="O8">
        <v>35000</v>
      </c>
      <c r="P8">
        <v>1</v>
      </c>
      <c r="Q8">
        <v>1</v>
      </c>
      <c r="R8">
        <v>3</v>
      </c>
      <c r="S8">
        <v>3</v>
      </c>
      <c r="T8" s="123">
        <f t="shared" si="2"/>
        <v>0</v>
      </c>
      <c r="U8">
        <f t="shared" si="3"/>
        <v>0</v>
      </c>
      <c r="V8">
        <f t="shared" si="4"/>
        <v>0</v>
      </c>
      <c r="W8">
        <f t="shared" si="5"/>
        <v>0</v>
      </c>
      <c r="X8">
        <f t="shared" si="6"/>
        <v>0</v>
      </c>
    </row>
    <row r="9" spans="1:24">
      <c r="A9" t="s">
        <v>91</v>
      </c>
      <c r="B9">
        <v>7</v>
      </c>
      <c r="C9">
        <v>1</v>
      </c>
      <c r="D9">
        <v>25.368394308943088</v>
      </c>
      <c r="E9">
        <v>6.0848577235772359</v>
      </c>
      <c r="F9">
        <v>25.368394308943088</v>
      </c>
      <c r="G9">
        <v>38.960873983739837</v>
      </c>
      <c r="H9">
        <v>93.025914634146332</v>
      </c>
      <c r="I9">
        <v>0</v>
      </c>
      <c r="J9">
        <v>1</v>
      </c>
      <c r="K9">
        <v>0</v>
      </c>
      <c r="L9">
        <v>1</v>
      </c>
      <c r="M9">
        <v>1</v>
      </c>
      <c r="N9">
        <v>56</v>
      </c>
      <c r="O9">
        <v>35000</v>
      </c>
      <c r="P9">
        <v>1</v>
      </c>
      <c r="Q9">
        <v>1</v>
      </c>
      <c r="R9">
        <v>3</v>
      </c>
      <c r="S9">
        <v>3</v>
      </c>
      <c r="T9" s="123">
        <f t="shared" si="2"/>
        <v>0</v>
      </c>
      <c r="U9">
        <f t="shared" si="3"/>
        <v>0</v>
      </c>
      <c r="V9">
        <f t="shared" si="4"/>
        <v>0</v>
      </c>
      <c r="W9">
        <f t="shared" si="5"/>
        <v>0</v>
      </c>
      <c r="X9">
        <f t="shared" si="6"/>
        <v>0</v>
      </c>
    </row>
    <row r="10" spans="1:24">
      <c r="A10" t="s">
        <v>92</v>
      </c>
      <c r="B10">
        <v>1</v>
      </c>
      <c r="C10">
        <v>1</v>
      </c>
      <c r="D10">
        <v>94.961400606561895</v>
      </c>
      <c r="E10">
        <v>99.317617866004966</v>
      </c>
      <c r="F10">
        <v>98.159636062861864</v>
      </c>
      <c r="G10">
        <v>2.240143369175629</v>
      </c>
      <c r="H10">
        <v>5.6934105321202084</v>
      </c>
      <c r="I10">
        <v>1</v>
      </c>
      <c r="J10">
        <v>0</v>
      </c>
      <c r="K10">
        <v>1</v>
      </c>
      <c r="L10">
        <v>1</v>
      </c>
      <c r="M10">
        <v>1</v>
      </c>
      <c r="N10">
        <v>43</v>
      </c>
      <c r="O10">
        <v>37000</v>
      </c>
      <c r="P10">
        <v>4</v>
      </c>
      <c r="Q10">
        <v>2</v>
      </c>
      <c r="R10">
        <v>5</v>
      </c>
      <c r="S10">
        <v>2</v>
      </c>
      <c r="T10" s="123">
        <f t="shared" si="2"/>
        <v>0</v>
      </c>
      <c r="U10">
        <f t="shared" si="3"/>
        <v>1</v>
      </c>
      <c r="V10">
        <f t="shared" si="4"/>
        <v>0</v>
      </c>
      <c r="W10">
        <f t="shared" si="5"/>
        <v>1</v>
      </c>
      <c r="X10">
        <f t="shared" si="6"/>
        <v>0</v>
      </c>
    </row>
    <row r="11" spans="1:24">
      <c r="A11" t="s">
        <v>92</v>
      </c>
      <c r="B11">
        <v>2</v>
      </c>
      <c r="C11">
        <v>1</v>
      </c>
      <c r="D11">
        <v>95.733388475323949</v>
      </c>
      <c r="E11">
        <v>95.80231596360629</v>
      </c>
      <c r="F11">
        <v>94.127377998345736</v>
      </c>
      <c r="G11">
        <v>2.0747173972980431</v>
      </c>
      <c r="H11">
        <v>91.659773917838436</v>
      </c>
      <c r="I11">
        <v>0</v>
      </c>
      <c r="J11">
        <v>0</v>
      </c>
      <c r="K11">
        <v>1</v>
      </c>
      <c r="L11">
        <v>1</v>
      </c>
      <c r="M11">
        <v>1</v>
      </c>
      <c r="N11">
        <v>43</v>
      </c>
      <c r="O11">
        <v>37000</v>
      </c>
      <c r="P11">
        <v>4</v>
      </c>
      <c r="Q11">
        <v>2</v>
      </c>
      <c r="R11">
        <v>5</v>
      </c>
      <c r="S11">
        <v>2</v>
      </c>
      <c r="T11" s="123">
        <f t="shared" si="2"/>
        <v>0</v>
      </c>
      <c r="U11">
        <f t="shared" si="3"/>
        <v>1</v>
      </c>
      <c r="V11">
        <f t="shared" si="4"/>
        <v>0</v>
      </c>
      <c r="W11">
        <f t="shared" si="5"/>
        <v>1</v>
      </c>
      <c r="X11">
        <f t="shared" si="6"/>
        <v>0</v>
      </c>
    </row>
    <row r="12" spans="1:24">
      <c r="A12" t="s">
        <v>92</v>
      </c>
      <c r="B12">
        <v>3</v>
      </c>
      <c r="C12">
        <v>1</v>
      </c>
      <c r="D12">
        <v>9.4844223876481948</v>
      </c>
      <c r="E12">
        <v>100</v>
      </c>
      <c r="F12">
        <v>9.4844223876481948</v>
      </c>
      <c r="G12">
        <v>7.595809208712434</v>
      </c>
      <c r="H12">
        <v>4.7353184449958619</v>
      </c>
      <c r="I12">
        <v>0</v>
      </c>
      <c r="J12">
        <v>0</v>
      </c>
      <c r="K12">
        <v>0</v>
      </c>
      <c r="L12">
        <v>1</v>
      </c>
      <c r="M12">
        <v>1</v>
      </c>
      <c r="N12">
        <v>43</v>
      </c>
      <c r="O12">
        <v>37000</v>
      </c>
      <c r="P12">
        <v>4</v>
      </c>
      <c r="Q12">
        <v>2</v>
      </c>
      <c r="R12">
        <v>5</v>
      </c>
      <c r="S12">
        <v>2</v>
      </c>
      <c r="T12" s="123">
        <f t="shared" si="2"/>
        <v>0</v>
      </c>
      <c r="U12">
        <f t="shared" si="3"/>
        <v>1</v>
      </c>
      <c r="V12">
        <f t="shared" si="4"/>
        <v>0</v>
      </c>
      <c r="W12">
        <f t="shared" si="5"/>
        <v>1</v>
      </c>
      <c r="X12">
        <f t="shared" si="6"/>
        <v>0</v>
      </c>
    </row>
    <row r="13" spans="1:24">
      <c r="A13" t="s">
        <v>92</v>
      </c>
      <c r="B13">
        <v>4</v>
      </c>
      <c r="C13">
        <v>1</v>
      </c>
      <c r="D13">
        <v>86.80727874276262</v>
      </c>
      <c r="E13">
        <v>95.140612076095948</v>
      </c>
      <c r="F13">
        <v>97.642679900744426</v>
      </c>
      <c r="G13">
        <v>4.3906810035842287</v>
      </c>
      <c r="H13">
        <v>4.8800661703887531</v>
      </c>
      <c r="I13">
        <v>0</v>
      </c>
      <c r="J13">
        <v>0</v>
      </c>
      <c r="K13">
        <v>1</v>
      </c>
      <c r="L13">
        <v>1</v>
      </c>
      <c r="M13">
        <v>1</v>
      </c>
      <c r="N13">
        <v>43</v>
      </c>
      <c r="O13">
        <v>37000</v>
      </c>
      <c r="P13">
        <v>4</v>
      </c>
      <c r="Q13">
        <v>2</v>
      </c>
      <c r="R13">
        <v>5</v>
      </c>
      <c r="S13">
        <v>2</v>
      </c>
      <c r="T13" s="123">
        <f t="shared" si="2"/>
        <v>0</v>
      </c>
      <c r="U13">
        <f t="shared" si="3"/>
        <v>1</v>
      </c>
      <c r="V13">
        <f t="shared" si="4"/>
        <v>0</v>
      </c>
      <c r="W13">
        <f t="shared" si="5"/>
        <v>1</v>
      </c>
      <c r="X13">
        <f t="shared" si="6"/>
        <v>0</v>
      </c>
    </row>
    <row r="14" spans="1:24">
      <c r="A14" t="s">
        <v>92</v>
      </c>
      <c r="B14">
        <v>5</v>
      </c>
      <c r="C14">
        <v>1</v>
      </c>
      <c r="D14">
        <v>3.804797353184453</v>
      </c>
      <c r="E14">
        <v>6.968569065343261</v>
      </c>
      <c r="F14">
        <v>7.6027019575406696</v>
      </c>
      <c r="G14">
        <v>92.052660601047691</v>
      </c>
      <c r="H14">
        <v>81.410256410256409</v>
      </c>
      <c r="I14">
        <v>0</v>
      </c>
      <c r="J14">
        <v>0</v>
      </c>
      <c r="K14">
        <v>0</v>
      </c>
      <c r="L14">
        <v>1</v>
      </c>
      <c r="M14">
        <v>1</v>
      </c>
      <c r="N14">
        <v>43</v>
      </c>
      <c r="O14">
        <v>37000</v>
      </c>
      <c r="P14">
        <v>4</v>
      </c>
      <c r="Q14">
        <v>2</v>
      </c>
      <c r="R14">
        <v>5</v>
      </c>
      <c r="S14">
        <v>2</v>
      </c>
      <c r="T14" s="123">
        <f t="shared" si="2"/>
        <v>0</v>
      </c>
      <c r="U14">
        <f t="shared" si="3"/>
        <v>1</v>
      </c>
      <c r="V14">
        <f t="shared" si="4"/>
        <v>0</v>
      </c>
      <c r="W14">
        <f t="shared" si="5"/>
        <v>1</v>
      </c>
      <c r="X14">
        <f t="shared" si="6"/>
        <v>0</v>
      </c>
    </row>
    <row r="15" spans="1:24">
      <c r="A15" t="s">
        <v>92</v>
      </c>
      <c r="B15">
        <v>6</v>
      </c>
      <c r="C15">
        <v>1</v>
      </c>
      <c r="D15">
        <v>2.3642128480838132</v>
      </c>
      <c r="E15">
        <v>99.172870140612062</v>
      </c>
      <c r="F15">
        <v>9.1053212020953964</v>
      </c>
      <c r="G15">
        <v>15.08133443617314</v>
      </c>
      <c r="H15">
        <v>0.7995588640749951</v>
      </c>
      <c r="I15">
        <v>0</v>
      </c>
      <c r="J15">
        <v>0</v>
      </c>
      <c r="K15">
        <v>0</v>
      </c>
      <c r="L15">
        <v>1</v>
      </c>
      <c r="M15">
        <v>1</v>
      </c>
      <c r="N15">
        <v>43</v>
      </c>
      <c r="O15">
        <v>37000</v>
      </c>
      <c r="P15">
        <v>4</v>
      </c>
      <c r="Q15">
        <v>2</v>
      </c>
      <c r="R15">
        <v>5</v>
      </c>
      <c r="S15">
        <v>2</v>
      </c>
      <c r="T15" s="123">
        <f t="shared" si="2"/>
        <v>0</v>
      </c>
      <c r="U15">
        <f t="shared" si="3"/>
        <v>1</v>
      </c>
      <c r="V15">
        <f t="shared" si="4"/>
        <v>0</v>
      </c>
      <c r="W15">
        <f t="shared" si="5"/>
        <v>1</v>
      </c>
      <c r="X15">
        <f t="shared" si="6"/>
        <v>0</v>
      </c>
    </row>
    <row r="16" spans="1:24">
      <c r="A16" t="s">
        <v>92</v>
      </c>
      <c r="B16">
        <v>7</v>
      </c>
      <c r="C16">
        <v>1</v>
      </c>
      <c r="D16">
        <v>99.798981506298574</v>
      </c>
      <c r="E16">
        <v>94.384883409273641</v>
      </c>
      <c r="F16">
        <v>89.9624765478424</v>
      </c>
      <c r="G16">
        <v>50</v>
      </c>
      <c r="H16">
        <v>4.1543822031626929</v>
      </c>
      <c r="I16">
        <v>0</v>
      </c>
      <c r="J16">
        <v>1</v>
      </c>
      <c r="K16">
        <v>1</v>
      </c>
      <c r="L16">
        <v>1</v>
      </c>
      <c r="M16">
        <v>1</v>
      </c>
      <c r="N16">
        <v>43</v>
      </c>
      <c r="O16">
        <v>37000</v>
      </c>
      <c r="P16">
        <v>4</v>
      </c>
      <c r="Q16">
        <v>2</v>
      </c>
      <c r="R16">
        <v>5</v>
      </c>
      <c r="S16">
        <v>2</v>
      </c>
      <c r="T16" s="123">
        <f t="shared" si="2"/>
        <v>0</v>
      </c>
      <c r="U16">
        <f t="shared" si="3"/>
        <v>1</v>
      </c>
      <c r="V16">
        <f t="shared" si="4"/>
        <v>0</v>
      </c>
      <c r="W16">
        <f t="shared" si="5"/>
        <v>1</v>
      </c>
      <c r="X16">
        <f t="shared" si="6"/>
        <v>0</v>
      </c>
    </row>
    <row r="17" spans="1:24">
      <c r="A17" t="s">
        <v>93</v>
      </c>
      <c r="B17">
        <v>1</v>
      </c>
      <c r="C17">
        <v>1</v>
      </c>
      <c r="D17">
        <v>9.3441150044923642</v>
      </c>
      <c r="E17">
        <v>83.161126085654388</v>
      </c>
      <c r="F17">
        <v>14.53279424977538</v>
      </c>
      <c r="G17">
        <v>78.908355795148239</v>
      </c>
      <c r="H17">
        <v>91.412099430967359</v>
      </c>
      <c r="I17">
        <v>1</v>
      </c>
      <c r="J17">
        <v>0</v>
      </c>
      <c r="K17">
        <v>0</v>
      </c>
      <c r="L17">
        <v>1</v>
      </c>
      <c r="M17">
        <v>1</v>
      </c>
      <c r="N17">
        <v>64</v>
      </c>
      <c r="O17">
        <v>-99</v>
      </c>
      <c r="P17">
        <v>2</v>
      </c>
      <c r="Q17">
        <v>2</v>
      </c>
      <c r="R17">
        <v>2</v>
      </c>
      <c r="S17">
        <v>2</v>
      </c>
      <c r="T17" s="123">
        <f t="shared" si="2"/>
        <v>0</v>
      </c>
      <c r="U17">
        <f t="shared" si="3"/>
        <v>0</v>
      </c>
      <c r="V17">
        <f t="shared" si="4"/>
        <v>0</v>
      </c>
      <c r="W17">
        <f t="shared" si="5"/>
        <v>0</v>
      </c>
      <c r="X17">
        <f t="shared" si="6"/>
        <v>0</v>
      </c>
    </row>
    <row r="18" spans="1:24">
      <c r="A18" t="s">
        <v>93</v>
      </c>
      <c r="B18">
        <v>2</v>
      </c>
      <c r="C18">
        <v>1</v>
      </c>
      <c r="D18">
        <v>6.0871518418688204</v>
      </c>
      <c r="E18">
        <v>91.037735849056617</v>
      </c>
      <c r="F18">
        <v>90.229110512129381</v>
      </c>
      <c r="G18">
        <v>71.78796046720575</v>
      </c>
      <c r="H18">
        <v>10.302485774183889</v>
      </c>
      <c r="I18">
        <v>0</v>
      </c>
      <c r="J18">
        <v>0</v>
      </c>
      <c r="K18">
        <v>0</v>
      </c>
      <c r="L18">
        <v>1</v>
      </c>
      <c r="M18">
        <v>1</v>
      </c>
      <c r="N18">
        <v>64</v>
      </c>
      <c r="O18">
        <v>-99</v>
      </c>
      <c r="P18">
        <v>2</v>
      </c>
      <c r="Q18">
        <v>2</v>
      </c>
      <c r="R18">
        <v>2</v>
      </c>
      <c r="S18">
        <v>2</v>
      </c>
      <c r="T18" s="123">
        <f t="shared" si="2"/>
        <v>0</v>
      </c>
      <c r="U18">
        <f t="shared" si="3"/>
        <v>0</v>
      </c>
      <c r="V18">
        <f t="shared" si="4"/>
        <v>0</v>
      </c>
      <c r="W18">
        <f t="shared" si="5"/>
        <v>0</v>
      </c>
      <c r="X18">
        <f t="shared" si="6"/>
        <v>0</v>
      </c>
    </row>
    <row r="19" spans="1:24" hidden="1">
      <c r="A19" t="s">
        <v>93</v>
      </c>
      <c r="B19">
        <v>3</v>
      </c>
      <c r="C19">
        <v>1</v>
      </c>
      <c r="D19">
        <v>9.718478586403112</v>
      </c>
      <c r="E19">
        <v>77.103923330338418</v>
      </c>
      <c r="F19">
        <v>91.921233902365969</v>
      </c>
      <c r="G19">
        <v>81.820904462413907</v>
      </c>
      <c r="H19">
        <v>19.953578915843071</v>
      </c>
      <c r="I19">
        <v>0</v>
      </c>
      <c r="J19">
        <v>0</v>
      </c>
      <c r="K19">
        <v>0</v>
      </c>
      <c r="L19">
        <v>1</v>
      </c>
      <c r="M19">
        <v>1</v>
      </c>
      <c r="N19">
        <v>64</v>
      </c>
      <c r="O19">
        <v>-99</v>
      </c>
      <c r="P19">
        <v>2</v>
      </c>
      <c r="Q19">
        <v>2</v>
      </c>
      <c r="R19">
        <v>2</v>
      </c>
      <c r="S19">
        <v>2</v>
      </c>
      <c r="T19" s="123">
        <f t="shared" si="2"/>
        <v>1</v>
      </c>
      <c r="U19">
        <f t="shared" si="3"/>
        <v>0</v>
      </c>
      <c r="V19">
        <f t="shared" si="4"/>
        <v>0</v>
      </c>
      <c r="W19">
        <f t="shared" si="5"/>
        <v>0</v>
      </c>
      <c r="X19">
        <f t="shared" si="6"/>
        <v>0</v>
      </c>
    </row>
    <row r="20" spans="1:24">
      <c r="A20" t="s">
        <v>93</v>
      </c>
      <c r="B20">
        <v>4</v>
      </c>
      <c r="C20">
        <v>1</v>
      </c>
      <c r="D20">
        <v>10.76669661575322</v>
      </c>
      <c r="E20">
        <v>92.220724767894581</v>
      </c>
      <c r="F20">
        <v>11.837376460017969</v>
      </c>
      <c r="G20">
        <v>90.80563042827194</v>
      </c>
      <c r="H20">
        <v>7.7792752321054204</v>
      </c>
      <c r="I20">
        <v>0</v>
      </c>
      <c r="J20">
        <v>0</v>
      </c>
      <c r="K20">
        <v>0</v>
      </c>
      <c r="L20">
        <v>1</v>
      </c>
      <c r="M20">
        <v>1</v>
      </c>
      <c r="N20">
        <v>64</v>
      </c>
      <c r="O20">
        <v>-99</v>
      </c>
      <c r="P20">
        <v>2</v>
      </c>
      <c r="Q20">
        <v>2</v>
      </c>
      <c r="R20">
        <v>2</v>
      </c>
      <c r="S20">
        <v>2</v>
      </c>
      <c r="T20" s="123">
        <f t="shared" si="2"/>
        <v>0</v>
      </c>
      <c r="U20">
        <f t="shared" si="3"/>
        <v>0</v>
      </c>
      <c r="V20">
        <f t="shared" si="4"/>
        <v>0</v>
      </c>
      <c r="W20">
        <f t="shared" si="5"/>
        <v>0</v>
      </c>
      <c r="X20">
        <f t="shared" si="6"/>
        <v>0</v>
      </c>
    </row>
    <row r="21" spans="1:24">
      <c r="A21" t="s">
        <v>93</v>
      </c>
      <c r="B21">
        <v>5</v>
      </c>
      <c r="C21">
        <v>1</v>
      </c>
      <c r="D21">
        <v>11.56783468104223</v>
      </c>
      <c r="E21">
        <v>16.85384845762205</v>
      </c>
      <c r="F21">
        <v>11.103623839472901</v>
      </c>
      <c r="G21">
        <v>84.284216831386644</v>
      </c>
      <c r="H21">
        <v>12.496256364180891</v>
      </c>
      <c r="I21">
        <v>0</v>
      </c>
      <c r="J21">
        <v>0</v>
      </c>
      <c r="K21">
        <v>0</v>
      </c>
      <c r="L21">
        <v>1</v>
      </c>
      <c r="M21">
        <v>1</v>
      </c>
      <c r="N21">
        <v>64</v>
      </c>
      <c r="O21">
        <v>-99</v>
      </c>
      <c r="P21">
        <v>2</v>
      </c>
      <c r="Q21">
        <v>2</v>
      </c>
      <c r="R21">
        <v>2</v>
      </c>
      <c r="S21">
        <v>2</v>
      </c>
      <c r="T21" s="123">
        <f t="shared" si="2"/>
        <v>0</v>
      </c>
      <c r="U21">
        <f t="shared" si="3"/>
        <v>0</v>
      </c>
      <c r="V21">
        <f t="shared" si="4"/>
        <v>0</v>
      </c>
      <c r="W21">
        <f t="shared" si="5"/>
        <v>0</v>
      </c>
      <c r="X21">
        <f t="shared" si="6"/>
        <v>0</v>
      </c>
    </row>
    <row r="22" spans="1:24" hidden="1">
      <c r="A22" t="s">
        <v>93</v>
      </c>
      <c r="B22">
        <v>6</v>
      </c>
      <c r="C22">
        <v>1</v>
      </c>
      <c r="D22">
        <v>50</v>
      </c>
      <c r="E22">
        <v>89.17514843087362</v>
      </c>
      <c r="F22">
        <v>74.41687871077184</v>
      </c>
      <c r="G22">
        <v>81.594571670907541</v>
      </c>
      <c r="H22">
        <v>16.157760814249372</v>
      </c>
      <c r="I22">
        <v>0</v>
      </c>
      <c r="J22">
        <v>0</v>
      </c>
      <c r="K22">
        <v>0</v>
      </c>
      <c r="L22">
        <v>1</v>
      </c>
      <c r="M22">
        <v>1</v>
      </c>
      <c r="N22">
        <v>64</v>
      </c>
      <c r="O22">
        <v>-99</v>
      </c>
      <c r="P22">
        <v>2</v>
      </c>
      <c r="Q22">
        <v>2</v>
      </c>
      <c r="R22">
        <v>2</v>
      </c>
      <c r="S22">
        <v>2</v>
      </c>
      <c r="T22" s="123">
        <f t="shared" si="2"/>
        <v>1</v>
      </c>
      <c r="U22">
        <f t="shared" si="3"/>
        <v>0</v>
      </c>
      <c r="V22">
        <f t="shared" si="4"/>
        <v>0</v>
      </c>
      <c r="W22">
        <f t="shared" si="5"/>
        <v>0</v>
      </c>
      <c r="X22">
        <f t="shared" si="6"/>
        <v>0</v>
      </c>
    </row>
    <row r="23" spans="1:24">
      <c r="A23" t="s">
        <v>93</v>
      </c>
      <c r="B23">
        <v>7</v>
      </c>
      <c r="C23">
        <v>1</v>
      </c>
      <c r="D23">
        <v>0</v>
      </c>
      <c r="E23">
        <v>8.0638297872340452</v>
      </c>
      <c r="F23">
        <v>82.797872340425528</v>
      </c>
      <c r="G23">
        <v>18.511450381679388</v>
      </c>
      <c r="H23">
        <v>45.377438507209497</v>
      </c>
      <c r="I23">
        <v>0</v>
      </c>
      <c r="J23">
        <v>1</v>
      </c>
      <c r="K23">
        <v>0</v>
      </c>
      <c r="L23">
        <v>1</v>
      </c>
      <c r="M23">
        <v>1</v>
      </c>
      <c r="N23">
        <v>64</v>
      </c>
      <c r="O23">
        <v>-99</v>
      </c>
      <c r="P23">
        <v>2</v>
      </c>
      <c r="Q23">
        <v>2</v>
      </c>
      <c r="R23">
        <v>2</v>
      </c>
      <c r="S23">
        <v>2</v>
      </c>
      <c r="T23" s="123">
        <f t="shared" si="2"/>
        <v>0</v>
      </c>
      <c r="U23">
        <f t="shared" si="3"/>
        <v>0</v>
      </c>
      <c r="V23">
        <f t="shared" si="4"/>
        <v>0</v>
      </c>
      <c r="W23">
        <f t="shared" si="5"/>
        <v>0</v>
      </c>
      <c r="X23">
        <f t="shared" si="6"/>
        <v>0</v>
      </c>
    </row>
    <row r="24" spans="1:24" hidden="1">
      <c r="A24" t="s">
        <v>94</v>
      </c>
      <c r="B24">
        <v>1</v>
      </c>
      <c r="C24">
        <v>1</v>
      </c>
      <c r="D24">
        <v>83.985387697383928</v>
      </c>
      <c r="E24">
        <v>10.393589441432949</v>
      </c>
      <c r="F24">
        <v>17.09875088380862</v>
      </c>
      <c r="G24">
        <v>11.78411501296253</v>
      </c>
      <c r="H24">
        <v>95.286353994814988</v>
      </c>
      <c r="I24">
        <v>1</v>
      </c>
      <c r="J24">
        <v>0</v>
      </c>
      <c r="K24">
        <v>1</v>
      </c>
      <c r="L24">
        <v>1</v>
      </c>
      <c r="M24">
        <v>0</v>
      </c>
      <c r="N24">
        <v>27</v>
      </c>
      <c r="O24">
        <v>80000</v>
      </c>
      <c r="P24">
        <v>4</v>
      </c>
      <c r="Q24">
        <v>3</v>
      </c>
      <c r="R24">
        <v>4</v>
      </c>
      <c r="S24">
        <v>4</v>
      </c>
      <c r="T24" s="123">
        <f t="shared" si="2"/>
        <v>1</v>
      </c>
      <c r="U24">
        <f t="shared" si="3"/>
        <v>1</v>
      </c>
      <c r="V24">
        <f t="shared" si="4"/>
        <v>0</v>
      </c>
      <c r="W24">
        <f t="shared" si="5"/>
        <v>1</v>
      </c>
      <c r="X24">
        <f t="shared" si="6"/>
        <v>1</v>
      </c>
    </row>
    <row r="25" spans="1:24">
      <c r="A25" t="s">
        <v>94</v>
      </c>
      <c r="B25">
        <v>2</v>
      </c>
      <c r="C25">
        <v>1</v>
      </c>
      <c r="D25">
        <v>100</v>
      </c>
      <c r="E25">
        <v>99.846806504831491</v>
      </c>
      <c r="F25">
        <v>95.038887579542774</v>
      </c>
      <c r="G25">
        <v>3.1227904784350669</v>
      </c>
      <c r="H25">
        <v>3.0520857883572949</v>
      </c>
      <c r="I25">
        <v>0</v>
      </c>
      <c r="J25">
        <v>0</v>
      </c>
      <c r="K25">
        <v>1</v>
      </c>
      <c r="L25">
        <v>1</v>
      </c>
      <c r="M25">
        <v>0</v>
      </c>
      <c r="N25">
        <v>27</v>
      </c>
      <c r="O25">
        <v>80000</v>
      </c>
      <c r="P25">
        <v>4</v>
      </c>
      <c r="Q25">
        <v>3</v>
      </c>
      <c r="R25">
        <v>4</v>
      </c>
      <c r="S25">
        <v>4</v>
      </c>
      <c r="T25" s="123">
        <f t="shared" si="2"/>
        <v>0</v>
      </c>
      <c r="U25">
        <f t="shared" si="3"/>
        <v>1</v>
      </c>
      <c r="V25">
        <f t="shared" si="4"/>
        <v>0</v>
      </c>
      <c r="W25">
        <f t="shared" si="5"/>
        <v>1</v>
      </c>
      <c r="X25">
        <f t="shared" si="6"/>
        <v>1</v>
      </c>
    </row>
    <row r="26" spans="1:24">
      <c r="A26" t="s">
        <v>94</v>
      </c>
      <c r="B26">
        <v>3</v>
      </c>
      <c r="C26">
        <v>1</v>
      </c>
      <c r="D26">
        <v>95.368842799905735</v>
      </c>
      <c r="E26">
        <v>95.922696205514967</v>
      </c>
      <c r="F26">
        <v>97.230732971953799</v>
      </c>
      <c r="G26">
        <v>5.7506481263257134</v>
      </c>
      <c r="H26">
        <v>13.53994814989394</v>
      </c>
      <c r="I26">
        <v>0</v>
      </c>
      <c r="J26">
        <v>0</v>
      </c>
      <c r="K26">
        <v>1</v>
      </c>
      <c r="L26">
        <v>1</v>
      </c>
      <c r="M26">
        <v>0</v>
      </c>
      <c r="N26">
        <v>27</v>
      </c>
      <c r="O26">
        <v>80000</v>
      </c>
      <c r="P26">
        <v>4</v>
      </c>
      <c r="Q26">
        <v>3</v>
      </c>
      <c r="R26">
        <v>4</v>
      </c>
      <c r="S26">
        <v>4</v>
      </c>
      <c r="T26" s="123">
        <f t="shared" si="2"/>
        <v>0</v>
      </c>
      <c r="U26">
        <f t="shared" si="3"/>
        <v>1</v>
      </c>
      <c r="V26">
        <f t="shared" si="4"/>
        <v>0</v>
      </c>
      <c r="W26">
        <f t="shared" si="5"/>
        <v>1</v>
      </c>
      <c r="X26">
        <f t="shared" si="6"/>
        <v>1</v>
      </c>
    </row>
    <row r="27" spans="1:24">
      <c r="A27" t="s">
        <v>94</v>
      </c>
      <c r="B27">
        <v>4</v>
      </c>
      <c r="C27">
        <v>1</v>
      </c>
      <c r="D27">
        <v>98.750883808625971</v>
      </c>
      <c r="E27">
        <v>97.690313457459339</v>
      </c>
      <c r="F27">
        <v>90.065991044072589</v>
      </c>
      <c r="G27">
        <v>3.9358944143294829</v>
      </c>
      <c r="H27">
        <v>5.6328069761960862</v>
      </c>
      <c r="I27">
        <v>0</v>
      </c>
      <c r="J27">
        <v>0</v>
      </c>
      <c r="K27">
        <v>1</v>
      </c>
      <c r="L27">
        <v>1</v>
      </c>
      <c r="M27">
        <v>0</v>
      </c>
      <c r="N27">
        <v>27</v>
      </c>
      <c r="O27">
        <v>80000</v>
      </c>
      <c r="P27">
        <v>4</v>
      </c>
      <c r="Q27">
        <v>3</v>
      </c>
      <c r="R27">
        <v>4</v>
      </c>
      <c r="S27">
        <v>4</v>
      </c>
      <c r="T27" s="123">
        <f t="shared" si="2"/>
        <v>0</v>
      </c>
      <c r="U27">
        <f t="shared" si="3"/>
        <v>1</v>
      </c>
      <c r="V27">
        <f t="shared" si="4"/>
        <v>0</v>
      </c>
      <c r="W27">
        <f t="shared" si="5"/>
        <v>1</v>
      </c>
      <c r="X27">
        <f t="shared" si="6"/>
        <v>1</v>
      </c>
    </row>
    <row r="28" spans="1:24">
      <c r="A28" t="s">
        <v>94</v>
      </c>
      <c r="B28">
        <v>5</v>
      </c>
      <c r="C28">
        <v>1</v>
      </c>
      <c r="D28">
        <v>96.158378505774223</v>
      </c>
      <c r="E28">
        <v>97.160028281876038</v>
      </c>
      <c r="F28">
        <v>88.911147772802266</v>
      </c>
      <c r="G28">
        <v>20.527928352580719</v>
      </c>
      <c r="H28">
        <v>50</v>
      </c>
      <c r="I28">
        <v>0</v>
      </c>
      <c r="J28">
        <v>0</v>
      </c>
      <c r="K28">
        <v>1</v>
      </c>
      <c r="L28">
        <v>1</v>
      </c>
      <c r="M28">
        <v>0</v>
      </c>
      <c r="N28">
        <v>27</v>
      </c>
      <c r="O28">
        <v>80000</v>
      </c>
      <c r="P28">
        <v>4</v>
      </c>
      <c r="Q28">
        <v>3</v>
      </c>
      <c r="R28">
        <v>4</v>
      </c>
      <c r="S28">
        <v>4</v>
      </c>
      <c r="T28" s="123">
        <f t="shared" si="2"/>
        <v>0</v>
      </c>
      <c r="U28">
        <f t="shared" si="3"/>
        <v>1</v>
      </c>
      <c r="V28">
        <f t="shared" si="4"/>
        <v>0</v>
      </c>
      <c r="W28">
        <f t="shared" si="5"/>
        <v>1</v>
      </c>
      <c r="X28">
        <f t="shared" si="6"/>
        <v>1</v>
      </c>
    </row>
    <row r="29" spans="1:24">
      <c r="A29" t="s">
        <v>94</v>
      </c>
      <c r="B29">
        <v>6</v>
      </c>
      <c r="C29">
        <v>1</v>
      </c>
      <c r="D29">
        <v>96.80650483148716</v>
      </c>
      <c r="E29">
        <v>94.720716474192784</v>
      </c>
      <c r="F29">
        <v>94.720716474192784</v>
      </c>
      <c r="G29">
        <v>5.3146358708461019</v>
      </c>
      <c r="H29">
        <v>32.87768088616545</v>
      </c>
      <c r="I29">
        <v>0</v>
      </c>
      <c r="J29">
        <v>0</v>
      </c>
      <c r="K29">
        <v>1</v>
      </c>
      <c r="L29">
        <v>1</v>
      </c>
      <c r="M29">
        <v>0</v>
      </c>
      <c r="N29">
        <v>27</v>
      </c>
      <c r="O29">
        <v>80000</v>
      </c>
      <c r="P29">
        <v>4</v>
      </c>
      <c r="Q29">
        <v>3</v>
      </c>
      <c r="R29">
        <v>4</v>
      </c>
      <c r="S29">
        <v>4</v>
      </c>
      <c r="T29" s="123">
        <f t="shared" si="2"/>
        <v>0</v>
      </c>
      <c r="U29">
        <f t="shared" si="3"/>
        <v>1</v>
      </c>
      <c r="V29">
        <f t="shared" si="4"/>
        <v>0</v>
      </c>
      <c r="W29">
        <f t="shared" si="5"/>
        <v>1</v>
      </c>
      <c r="X29">
        <f t="shared" si="6"/>
        <v>1</v>
      </c>
    </row>
    <row r="30" spans="1:24">
      <c r="A30" t="s">
        <v>94</v>
      </c>
      <c r="B30">
        <v>7</v>
      </c>
      <c r="C30">
        <v>1</v>
      </c>
      <c r="D30">
        <v>93.565873202922461</v>
      </c>
      <c r="E30">
        <v>96.464765496111255</v>
      </c>
      <c r="F30">
        <v>95.557388640113132</v>
      </c>
      <c r="G30">
        <v>6.2573650718831031</v>
      </c>
      <c r="H30">
        <v>6.9290596276219638</v>
      </c>
      <c r="I30">
        <v>0</v>
      </c>
      <c r="J30">
        <v>1</v>
      </c>
      <c r="K30">
        <v>1</v>
      </c>
      <c r="L30">
        <v>1</v>
      </c>
      <c r="M30">
        <v>0</v>
      </c>
      <c r="N30">
        <v>27</v>
      </c>
      <c r="O30">
        <v>80000</v>
      </c>
      <c r="P30">
        <v>4</v>
      </c>
      <c r="Q30">
        <v>3</v>
      </c>
      <c r="R30">
        <v>4</v>
      </c>
      <c r="S30">
        <v>4</v>
      </c>
      <c r="T30" s="123">
        <f t="shared" si="2"/>
        <v>0</v>
      </c>
      <c r="U30">
        <f t="shared" si="3"/>
        <v>1</v>
      </c>
      <c r="V30">
        <f t="shared" si="4"/>
        <v>0</v>
      </c>
      <c r="W30">
        <f t="shared" si="5"/>
        <v>1</v>
      </c>
      <c r="X30">
        <f t="shared" si="6"/>
        <v>1</v>
      </c>
    </row>
    <row r="31" spans="1:24">
      <c r="A31" t="s">
        <v>95</v>
      </c>
      <c r="B31">
        <v>1</v>
      </c>
      <c r="C31">
        <v>1</v>
      </c>
      <c r="D31">
        <v>97.132819582955577</v>
      </c>
      <c r="E31">
        <v>90.605167724388039</v>
      </c>
      <c r="F31">
        <v>4.9977334542157754</v>
      </c>
      <c r="G31">
        <v>0</v>
      </c>
      <c r="H31">
        <v>92.520398912058027</v>
      </c>
      <c r="I31">
        <v>1</v>
      </c>
      <c r="J31">
        <v>0</v>
      </c>
      <c r="K31">
        <v>1</v>
      </c>
      <c r="L31">
        <v>1</v>
      </c>
      <c r="M31">
        <v>1</v>
      </c>
      <c r="N31">
        <v>27</v>
      </c>
      <c r="O31">
        <v>100000</v>
      </c>
      <c r="P31">
        <v>5</v>
      </c>
      <c r="Q31">
        <v>4</v>
      </c>
      <c r="R31">
        <v>3</v>
      </c>
      <c r="S31">
        <v>4</v>
      </c>
      <c r="T31" s="123">
        <f t="shared" si="2"/>
        <v>0</v>
      </c>
      <c r="U31">
        <f t="shared" si="3"/>
        <v>1</v>
      </c>
      <c r="V31">
        <f t="shared" si="4"/>
        <v>1</v>
      </c>
      <c r="W31">
        <f t="shared" si="5"/>
        <v>0</v>
      </c>
      <c r="X31">
        <f t="shared" si="6"/>
        <v>1</v>
      </c>
    </row>
    <row r="32" spans="1:24">
      <c r="A32" t="s">
        <v>95</v>
      </c>
      <c r="B32">
        <v>2</v>
      </c>
      <c r="C32">
        <v>1</v>
      </c>
      <c r="D32">
        <v>92.917044424297373</v>
      </c>
      <c r="E32">
        <v>99.478694469628294</v>
      </c>
      <c r="F32">
        <v>97.132819582955577</v>
      </c>
      <c r="G32">
        <v>2.345874886672711</v>
      </c>
      <c r="H32">
        <v>4.1251133272892098</v>
      </c>
      <c r="I32">
        <v>0</v>
      </c>
      <c r="J32">
        <v>0</v>
      </c>
      <c r="K32">
        <v>1</v>
      </c>
      <c r="L32">
        <v>1</v>
      </c>
      <c r="M32">
        <v>1</v>
      </c>
      <c r="N32">
        <v>27</v>
      </c>
      <c r="O32">
        <v>100000</v>
      </c>
      <c r="P32">
        <v>5</v>
      </c>
      <c r="Q32">
        <v>4</v>
      </c>
      <c r="R32">
        <v>3</v>
      </c>
      <c r="S32">
        <v>4</v>
      </c>
      <c r="T32" s="123">
        <f t="shared" si="2"/>
        <v>0</v>
      </c>
      <c r="U32">
        <f t="shared" si="3"/>
        <v>1</v>
      </c>
      <c r="V32">
        <f t="shared" si="4"/>
        <v>1</v>
      </c>
      <c r="W32">
        <f t="shared" si="5"/>
        <v>0</v>
      </c>
      <c r="X32">
        <f t="shared" si="6"/>
        <v>1</v>
      </c>
    </row>
    <row r="33" spans="1:24">
      <c r="A33" t="s">
        <v>95</v>
      </c>
      <c r="B33">
        <v>3</v>
      </c>
      <c r="C33">
        <v>1</v>
      </c>
      <c r="D33">
        <v>0.90661831368993862</v>
      </c>
      <c r="E33">
        <v>3.932456935630102</v>
      </c>
      <c r="F33">
        <v>1.5639165911151389</v>
      </c>
      <c r="G33">
        <v>84.85947416137806</v>
      </c>
      <c r="H33">
        <v>0.90661831368993862</v>
      </c>
      <c r="I33">
        <v>0</v>
      </c>
      <c r="J33">
        <v>0</v>
      </c>
      <c r="K33">
        <v>0</v>
      </c>
      <c r="L33">
        <v>1</v>
      </c>
      <c r="M33">
        <v>1</v>
      </c>
      <c r="N33">
        <v>27</v>
      </c>
      <c r="O33">
        <v>100000</v>
      </c>
      <c r="P33">
        <v>5</v>
      </c>
      <c r="Q33">
        <v>4</v>
      </c>
      <c r="R33">
        <v>3</v>
      </c>
      <c r="S33">
        <v>4</v>
      </c>
      <c r="T33" s="123">
        <f t="shared" si="2"/>
        <v>0</v>
      </c>
      <c r="U33">
        <f t="shared" si="3"/>
        <v>1</v>
      </c>
      <c r="V33">
        <f t="shared" si="4"/>
        <v>1</v>
      </c>
      <c r="W33">
        <f t="shared" si="5"/>
        <v>0</v>
      </c>
      <c r="X33">
        <f t="shared" si="6"/>
        <v>1</v>
      </c>
    </row>
    <row r="34" spans="1:24" hidden="1">
      <c r="A34" t="s">
        <v>95</v>
      </c>
      <c r="B34">
        <v>4</v>
      </c>
      <c r="C34">
        <v>1</v>
      </c>
      <c r="D34">
        <v>5.247053490480508</v>
      </c>
      <c r="E34">
        <v>0.20398912058023361</v>
      </c>
      <c r="F34">
        <v>1.3712601994560309</v>
      </c>
      <c r="G34">
        <v>2.4025385312783309</v>
      </c>
      <c r="H34">
        <v>92.735720761559378</v>
      </c>
      <c r="I34">
        <v>0</v>
      </c>
      <c r="J34">
        <v>0</v>
      </c>
      <c r="K34">
        <v>0</v>
      </c>
      <c r="L34">
        <v>1</v>
      </c>
      <c r="M34">
        <v>1</v>
      </c>
      <c r="N34">
        <v>27</v>
      </c>
      <c r="O34">
        <v>100000</v>
      </c>
      <c r="P34">
        <v>5</v>
      </c>
      <c r="Q34">
        <v>4</v>
      </c>
      <c r="R34">
        <v>3</v>
      </c>
      <c r="S34">
        <v>4</v>
      </c>
      <c r="T34" s="123">
        <f t="shared" si="2"/>
        <v>1</v>
      </c>
      <c r="U34">
        <f t="shared" si="3"/>
        <v>1</v>
      </c>
      <c r="V34">
        <f t="shared" si="4"/>
        <v>1</v>
      </c>
      <c r="W34">
        <f t="shared" si="5"/>
        <v>0</v>
      </c>
      <c r="X34">
        <f t="shared" si="6"/>
        <v>1</v>
      </c>
    </row>
    <row r="35" spans="1:24">
      <c r="A35" t="s">
        <v>95</v>
      </c>
      <c r="B35">
        <v>5</v>
      </c>
      <c r="C35">
        <v>1</v>
      </c>
      <c r="D35">
        <v>5.1337262012692673</v>
      </c>
      <c r="E35">
        <v>2.3232094288304639</v>
      </c>
      <c r="F35">
        <v>2.5385312783318241</v>
      </c>
      <c r="G35">
        <v>91.092475067996375</v>
      </c>
      <c r="H35">
        <v>7.0602901178603794</v>
      </c>
      <c r="I35">
        <v>0</v>
      </c>
      <c r="J35">
        <v>0</v>
      </c>
      <c r="K35">
        <v>0</v>
      </c>
      <c r="L35">
        <v>1</v>
      </c>
      <c r="M35">
        <v>1</v>
      </c>
      <c r="N35">
        <v>27</v>
      </c>
      <c r="O35">
        <v>100000</v>
      </c>
      <c r="P35">
        <v>5</v>
      </c>
      <c r="Q35">
        <v>4</v>
      </c>
      <c r="R35">
        <v>3</v>
      </c>
      <c r="S35">
        <v>4</v>
      </c>
      <c r="T35" s="123">
        <f t="shared" si="2"/>
        <v>0</v>
      </c>
      <c r="U35">
        <f t="shared" si="3"/>
        <v>1</v>
      </c>
      <c r="V35">
        <f t="shared" si="4"/>
        <v>1</v>
      </c>
      <c r="W35">
        <f t="shared" si="5"/>
        <v>0</v>
      </c>
      <c r="X35">
        <f t="shared" si="6"/>
        <v>1</v>
      </c>
    </row>
    <row r="36" spans="1:24">
      <c r="A36" t="s">
        <v>95</v>
      </c>
      <c r="B36">
        <v>6</v>
      </c>
      <c r="C36">
        <v>1</v>
      </c>
      <c r="D36">
        <v>7.0376246600181327</v>
      </c>
      <c r="E36">
        <v>99.036718041704447</v>
      </c>
      <c r="F36">
        <v>5.6663644605620123E-2</v>
      </c>
      <c r="G36">
        <v>75.804623753399824</v>
      </c>
      <c r="H36">
        <v>1.767905711695378</v>
      </c>
      <c r="I36">
        <v>0</v>
      </c>
      <c r="J36">
        <v>0</v>
      </c>
      <c r="K36">
        <v>0</v>
      </c>
      <c r="L36">
        <v>1</v>
      </c>
      <c r="M36">
        <v>1</v>
      </c>
      <c r="N36">
        <v>27</v>
      </c>
      <c r="O36">
        <v>100000</v>
      </c>
      <c r="P36">
        <v>5</v>
      </c>
      <c r="Q36">
        <v>4</v>
      </c>
      <c r="R36">
        <v>3</v>
      </c>
      <c r="S36">
        <v>4</v>
      </c>
      <c r="T36" s="123">
        <f t="shared" si="2"/>
        <v>0</v>
      </c>
      <c r="U36">
        <f t="shared" si="3"/>
        <v>1</v>
      </c>
      <c r="V36">
        <f t="shared" si="4"/>
        <v>1</v>
      </c>
      <c r="W36">
        <f t="shared" si="5"/>
        <v>0</v>
      </c>
      <c r="X36">
        <f t="shared" si="6"/>
        <v>1</v>
      </c>
    </row>
    <row r="37" spans="1:24">
      <c r="A37" t="s">
        <v>95</v>
      </c>
      <c r="B37">
        <v>7</v>
      </c>
      <c r="C37">
        <v>1</v>
      </c>
      <c r="D37">
        <v>17.71240234375</v>
      </c>
      <c r="E37">
        <v>3.38134765625</v>
      </c>
      <c r="F37">
        <v>5.11474609375</v>
      </c>
      <c r="G37">
        <v>50</v>
      </c>
      <c r="H37">
        <v>94.7998046875</v>
      </c>
      <c r="I37">
        <v>0</v>
      </c>
      <c r="J37">
        <v>1</v>
      </c>
      <c r="K37">
        <v>0</v>
      </c>
      <c r="L37">
        <v>1</v>
      </c>
      <c r="M37">
        <v>1</v>
      </c>
      <c r="N37">
        <v>27</v>
      </c>
      <c r="O37">
        <v>100000</v>
      </c>
      <c r="P37">
        <v>5</v>
      </c>
      <c r="Q37">
        <v>4</v>
      </c>
      <c r="R37">
        <v>3</v>
      </c>
      <c r="S37">
        <v>4</v>
      </c>
      <c r="T37" s="123">
        <f t="shared" si="2"/>
        <v>0</v>
      </c>
      <c r="U37">
        <f t="shared" si="3"/>
        <v>1</v>
      </c>
      <c r="V37">
        <f t="shared" si="4"/>
        <v>1</v>
      </c>
      <c r="W37">
        <f t="shared" si="5"/>
        <v>0</v>
      </c>
      <c r="X37">
        <f t="shared" si="6"/>
        <v>1</v>
      </c>
    </row>
    <row r="38" spans="1:24">
      <c r="A38" t="s">
        <v>96</v>
      </c>
      <c r="B38">
        <v>1</v>
      </c>
      <c r="C38">
        <v>1</v>
      </c>
      <c r="D38">
        <v>91.026161022105057</v>
      </c>
      <c r="E38">
        <v>97.637396065706767</v>
      </c>
      <c r="F38">
        <v>97.789495031433788</v>
      </c>
      <c r="G38">
        <v>14.92597850334618</v>
      </c>
      <c r="H38">
        <v>96.613263029811392</v>
      </c>
      <c r="I38">
        <v>1</v>
      </c>
      <c r="J38">
        <v>0</v>
      </c>
      <c r="K38">
        <v>1</v>
      </c>
      <c r="L38">
        <v>1</v>
      </c>
      <c r="M38">
        <v>1</v>
      </c>
      <c r="N38">
        <v>25</v>
      </c>
      <c r="O38">
        <v>190000</v>
      </c>
      <c r="P38">
        <v>2</v>
      </c>
      <c r="Q38">
        <v>2</v>
      </c>
      <c r="R38">
        <v>1</v>
      </c>
      <c r="S38">
        <v>4</v>
      </c>
      <c r="T38" s="123">
        <f t="shared" si="2"/>
        <v>0</v>
      </c>
      <c r="U38">
        <f t="shared" si="3"/>
        <v>0</v>
      </c>
      <c r="V38">
        <f t="shared" si="4"/>
        <v>0</v>
      </c>
      <c r="W38">
        <f t="shared" si="5"/>
        <v>0</v>
      </c>
      <c r="X38">
        <f t="shared" si="6"/>
        <v>1</v>
      </c>
    </row>
    <row r="39" spans="1:24">
      <c r="A39" t="s">
        <v>96</v>
      </c>
      <c r="B39">
        <v>2</v>
      </c>
      <c r="C39">
        <v>1</v>
      </c>
      <c r="D39">
        <v>98.337051308051102</v>
      </c>
      <c r="E39">
        <v>95.102413303589529</v>
      </c>
      <c r="F39">
        <v>89.140133847089842</v>
      </c>
      <c r="G39">
        <v>4.8975866964104666</v>
      </c>
      <c r="H39">
        <v>19.671466234029609</v>
      </c>
      <c r="I39">
        <v>0</v>
      </c>
      <c r="J39">
        <v>0</v>
      </c>
      <c r="K39">
        <v>1</v>
      </c>
      <c r="L39">
        <v>1</v>
      </c>
      <c r="M39">
        <v>1</v>
      </c>
      <c r="N39">
        <v>25</v>
      </c>
      <c r="O39">
        <v>190000</v>
      </c>
      <c r="P39">
        <v>2</v>
      </c>
      <c r="Q39">
        <v>2</v>
      </c>
      <c r="R39">
        <v>1</v>
      </c>
      <c r="S39">
        <v>4</v>
      </c>
      <c r="T39" s="123">
        <f t="shared" si="2"/>
        <v>0</v>
      </c>
      <c r="U39">
        <f t="shared" si="3"/>
        <v>0</v>
      </c>
      <c r="V39">
        <f t="shared" si="4"/>
        <v>0</v>
      </c>
      <c r="W39">
        <f t="shared" si="5"/>
        <v>0</v>
      </c>
      <c r="X39">
        <f t="shared" si="6"/>
        <v>1</v>
      </c>
    </row>
    <row r="40" spans="1:24" hidden="1">
      <c r="A40" t="s">
        <v>96</v>
      </c>
      <c r="B40">
        <v>3</v>
      </c>
      <c r="C40">
        <v>1</v>
      </c>
      <c r="D40">
        <v>5.9318596633542882</v>
      </c>
      <c r="E40">
        <v>7.6353680794970629</v>
      </c>
      <c r="F40">
        <v>1.034272966943822</v>
      </c>
      <c r="G40">
        <v>0</v>
      </c>
      <c r="H40">
        <v>7.108091664976679</v>
      </c>
      <c r="I40">
        <v>0</v>
      </c>
      <c r="J40">
        <v>0</v>
      </c>
      <c r="K40">
        <v>0</v>
      </c>
      <c r="L40">
        <v>1</v>
      </c>
      <c r="M40">
        <v>1</v>
      </c>
      <c r="N40">
        <v>25</v>
      </c>
      <c r="O40">
        <v>190000</v>
      </c>
      <c r="P40">
        <v>2</v>
      </c>
      <c r="Q40">
        <v>2</v>
      </c>
      <c r="R40">
        <v>1</v>
      </c>
      <c r="S40">
        <v>4</v>
      </c>
      <c r="T40" s="123">
        <f t="shared" si="2"/>
        <v>1</v>
      </c>
      <c r="U40">
        <f t="shared" si="3"/>
        <v>0</v>
      </c>
      <c r="V40">
        <f t="shared" si="4"/>
        <v>0</v>
      </c>
      <c r="W40">
        <f t="shared" si="5"/>
        <v>0</v>
      </c>
      <c r="X40">
        <f t="shared" si="6"/>
        <v>1</v>
      </c>
    </row>
    <row r="41" spans="1:24">
      <c r="A41" t="s">
        <v>96</v>
      </c>
      <c r="B41">
        <v>4</v>
      </c>
      <c r="C41">
        <v>1</v>
      </c>
      <c r="D41">
        <v>5.789900628675726</v>
      </c>
      <c r="E41">
        <v>4.8975866964104666</v>
      </c>
      <c r="F41">
        <v>5.6175218008517547</v>
      </c>
      <c r="G41">
        <v>93.084567024944235</v>
      </c>
      <c r="H41">
        <v>93.409044818495232</v>
      </c>
      <c r="I41">
        <v>0</v>
      </c>
      <c r="J41">
        <v>0</v>
      </c>
      <c r="K41">
        <v>0</v>
      </c>
      <c r="L41">
        <v>1</v>
      </c>
      <c r="M41">
        <v>1</v>
      </c>
      <c r="N41">
        <v>25</v>
      </c>
      <c r="O41">
        <v>190000</v>
      </c>
      <c r="P41">
        <v>2</v>
      </c>
      <c r="Q41">
        <v>2</v>
      </c>
      <c r="R41">
        <v>1</v>
      </c>
      <c r="S41">
        <v>4</v>
      </c>
      <c r="T41" s="123">
        <f t="shared" si="2"/>
        <v>0</v>
      </c>
      <c r="U41">
        <f t="shared" si="3"/>
        <v>0</v>
      </c>
      <c r="V41">
        <f t="shared" si="4"/>
        <v>0</v>
      </c>
      <c r="W41">
        <f t="shared" si="5"/>
        <v>0</v>
      </c>
      <c r="X41">
        <f t="shared" si="6"/>
        <v>1</v>
      </c>
    </row>
    <row r="42" spans="1:24">
      <c r="A42" t="s">
        <v>96</v>
      </c>
      <c r="B42">
        <v>5</v>
      </c>
      <c r="C42">
        <v>1</v>
      </c>
      <c r="D42">
        <v>2.9203001419590371</v>
      </c>
      <c r="E42">
        <v>4.0762522814844884</v>
      </c>
      <c r="F42">
        <v>3.9038734536605171</v>
      </c>
      <c r="G42">
        <v>92.242952747921308</v>
      </c>
      <c r="H42">
        <v>97.46501723788279</v>
      </c>
      <c r="I42">
        <v>0</v>
      </c>
      <c r="J42">
        <v>0</v>
      </c>
      <c r="K42">
        <v>0</v>
      </c>
      <c r="L42">
        <v>1</v>
      </c>
      <c r="M42">
        <v>1</v>
      </c>
      <c r="N42">
        <v>25</v>
      </c>
      <c r="O42">
        <v>190000</v>
      </c>
      <c r="P42">
        <v>2</v>
      </c>
      <c r="Q42">
        <v>2</v>
      </c>
      <c r="R42">
        <v>1</v>
      </c>
      <c r="S42">
        <v>4</v>
      </c>
      <c r="T42" s="123">
        <f t="shared" si="2"/>
        <v>0</v>
      </c>
      <c r="U42">
        <f t="shared" si="3"/>
        <v>0</v>
      </c>
      <c r="V42">
        <f t="shared" si="4"/>
        <v>0</v>
      </c>
      <c r="W42">
        <f t="shared" si="5"/>
        <v>0</v>
      </c>
      <c r="X42">
        <f t="shared" si="6"/>
        <v>1</v>
      </c>
    </row>
    <row r="43" spans="1:24">
      <c r="A43" t="s">
        <v>96</v>
      </c>
      <c r="B43">
        <v>6</v>
      </c>
      <c r="C43">
        <v>1</v>
      </c>
      <c r="D43">
        <v>50</v>
      </c>
      <c r="E43">
        <v>30.228610230873699</v>
      </c>
      <c r="F43">
        <v>8.8841104572204621</v>
      </c>
      <c r="G43">
        <v>85.434585785423266</v>
      </c>
      <c r="H43">
        <v>90.629244001810775</v>
      </c>
      <c r="I43">
        <v>0</v>
      </c>
      <c r="J43">
        <v>0</v>
      </c>
      <c r="K43">
        <v>0</v>
      </c>
      <c r="L43">
        <v>1</v>
      </c>
      <c r="M43">
        <v>1</v>
      </c>
      <c r="N43">
        <v>25</v>
      </c>
      <c r="O43">
        <v>190000</v>
      </c>
      <c r="P43">
        <v>2</v>
      </c>
      <c r="Q43">
        <v>2</v>
      </c>
      <c r="R43">
        <v>1</v>
      </c>
      <c r="S43">
        <v>4</v>
      </c>
      <c r="T43" s="123">
        <f t="shared" si="2"/>
        <v>0</v>
      </c>
      <c r="U43">
        <f t="shared" si="3"/>
        <v>0</v>
      </c>
      <c r="V43">
        <f t="shared" si="4"/>
        <v>0</v>
      </c>
      <c r="W43">
        <f t="shared" si="5"/>
        <v>0</v>
      </c>
      <c r="X43">
        <f t="shared" si="6"/>
        <v>1</v>
      </c>
    </row>
    <row r="44" spans="1:24" hidden="1">
      <c r="A44" t="s">
        <v>96</v>
      </c>
      <c r="B44">
        <v>7</v>
      </c>
      <c r="C44">
        <v>1</v>
      </c>
      <c r="D44">
        <v>8.5219556360344058</v>
      </c>
      <c r="E44">
        <v>7.5486645540968738</v>
      </c>
      <c r="F44">
        <v>6.8243549117247611</v>
      </c>
      <c r="G44">
        <v>3.4065187867813491</v>
      </c>
      <c r="H44">
        <v>7.3902218198279748</v>
      </c>
      <c r="I44">
        <v>0</v>
      </c>
      <c r="J44">
        <v>1</v>
      </c>
      <c r="K44">
        <v>0</v>
      </c>
      <c r="L44">
        <v>1</v>
      </c>
      <c r="M44">
        <v>1</v>
      </c>
      <c r="N44">
        <v>25</v>
      </c>
      <c r="O44">
        <v>190000</v>
      </c>
      <c r="P44">
        <v>2</v>
      </c>
      <c r="Q44">
        <v>2</v>
      </c>
      <c r="R44">
        <v>1</v>
      </c>
      <c r="S44">
        <v>4</v>
      </c>
      <c r="T44" s="123">
        <f t="shared" si="2"/>
        <v>1</v>
      </c>
      <c r="U44">
        <f t="shared" si="3"/>
        <v>0</v>
      </c>
      <c r="V44">
        <f t="shared" si="4"/>
        <v>0</v>
      </c>
      <c r="W44">
        <f t="shared" si="5"/>
        <v>0</v>
      </c>
      <c r="X44">
        <f t="shared" si="6"/>
        <v>1</v>
      </c>
    </row>
    <row r="45" spans="1:24">
      <c r="A45" t="s">
        <v>97</v>
      </c>
      <c r="B45">
        <v>1</v>
      </c>
      <c r="C45">
        <v>1</v>
      </c>
      <c r="D45">
        <v>85.61729947196379</v>
      </c>
      <c r="E45">
        <v>93.462408850892629</v>
      </c>
      <c r="F45">
        <v>100</v>
      </c>
      <c r="G45">
        <v>5.0666331405582081</v>
      </c>
      <c r="H45">
        <v>5.87125974352527</v>
      </c>
      <c r="I45">
        <v>1</v>
      </c>
      <c r="J45">
        <v>0</v>
      </c>
      <c r="K45">
        <v>1</v>
      </c>
      <c r="L45">
        <v>1</v>
      </c>
      <c r="M45">
        <v>0</v>
      </c>
      <c r="N45">
        <v>37</v>
      </c>
      <c r="O45">
        <v>120000</v>
      </c>
      <c r="P45">
        <v>2</v>
      </c>
      <c r="Q45">
        <v>4</v>
      </c>
      <c r="R45">
        <v>4</v>
      </c>
      <c r="S45">
        <v>4</v>
      </c>
      <c r="T45" s="123">
        <f t="shared" si="2"/>
        <v>0</v>
      </c>
      <c r="U45">
        <f t="shared" si="3"/>
        <v>0</v>
      </c>
      <c r="V45">
        <f t="shared" si="4"/>
        <v>1</v>
      </c>
      <c r="W45">
        <f t="shared" si="5"/>
        <v>1</v>
      </c>
      <c r="X45">
        <f t="shared" si="6"/>
        <v>1</v>
      </c>
    </row>
    <row r="46" spans="1:24">
      <c r="A46" t="s">
        <v>97</v>
      </c>
      <c r="B46">
        <v>2</v>
      </c>
      <c r="C46">
        <v>1</v>
      </c>
      <c r="D46">
        <v>93.575559466934877</v>
      </c>
      <c r="E46">
        <v>96.5426200653759</v>
      </c>
      <c r="F46">
        <v>83.90746794065879</v>
      </c>
      <c r="G46">
        <v>6.5250188584360043</v>
      </c>
      <c r="H46">
        <v>50</v>
      </c>
      <c r="I46">
        <v>0</v>
      </c>
      <c r="J46">
        <v>0</v>
      </c>
      <c r="K46">
        <v>1</v>
      </c>
      <c r="L46">
        <v>1</v>
      </c>
      <c r="M46">
        <v>0</v>
      </c>
      <c r="N46">
        <v>37</v>
      </c>
      <c r="O46">
        <v>120000</v>
      </c>
      <c r="P46">
        <v>2</v>
      </c>
      <c r="Q46">
        <v>4</v>
      </c>
      <c r="R46">
        <v>4</v>
      </c>
      <c r="S46">
        <v>4</v>
      </c>
      <c r="T46" s="123">
        <f t="shared" si="2"/>
        <v>0</v>
      </c>
      <c r="U46">
        <f t="shared" si="3"/>
        <v>0</v>
      </c>
      <c r="V46">
        <f t="shared" si="4"/>
        <v>1</v>
      </c>
      <c r="W46">
        <f t="shared" si="5"/>
        <v>1</v>
      </c>
      <c r="X46">
        <f t="shared" si="6"/>
        <v>1</v>
      </c>
    </row>
    <row r="47" spans="1:24">
      <c r="A47" t="s">
        <v>97</v>
      </c>
      <c r="B47">
        <v>3</v>
      </c>
      <c r="C47">
        <v>1</v>
      </c>
      <c r="D47">
        <v>16.26854412874026</v>
      </c>
      <c r="E47">
        <v>2.6778979129997489</v>
      </c>
      <c r="F47">
        <v>2.187578576816696</v>
      </c>
      <c r="G47">
        <v>91.149107367362333</v>
      </c>
      <c r="H47">
        <v>91.149107367362333</v>
      </c>
      <c r="I47">
        <v>0</v>
      </c>
      <c r="J47">
        <v>0</v>
      </c>
      <c r="K47">
        <v>0</v>
      </c>
      <c r="L47">
        <v>1</v>
      </c>
      <c r="M47">
        <v>0</v>
      </c>
      <c r="N47">
        <v>37</v>
      </c>
      <c r="O47">
        <v>120000</v>
      </c>
      <c r="P47">
        <v>2</v>
      </c>
      <c r="Q47">
        <v>4</v>
      </c>
      <c r="R47">
        <v>4</v>
      </c>
      <c r="S47">
        <v>4</v>
      </c>
      <c r="T47" s="123">
        <f t="shared" si="2"/>
        <v>0</v>
      </c>
      <c r="U47">
        <f t="shared" si="3"/>
        <v>0</v>
      </c>
      <c r="V47">
        <f t="shared" si="4"/>
        <v>1</v>
      </c>
      <c r="W47">
        <f t="shared" si="5"/>
        <v>1</v>
      </c>
      <c r="X47">
        <f t="shared" si="6"/>
        <v>1</v>
      </c>
    </row>
    <row r="48" spans="1:24">
      <c r="A48" t="s">
        <v>97</v>
      </c>
      <c r="B48">
        <v>4</v>
      </c>
      <c r="C48">
        <v>1</v>
      </c>
      <c r="D48">
        <v>6.8267538345486543</v>
      </c>
      <c r="E48">
        <v>4.2368619562484273</v>
      </c>
      <c r="F48">
        <v>2.7659039476992722</v>
      </c>
      <c r="G48">
        <v>93.324113653507666</v>
      </c>
      <c r="H48">
        <v>95.021372894141322</v>
      </c>
      <c r="I48">
        <v>0</v>
      </c>
      <c r="J48">
        <v>0</v>
      </c>
      <c r="K48">
        <v>0</v>
      </c>
      <c r="L48">
        <v>1</v>
      </c>
      <c r="M48">
        <v>0</v>
      </c>
      <c r="N48">
        <v>37</v>
      </c>
      <c r="O48">
        <v>120000</v>
      </c>
      <c r="P48">
        <v>2</v>
      </c>
      <c r="Q48">
        <v>4</v>
      </c>
      <c r="R48">
        <v>4</v>
      </c>
      <c r="S48">
        <v>4</v>
      </c>
      <c r="T48" s="123">
        <f t="shared" si="2"/>
        <v>0</v>
      </c>
      <c r="U48">
        <f t="shared" si="3"/>
        <v>0</v>
      </c>
      <c r="V48">
        <f t="shared" si="4"/>
        <v>1</v>
      </c>
      <c r="W48">
        <f t="shared" si="5"/>
        <v>1</v>
      </c>
      <c r="X48">
        <f t="shared" si="6"/>
        <v>1</v>
      </c>
    </row>
    <row r="49" spans="1:24">
      <c r="A49" t="s">
        <v>97</v>
      </c>
      <c r="B49">
        <v>5</v>
      </c>
      <c r="C49">
        <v>1</v>
      </c>
      <c r="D49">
        <v>11.2144832788534</v>
      </c>
      <c r="E49">
        <v>3.683681166708574</v>
      </c>
      <c r="F49">
        <v>5.2300729192858944</v>
      </c>
      <c r="G49">
        <v>92.054312295700271</v>
      </c>
      <c r="H49">
        <v>96.706059844103592</v>
      </c>
      <c r="I49">
        <v>0</v>
      </c>
      <c r="J49">
        <v>0</v>
      </c>
      <c r="K49">
        <v>0</v>
      </c>
      <c r="L49">
        <v>1</v>
      </c>
      <c r="M49">
        <v>0</v>
      </c>
      <c r="N49">
        <v>37</v>
      </c>
      <c r="O49">
        <v>120000</v>
      </c>
      <c r="P49">
        <v>2</v>
      </c>
      <c r="Q49">
        <v>4</v>
      </c>
      <c r="R49">
        <v>4</v>
      </c>
      <c r="S49">
        <v>4</v>
      </c>
      <c r="T49" s="123">
        <f t="shared" si="2"/>
        <v>0</v>
      </c>
      <c r="U49">
        <f t="shared" si="3"/>
        <v>0</v>
      </c>
      <c r="V49">
        <f t="shared" si="4"/>
        <v>1</v>
      </c>
      <c r="W49">
        <f t="shared" si="5"/>
        <v>1</v>
      </c>
      <c r="X49">
        <f t="shared" si="6"/>
        <v>1</v>
      </c>
    </row>
    <row r="50" spans="1:24">
      <c r="A50" t="s">
        <v>97</v>
      </c>
      <c r="B50">
        <v>6</v>
      </c>
      <c r="C50">
        <v>1</v>
      </c>
      <c r="D50">
        <v>2.4138798089011808</v>
      </c>
      <c r="E50">
        <v>0.82977118430977992</v>
      </c>
      <c r="F50">
        <v>6.663314055820968</v>
      </c>
      <c r="G50">
        <v>94.644204174000507</v>
      </c>
      <c r="H50">
        <v>99.18280110636158</v>
      </c>
      <c r="I50">
        <v>0</v>
      </c>
      <c r="J50">
        <v>0</v>
      </c>
      <c r="K50">
        <v>0</v>
      </c>
      <c r="L50">
        <v>1</v>
      </c>
      <c r="M50">
        <v>0</v>
      </c>
      <c r="N50">
        <v>37</v>
      </c>
      <c r="O50">
        <v>120000</v>
      </c>
      <c r="P50">
        <v>2</v>
      </c>
      <c r="Q50">
        <v>4</v>
      </c>
      <c r="R50">
        <v>4</v>
      </c>
      <c r="S50">
        <v>4</v>
      </c>
      <c r="T50" s="123">
        <f t="shared" si="2"/>
        <v>0</v>
      </c>
      <c r="U50">
        <f t="shared" si="3"/>
        <v>0</v>
      </c>
      <c r="V50">
        <f t="shared" si="4"/>
        <v>1</v>
      </c>
      <c r="W50">
        <f t="shared" si="5"/>
        <v>1</v>
      </c>
      <c r="X50">
        <f t="shared" si="6"/>
        <v>1</v>
      </c>
    </row>
    <row r="51" spans="1:24">
      <c r="A51" t="s">
        <v>97</v>
      </c>
      <c r="B51">
        <v>7</v>
      </c>
      <c r="C51">
        <v>1</v>
      </c>
      <c r="D51">
        <v>8.1216997736987651</v>
      </c>
      <c r="E51">
        <v>2.237867739502136</v>
      </c>
      <c r="F51">
        <v>10.611013326628109</v>
      </c>
      <c r="G51">
        <v>95.461403067638926</v>
      </c>
      <c r="H51">
        <v>98.818204676892123</v>
      </c>
      <c r="I51">
        <v>0</v>
      </c>
      <c r="J51">
        <v>1</v>
      </c>
      <c r="K51">
        <v>0</v>
      </c>
      <c r="L51">
        <v>1</v>
      </c>
      <c r="M51">
        <v>0</v>
      </c>
      <c r="N51">
        <v>37</v>
      </c>
      <c r="O51">
        <v>120000</v>
      </c>
      <c r="P51">
        <v>2</v>
      </c>
      <c r="Q51">
        <v>4</v>
      </c>
      <c r="R51">
        <v>4</v>
      </c>
      <c r="S51">
        <v>4</v>
      </c>
      <c r="T51" s="123">
        <f t="shared" si="2"/>
        <v>0</v>
      </c>
      <c r="U51">
        <f t="shared" si="3"/>
        <v>0</v>
      </c>
      <c r="V51">
        <f t="shared" si="4"/>
        <v>1</v>
      </c>
      <c r="W51">
        <f t="shared" si="5"/>
        <v>1</v>
      </c>
      <c r="X51">
        <f t="shared" si="6"/>
        <v>1</v>
      </c>
    </row>
    <row r="52" spans="1:24">
      <c r="A52" t="s">
        <v>98</v>
      </c>
      <c r="B52">
        <v>1</v>
      </c>
      <c r="C52">
        <v>1</v>
      </c>
      <c r="D52">
        <v>98.739990579368822</v>
      </c>
      <c r="E52">
        <v>79.992934526613283</v>
      </c>
      <c r="F52">
        <v>93.452661328308992</v>
      </c>
      <c r="G52">
        <v>6.7710786622703694</v>
      </c>
      <c r="H52">
        <v>1.7663683466792259</v>
      </c>
      <c r="I52">
        <v>1</v>
      </c>
      <c r="J52">
        <v>0</v>
      </c>
      <c r="K52">
        <v>1</v>
      </c>
      <c r="L52">
        <v>1</v>
      </c>
      <c r="M52">
        <v>1</v>
      </c>
      <c r="N52">
        <v>24</v>
      </c>
      <c r="O52">
        <v>-99</v>
      </c>
      <c r="P52">
        <v>4</v>
      </c>
      <c r="Q52">
        <v>4</v>
      </c>
      <c r="R52">
        <v>5</v>
      </c>
      <c r="S52">
        <v>4</v>
      </c>
      <c r="T52" s="123">
        <f t="shared" si="2"/>
        <v>0</v>
      </c>
      <c r="U52">
        <f t="shared" si="3"/>
        <v>1</v>
      </c>
      <c r="V52">
        <f t="shared" si="4"/>
        <v>1</v>
      </c>
      <c r="W52">
        <f t="shared" si="5"/>
        <v>1</v>
      </c>
      <c r="X52">
        <f t="shared" si="6"/>
        <v>1</v>
      </c>
    </row>
    <row r="53" spans="1:24" hidden="1">
      <c r="A53" t="s">
        <v>98</v>
      </c>
      <c r="B53">
        <v>2</v>
      </c>
      <c r="C53">
        <v>1</v>
      </c>
      <c r="D53">
        <v>96.632124352331601</v>
      </c>
      <c r="E53">
        <v>55.652378709373529</v>
      </c>
      <c r="F53">
        <v>95.065944418276032</v>
      </c>
      <c r="G53">
        <v>79.086198775317953</v>
      </c>
      <c r="H53">
        <v>14.707960433349029</v>
      </c>
      <c r="I53">
        <v>0</v>
      </c>
      <c r="J53">
        <v>0</v>
      </c>
      <c r="K53">
        <v>1</v>
      </c>
      <c r="L53">
        <v>1</v>
      </c>
      <c r="M53">
        <v>1</v>
      </c>
      <c r="N53">
        <v>24</v>
      </c>
      <c r="O53">
        <v>-99</v>
      </c>
      <c r="P53">
        <v>4</v>
      </c>
      <c r="Q53">
        <v>4</v>
      </c>
      <c r="R53">
        <v>5</v>
      </c>
      <c r="S53">
        <v>4</v>
      </c>
      <c r="T53" s="123">
        <f t="shared" si="2"/>
        <v>1</v>
      </c>
      <c r="U53">
        <f t="shared" si="3"/>
        <v>1</v>
      </c>
      <c r="V53">
        <f t="shared" si="4"/>
        <v>1</v>
      </c>
      <c r="W53">
        <f t="shared" si="5"/>
        <v>1</v>
      </c>
      <c r="X53">
        <f t="shared" si="6"/>
        <v>1</v>
      </c>
    </row>
    <row r="54" spans="1:24">
      <c r="A54" t="s">
        <v>98</v>
      </c>
      <c r="B54">
        <v>3</v>
      </c>
      <c r="C54">
        <v>1</v>
      </c>
      <c r="D54">
        <v>1.099706744868034</v>
      </c>
      <c r="E54">
        <v>9.5796676441837754</v>
      </c>
      <c r="F54">
        <v>1.7473118279569879</v>
      </c>
      <c r="G54">
        <v>96.199902248289334</v>
      </c>
      <c r="H54">
        <v>50</v>
      </c>
      <c r="I54">
        <v>0</v>
      </c>
      <c r="J54">
        <v>0</v>
      </c>
      <c r="K54">
        <v>0</v>
      </c>
      <c r="L54">
        <v>1</v>
      </c>
      <c r="M54">
        <v>1</v>
      </c>
      <c r="N54">
        <v>24</v>
      </c>
      <c r="O54">
        <v>-99</v>
      </c>
      <c r="P54">
        <v>4</v>
      </c>
      <c r="Q54">
        <v>4</v>
      </c>
      <c r="R54">
        <v>5</v>
      </c>
      <c r="S54">
        <v>4</v>
      </c>
      <c r="T54" s="123">
        <f t="shared" si="2"/>
        <v>0</v>
      </c>
      <c r="U54">
        <f t="shared" si="3"/>
        <v>1</v>
      </c>
      <c r="V54">
        <f t="shared" si="4"/>
        <v>1</v>
      </c>
      <c r="W54">
        <f t="shared" si="5"/>
        <v>1</v>
      </c>
      <c r="X54">
        <f t="shared" si="6"/>
        <v>1</v>
      </c>
    </row>
    <row r="55" spans="1:24" hidden="1">
      <c r="A55" t="s">
        <v>98</v>
      </c>
      <c r="B55">
        <v>4</v>
      </c>
      <c r="C55">
        <v>1</v>
      </c>
      <c r="D55">
        <v>10.031769305962859</v>
      </c>
      <c r="E55">
        <v>1.111925708699901</v>
      </c>
      <c r="F55">
        <v>2.5537634408602128</v>
      </c>
      <c r="G55">
        <v>0</v>
      </c>
      <c r="H55">
        <v>0</v>
      </c>
      <c r="I55">
        <v>0</v>
      </c>
      <c r="J55">
        <v>0</v>
      </c>
      <c r="K55">
        <v>0</v>
      </c>
      <c r="L55">
        <v>1</v>
      </c>
      <c r="M55">
        <v>1</v>
      </c>
      <c r="N55">
        <v>24</v>
      </c>
      <c r="O55">
        <v>-99</v>
      </c>
      <c r="P55">
        <v>4</v>
      </c>
      <c r="Q55">
        <v>4</v>
      </c>
      <c r="R55">
        <v>5</v>
      </c>
      <c r="S55">
        <v>4</v>
      </c>
      <c r="T55" s="123">
        <f t="shared" si="2"/>
        <v>1</v>
      </c>
      <c r="U55">
        <f t="shared" si="3"/>
        <v>1</v>
      </c>
      <c r="V55">
        <f t="shared" si="4"/>
        <v>1</v>
      </c>
      <c r="W55">
        <f t="shared" si="5"/>
        <v>1</v>
      </c>
      <c r="X55">
        <f t="shared" si="6"/>
        <v>1</v>
      </c>
    </row>
    <row r="56" spans="1:24">
      <c r="A56" t="s">
        <v>98</v>
      </c>
      <c r="B56">
        <v>5</v>
      </c>
      <c r="C56">
        <v>1</v>
      </c>
      <c r="D56">
        <v>13.84408602150538</v>
      </c>
      <c r="E56">
        <v>6.5004887585532742</v>
      </c>
      <c r="F56">
        <v>2.5293255131964791</v>
      </c>
      <c r="G56">
        <v>67.778592375366571</v>
      </c>
      <c r="H56">
        <v>80.669599217986303</v>
      </c>
      <c r="I56">
        <v>0</v>
      </c>
      <c r="J56">
        <v>0</v>
      </c>
      <c r="K56">
        <v>0</v>
      </c>
      <c r="L56">
        <v>1</v>
      </c>
      <c r="M56">
        <v>1</v>
      </c>
      <c r="N56">
        <v>24</v>
      </c>
      <c r="O56">
        <v>-99</v>
      </c>
      <c r="P56">
        <v>4</v>
      </c>
      <c r="Q56">
        <v>4</v>
      </c>
      <c r="R56">
        <v>5</v>
      </c>
      <c r="S56">
        <v>4</v>
      </c>
      <c r="T56" s="123">
        <f t="shared" si="2"/>
        <v>0</v>
      </c>
      <c r="U56">
        <f t="shared" si="3"/>
        <v>1</v>
      </c>
      <c r="V56">
        <f t="shared" si="4"/>
        <v>1</v>
      </c>
      <c r="W56">
        <f t="shared" si="5"/>
        <v>1</v>
      </c>
      <c r="X56">
        <f t="shared" si="6"/>
        <v>1</v>
      </c>
    </row>
    <row r="57" spans="1:24">
      <c r="A57" t="s">
        <v>98</v>
      </c>
      <c r="B57">
        <v>6</v>
      </c>
      <c r="C57">
        <v>1</v>
      </c>
      <c r="D57">
        <v>2.761485826001953</v>
      </c>
      <c r="E57">
        <v>10.21505376344086</v>
      </c>
      <c r="F57">
        <v>5.9872922776148583</v>
      </c>
      <c r="G57">
        <v>80.694037145650043</v>
      </c>
      <c r="H57">
        <v>3.0669599217986292</v>
      </c>
      <c r="I57">
        <v>0</v>
      </c>
      <c r="J57">
        <v>0</v>
      </c>
      <c r="K57">
        <v>0</v>
      </c>
      <c r="L57">
        <v>1</v>
      </c>
      <c r="M57">
        <v>1</v>
      </c>
      <c r="N57">
        <v>24</v>
      </c>
      <c r="O57">
        <v>-99</v>
      </c>
      <c r="P57">
        <v>4</v>
      </c>
      <c r="Q57">
        <v>4</v>
      </c>
      <c r="R57">
        <v>5</v>
      </c>
      <c r="S57">
        <v>4</v>
      </c>
      <c r="T57" s="123">
        <f t="shared" si="2"/>
        <v>0</v>
      </c>
      <c r="U57">
        <f t="shared" si="3"/>
        <v>1</v>
      </c>
      <c r="V57">
        <f t="shared" si="4"/>
        <v>1</v>
      </c>
      <c r="W57">
        <f t="shared" si="5"/>
        <v>1</v>
      </c>
      <c r="X57">
        <f t="shared" si="6"/>
        <v>1</v>
      </c>
    </row>
    <row r="58" spans="1:24" hidden="1">
      <c r="A58" t="s">
        <v>98</v>
      </c>
      <c r="B58">
        <v>7</v>
      </c>
      <c r="C58">
        <v>1</v>
      </c>
      <c r="D58">
        <v>7.0014662756598236</v>
      </c>
      <c r="E58">
        <v>4.9364613880742922</v>
      </c>
      <c r="F58">
        <v>2.883675464320623</v>
      </c>
      <c r="G58">
        <v>1.502932551319647</v>
      </c>
      <c r="H58">
        <v>1.3318670576735081</v>
      </c>
      <c r="I58">
        <v>0</v>
      </c>
      <c r="J58">
        <v>1</v>
      </c>
      <c r="K58">
        <v>0</v>
      </c>
      <c r="L58">
        <v>1</v>
      </c>
      <c r="M58">
        <v>1</v>
      </c>
      <c r="N58">
        <v>24</v>
      </c>
      <c r="O58">
        <v>-99</v>
      </c>
      <c r="P58">
        <v>4</v>
      </c>
      <c r="Q58">
        <v>4</v>
      </c>
      <c r="R58">
        <v>5</v>
      </c>
      <c r="S58">
        <v>4</v>
      </c>
      <c r="T58" s="123">
        <f t="shared" si="2"/>
        <v>1</v>
      </c>
      <c r="U58">
        <f t="shared" si="3"/>
        <v>1</v>
      </c>
      <c r="V58">
        <f t="shared" si="4"/>
        <v>1</v>
      </c>
      <c r="W58">
        <f t="shared" si="5"/>
        <v>1</v>
      </c>
      <c r="X58">
        <f t="shared" si="6"/>
        <v>1</v>
      </c>
    </row>
    <row r="59" spans="1:24">
      <c r="A59" t="s">
        <v>99</v>
      </c>
      <c r="B59">
        <v>1</v>
      </c>
      <c r="C59">
        <v>1</v>
      </c>
      <c r="D59">
        <v>95.463917525773184</v>
      </c>
      <c r="E59">
        <v>99.394329896907223</v>
      </c>
      <c r="F59">
        <v>96.80412371134021</v>
      </c>
      <c r="G59">
        <v>50</v>
      </c>
      <c r="H59">
        <v>32.590206185567013</v>
      </c>
      <c r="I59">
        <v>1</v>
      </c>
      <c r="J59">
        <v>0</v>
      </c>
      <c r="K59">
        <v>1</v>
      </c>
      <c r="L59">
        <v>1</v>
      </c>
      <c r="M59">
        <v>0</v>
      </c>
      <c r="N59">
        <v>63</v>
      </c>
      <c r="O59">
        <v>73000</v>
      </c>
      <c r="P59">
        <v>4</v>
      </c>
      <c r="Q59">
        <v>3</v>
      </c>
      <c r="R59">
        <v>5</v>
      </c>
      <c r="S59">
        <v>5</v>
      </c>
      <c r="T59" s="123">
        <f t="shared" si="2"/>
        <v>0</v>
      </c>
      <c r="U59">
        <f t="shared" si="3"/>
        <v>1</v>
      </c>
      <c r="V59">
        <f t="shared" si="4"/>
        <v>0</v>
      </c>
      <c r="W59">
        <f t="shared" si="5"/>
        <v>1</v>
      </c>
      <c r="X59">
        <f t="shared" si="6"/>
        <v>1</v>
      </c>
    </row>
    <row r="60" spans="1:24">
      <c r="A60" t="s">
        <v>99</v>
      </c>
      <c r="B60">
        <v>2</v>
      </c>
      <c r="C60">
        <v>1</v>
      </c>
      <c r="D60">
        <v>97.010309278350519</v>
      </c>
      <c r="E60">
        <v>97.30670103092784</v>
      </c>
      <c r="F60">
        <v>94.652061855670098</v>
      </c>
      <c r="G60">
        <v>4.6391752577319592</v>
      </c>
      <c r="H60">
        <v>16.92010309278351</v>
      </c>
      <c r="I60">
        <v>0</v>
      </c>
      <c r="J60">
        <v>0</v>
      </c>
      <c r="K60">
        <v>1</v>
      </c>
      <c r="L60">
        <v>1</v>
      </c>
      <c r="M60">
        <v>0</v>
      </c>
      <c r="N60">
        <v>63</v>
      </c>
      <c r="O60">
        <v>73000</v>
      </c>
      <c r="P60">
        <v>4</v>
      </c>
      <c r="Q60">
        <v>3</v>
      </c>
      <c r="R60">
        <v>5</v>
      </c>
      <c r="S60">
        <v>5</v>
      </c>
      <c r="T60" s="123">
        <f t="shared" si="2"/>
        <v>0</v>
      </c>
      <c r="U60">
        <f t="shared" si="3"/>
        <v>1</v>
      </c>
      <c r="V60">
        <f t="shared" si="4"/>
        <v>0</v>
      </c>
      <c r="W60">
        <f t="shared" si="5"/>
        <v>1</v>
      </c>
      <c r="X60">
        <f t="shared" si="6"/>
        <v>1</v>
      </c>
    </row>
    <row r="61" spans="1:24">
      <c r="A61" t="s">
        <v>99</v>
      </c>
      <c r="B61">
        <v>3</v>
      </c>
      <c r="C61">
        <v>1</v>
      </c>
      <c r="D61">
        <v>95.979381443298962</v>
      </c>
      <c r="E61">
        <v>50</v>
      </c>
      <c r="F61">
        <v>87.628865979381445</v>
      </c>
      <c r="G61">
        <v>4.4329896907216506</v>
      </c>
      <c r="H61">
        <v>14.007731958762889</v>
      </c>
      <c r="I61">
        <v>0</v>
      </c>
      <c r="J61">
        <v>0</v>
      </c>
      <c r="K61">
        <v>1</v>
      </c>
      <c r="L61">
        <v>1</v>
      </c>
      <c r="M61">
        <v>0</v>
      </c>
      <c r="N61">
        <v>63</v>
      </c>
      <c r="O61">
        <v>73000</v>
      </c>
      <c r="P61">
        <v>4</v>
      </c>
      <c r="Q61">
        <v>3</v>
      </c>
      <c r="R61">
        <v>5</v>
      </c>
      <c r="S61">
        <v>5</v>
      </c>
      <c r="T61" s="123">
        <f t="shared" si="2"/>
        <v>0</v>
      </c>
      <c r="U61">
        <f t="shared" si="3"/>
        <v>1</v>
      </c>
      <c r="V61">
        <f t="shared" si="4"/>
        <v>0</v>
      </c>
      <c r="W61">
        <f t="shared" si="5"/>
        <v>1</v>
      </c>
      <c r="X61">
        <f t="shared" si="6"/>
        <v>1</v>
      </c>
    </row>
    <row r="62" spans="1:24">
      <c r="A62" t="s">
        <v>99</v>
      </c>
      <c r="B62">
        <v>4</v>
      </c>
      <c r="C62">
        <v>1</v>
      </c>
      <c r="D62">
        <v>67.11340206185568</v>
      </c>
      <c r="E62">
        <v>97.525773195876283</v>
      </c>
      <c r="F62">
        <v>89.072164948453604</v>
      </c>
      <c r="G62">
        <v>11.868556701030929</v>
      </c>
      <c r="H62">
        <v>11.868556701030929</v>
      </c>
      <c r="I62">
        <v>0</v>
      </c>
      <c r="J62">
        <v>0</v>
      </c>
      <c r="K62">
        <v>1</v>
      </c>
      <c r="L62">
        <v>1</v>
      </c>
      <c r="M62">
        <v>0</v>
      </c>
      <c r="N62">
        <v>63</v>
      </c>
      <c r="O62">
        <v>73000</v>
      </c>
      <c r="P62">
        <v>4</v>
      </c>
      <c r="Q62">
        <v>3</v>
      </c>
      <c r="R62">
        <v>5</v>
      </c>
      <c r="S62">
        <v>5</v>
      </c>
      <c r="T62" s="123">
        <f t="shared" si="2"/>
        <v>0</v>
      </c>
      <c r="U62">
        <f t="shared" si="3"/>
        <v>1</v>
      </c>
      <c r="V62">
        <f t="shared" si="4"/>
        <v>0</v>
      </c>
      <c r="W62">
        <f t="shared" si="5"/>
        <v>1</v>
      </c>
      <c r="X62">
        <f t="shared" si="6"/>
        <v>1</v>
      </c>
    </row>
    <row r="63" spans="1:24">
      <c r="A63" t="s">
        <v>99</v>
      </c>
      <c r="B63">
        <v>5</v>
      </c>
      <c r="C63">
        <v>1</v>
      </c>
      <c r="D63">
        <v>67.925257731958766</v>
      </c>
      <c r="E63">
        <v>100</v>
      </c>
      <c r="F63">
        <v>95.992268041237111</v>
      </c>
      <c r="G63">
        <v>14.858247422680421</v>
      </c>
      <c r="H63">
        <v>20.19329896907217</v>
      </c>
      <c r="I63">
        <v>0</v>
      </c>
      <c r="J63">
        <v>0</v>
      </c>
      <c r="K63">
        <v>1</v>
      </c>
      <c r="L63">
        <v>1</v>
      </c>
      <c r="M63">
        <v>0</v>
      </c>
      <c r="N63">
        <v>63</v>
      </c>
      <c r="O63">
        <v>73000</v>
      </c>
      <c r="P63">
        <v>4</v>
      </c>
      <c r="Q63">
        <v>3</v>
      </c>
      <c r="R63">
        <v>5</v>
      </c>
      <c r="S63">
        <v>5</v>
      </c>
      <c r="T63" s="123">
        <f t="shared" si="2"/>
        <v>0</v>
      </c>
      <c r="U63">
        <f t="shared" si="3"/>
        <v>1</v>
      </c>
      <c r="V63">
        <f t="shared" si="4"/>
        <v>0</v>
      </c>
      <c r="W63">
        <f t="shared" si="5"/>
        <v>1</v>
      </c>
      <c r="X63">
        <f t="shared" si="6"/>
        <v>1</v>
      </c>
    </row>
    <row r="64" spans="1:24">
      <c r="A64" t="s">
        <v>99</v>
      </c>
      <c r="B64">
        <v>6</v>
      </c>
      <c r="C64">
        <v>1</v>
      </c>
      <c r="D64">
        <v>68.05412371134021</v>
      </c>
      <c r="E64">
        <v>90.50257731958763</v>
      </c>
      <c r="F64">
        <v>76.597938144329888</v>
      </c>
      <c r="G64">
        <v>20.115979381443299</v>
      </c>
      <c r="H64">
        <v>23.711340206185561</v>
      </c>
      <c r="I64">
        <v>0</v>
      </c>
      <c r="J64">
        <v>0</v>
      </c>
      <c r="K64">
        <v>1</v>
      </c>
      <c r="L64">
        <v>1</v>
      </c>
      <c r="M64">
        <v>0</v>
      </c>
      <c r="N64">
        <v>63</v>
      </c>
      <c r="O64">
        <v>73000</v>
      </c>
      <c r="P64">
        <v>4</v>
      </c>
      <c r="Q64">
        <v>3</v>
      </c>
      <c r="R64">
        <v>5</v>
      </c>
      <c r="S64">
        <v>5</v>
      </c>
      <c r="T64" s="123">
        <f t="shared" si="2"/>
        <v>0</v>
      </c>
      <c r="U64">
        <f t="shared" si="3"/>
        <v>1</v>
      </c>
      <c r="V64">
        <f t="shared" si="4"/>
        <v>0</v>
      </c>
      <c r="W64">
        <f t="shared" si="5"/>
        <v>1</v>
      </c>
      <c r="X64">
        <f t="shared" si="6"/>
        <v>1</v>
      </c>
    </row>
    <row r="65" spans="1:24">
      <c r="A65" t="s">
        <v>99</v>
      </c>
      <c r="B65">
        <v>7</v>
      </c>
      <c r="C65">
        <v>1</v>
      </c>
      <c r="D65">
        <v>39.484536082474229</v>
      </c>
      <c r="E65">
        <v>5.7603092783505172</v>
      </c>
      <c r="F65">
        <v>6.4948453608247414</v>
      </c>
      <c r="G65">
        <v>92.989690721649481</v>
      </c>
      <c r="H65">
        <v>91.855670103092791</v>
      </c>
      <c r="I65">
        <v>0</v>
      </c>
      <c r="J65">
        <v>1</v>
      </c>
      <c r="K65">
        <v>0</v>
      </c>
      <c r="L65">
        <v>1</v>
      </c>
      <c r="M65">
        <v>0</v>
      </c>
      <c r="N65">
        <v>63</v>
      </c>
      <c r="O65">
        <v>73000</v>
      </c>
      <c r="P65">
        <v>4</v>
      </c>
      <c r="Q65">
        <v>3</v>
      </c>
      <c r="R65">
        <v>5</v>
      </c>
      <c r="S65">
        <v>5</v>
      </c>
      <c r="T65" s="123">
        <f t="shared" si="2"/>
        <v>0</v>
      </c>
      <c r="U65">
        <f t="shared" si="3"/>
        <v>1</v>
      </c>
      <c r="V65">
        <f t="shared" si="4"/>
        <v>0</v>
      </c>
      <c r="W65">
        <f t="shared" si="5"/>
        <v>1</v>
      </c>
      <c r="X65">
        <f t="shared" si="6"/>
        <v>1</v>
      </c>
    </row>
    <row r="66" spans="1:24" hidden="1">
      <c r="A66" t="s">
        <v>100</v>
      </c>
      <c r="B66">
        <v>1</v>
      </c>
      <c r="C66">
        <v>1</v>
      </c>
      <c r="D66">
        <v>9.5772787318361967</v>
      </c>
      <c r="E66">
        <v>1.2360822796754101</v>
      </c>
      <c r="F66">
        <v>1.0756746555953931</v>
      </c>
      <c r="G66">
        <v>0.61332326854123265</v>
      </c>
      <c r="H66">
        <v>0.77373089262124939</v>
      </c>
      <c r="I66">
        <v>1</v>
      </c>
      <c r="J66">
        <v>0</v>
      </c>
      <c r="K66">
        <v>0</v>
      </c>
      <c r="L66">
        <v>1</v>
      </c>
      <c r="M66">
        <v>1</v>
      </c>
      <c r="N66">
        <v>21</v>
      </c>
      <c r="O66">
        <v>80000</v>
      </c>
      <c r="P66">
        <v>2</v>
      </c>
      <c r="Q66">
        <v>2</v>
      </c>
      <c r="R66">
        <v>4</v>
      </c>
      <c r="S66">
        <v>3</v>
      </c>
      <c r="T66" s="123">
        <f t="shared" si="2"/>
        <v>1</v>
      </c>
      <c r="U66">
        <f t="shared" si="3"/>
        <v>0</v>
      </c>
      <c r="V66">
        <f t="shared" si="4"/>
        <v>0</v>
      </c>
      <c r="W66">
        <f t="shared" si="5"/>
        <v>1</v>
      </c>
      <c r="X66">
        <f t="shared" si="6"/>
        <v>0</v>
      </c>
    </row>
    <row r="67" spans="1:24" hidden="1">
      <c r="A67" t="s">
        <v>100</v>
      </c>
      <c r="B67">
        <v>2</v>
      </c>
      <c r="C67">
        <v>1</v>
      </c>
      <c r="D67">
        <v>16.182298546895641</v>
      </c>
      <c r="E67">
        <v>2.8118512926967378</v>
      </c>
      <c r="F67">
        <v>3.764861294583882</v>
      </c>
      <c r="G67">
        <v>2.6514436686167211</v>
      </c>
      <c r="H67">
        <v>2.981694659369694</v>
      </c>
      <c r="I67">
        <v>0</v>
      </c>
      <c r="J67">
        <v>0</v>
      </c>
      <c r="K67">
        <v>0</v>
      </c>
      <c r="L67">
        <v>1</v>
      </c>
      <c r="M67">
        <v>1</v>
      </c>
      <c r="N67">
        <v>21</v>
      </c>
      <c r="O67">
        <v>80000</v>
      </c>
      <c r="P67">
        <v>2</v>
      </c>
      <c r="Q67">
        <v>2</v>
      </c>
      <c r="R67">
        <v>4</v>
      </c>
      <c r="S67">
        <v>3</v>
      </c>
      <c r="T67" s="123">
        <f t="shared" si="2"/>
        <v>1</v>
      </c>
      <c r="U67">
        <f t="shared" si="3"/>
        <v>0</v>
      </c>
      <c r="V67">
        <f t="shared" si="4"/>
        <v>0</v>
      </c>
      <c r="W67">
        <f t="shared" si="5"/>
        <v>1</v>
      </c>
      <c r="X67">
        <f t="shared" si="6"/>
        <v>0</v>
      </c>
    </row>
    <row r="68" spans="1:24" hidden="1">
      <c r="A68" t="s">
        <v>100</v>
      </c>
      <c r="B68">
        <v>3</v>
      </c>
      <c r="C68">
        <v>1</v>
      </c>
      <c r="D68">
        <v>8.4827325910549138</v>
      </c>
      <c r="E68">
        <v>0.45291564446122151</v>
      </c>
      <c r="F68">
        <v>1.566333270428383</v>
      </c>
      <c r="G68">
        <v>0.76429515002830462</v>
      </c>
      <c r="H68">
        <v>1.387054161162482</v>
      </c>
      <c r="I68">
        <v>0</v>
      </c>
      <c r="J68">
        <v>0</v>
      </c>
      <c r="K68">
        <v>0</v>
      </c>
      <c r="L68">
        <v>1</v>
      </c>
      <c r="M68">
        <v>1</v>
      </c>
      <c r="N68">
        <v>21</v>
      </c>
      <c r="O68">
        <v>80000</v>
      </c>
      <c r="P68">
        <v>2</v>
      </c>
      <c r="Q68">
        <v>2</v>
      </c>
      <c r="R68">
        <v>4</v>
      </c>
      <c r="S68">
        <v>3</v>
      </c>
      <c r="T68" s="123">
        <f t="shared" ref="T68:T131" si="7">IF(OR(IF(AVERAGE(E68:F68)-G68&gt;(10),1,0),IF(AVERAGE(E68:F68)-G68&lt;(-10),1,0)),0,1)</f>
        <v>1</v>
      </c>
      <c r="U68">
        <f t="shared" ref="U68:U131" si="8">IF(P68&gt;3,1,0)</f>
        <v>0</v>
      </c>
      <c r="V68">
        <f t="shared" ref="V68:V131" si="9">IF(Q68&gt;3,1,0)</f>
        <v>0</v>
      </c>
      <c r="W68">
        <f t="shared" ref="W68:W131" si="10">IF(R68&gt;3,1,0)</f>
        <v>1</v>
      </c>
      <c r="X68">
        <f t="shared" ref="X68:X131" si="11">IF(S68&gt;3,1,0)</f>
        <v>0</v>
      </c>
    </row>
    <row r="69" spans="1:24" hidden="1">
      <c r="A69" t="s">
        <v>100</v>
      </c>
      <c r="B69">
        <v>4</v>
      </c>
      <c r="C69">
        <v>1</v>
      </c>
      <c r="D69">
        <v>16.814493300622761</v>
      </c>
      <c r="E69">
        <v>5.4821664464993356</v>
      </c>
      <c r="F69">
        <v>24.221551236082281</v>
      </c>
      <c r="G69">
        <v>7.6995659558407246</v>
      </c>
      <c r="H69">
        <v>7.8505378373277974</v>
      </c>
      <c r="I69">
        <v>0</v>
      </c>
      <c r="J69">
        <v>0</v>
      </c>
      <c r="K69">
        <v>0</v>
      </c>
      <c r="L69">
        <v>1</v>
      </c>
      <c r="M69">
        <v>1</v>
      </c>
      <c r="N69">
        <v>21</v>
      </c>
      <c r="O69">
        <v>80000</v>
      </c>
      <c r="P69">
        <v>2</v>
      </c>
      <c r="Q69">
        <v>2</v>
      </c>
      <c r="R69">
        <v>4</v>
      </c>
      <c r="S69">
        <v>3</v>
      </c>
      <c r="T69" s="123">
        <f t="shared" si="7"/>
        <v>1</v>
      </c>
      <c r="U69">
        <f t="shared" si="8"/>
        <v>0</v>
      </c>
      <c r="V69">
        <f t="shared" si="9"/>
        <v>0</v>
      </c>
      <c r="W69">
        <f t="shared" si="10"/>
        <v>1</v>
      </c>
      <c r="X69">
        <f t="shared" si="11"/>
        <v>0</v>
      </c>
    </row>
    <row r="70" spans="1:24">
      <c r="A70" t="s">
        <v>100</v>
      </c>
      <c r="B70">
        <v>5</v>
      </c>
      <c r="C70">
        <v>1</v>
      </c>
      <c r="D70">
        <v>50</v>
      </c>
      <c r="E70">
        <v>80.724732591137311</v>
      </c>
      <c r="F70">
        <v>16.000873171796549</v>
      </c>
      <c r="G70">
        <v>15.45514079895219</v>
      </c>
      <c r="H70">
        <v>18.32569308011351</v>
      </c>
      <c r="I70">
        <v>0</v>
      </c>
      <c r="J70">
        <v>0</v>
      </c>
      <c r="K70">
        <v>0</v>
      </c>
      <c r="L70">
        <v>1</v>
      </c>
      <c r="M70">
        <v>1</v>
      </c>
      <c r="N70">
        <v>21</v>
      </c>
      <c r="O70">
        <v>80000</v>
      </c>
      <c r="P70">
        <v>2</v>
      </c>
      <c r="Q70">
        <v>2</v>
      </c>
      <c r="R70">
        <v>4</v>
      </c>
      <c r="S70">
        <v>3</v>
      </c>
      <c r="T70" s="123">
        <f t="shared" si="7"/>
        <v>0</v>
      </c>
      <c r="U70">
        <f t="shared" si="8"/>
        <v>0</v>
      </c>
      <c r="V70">
        <f t="shared" si="9"/>
        <v>0</v>
      </c>
      <c r="W70">
        <f t="shared" si="10"/>
        <v>1</v>
      </c>
      <c r="X70">
        <f t="shared" si="11"/>
        <v>0</v>
      </c>
    </row>
    <row r="71" spans="1:24" hidden="1">
      <c r="A71" t="s">
        <v>100</v>
      </c>
      <c r="B71">
        <v>6</v>
      </c>
      <c r="C71">
        <v>1</v>
      </c>
      <c r="D71">
        <v>2.1611001964636549</v>
      </c>
      <c r="E71">
        <v>2.3466492032307329</v>
      </c>
      <c r="F71">
        <v>12.91202794149749</v>
      </c>
      <c r="G71">
        <v>3.4381139489194519</v>
      </c>
      <c r="H71">
        <v>6.1667758131412338</v>
      </c>
      <c r="I71">
        <v>0</v>
      </c>
      <c r="J71">
        <v>0</v>
      </c>
      <c r="K71">
        <v>0</v>
      </c>
      <c r="L71">
        <v>1</v>
      </c>
      <c r="M71">
        <v>1</v>
      </c>
      <c r="N71">
        <v>21</v>
      </c>
      <c r="O71">
        <v>80000</v>
      </c>
      <c r="P71">
        <v>2</v>
      </c>
      <c r="Q71">
        <v>2</v>
      </c>
      <c r="R71">
        <v>4</v>
      </c>
      <c r="S71">
        <v>3</v>
      </c>
      <c r="T71" s="123">
        <f t="shared" si="7"/>
        <v>1</v>
      </c>
      <c r="U71">
        <f t="shared" si="8"/>
        <v>0</v>
      </c>
      <c r="V71">
        <f t="shared" si="9"/>
        <v>0</v>
      </c>
      <c r="W71">
        <f t="shared" si="10"/>
        <v>1</v>
      </c>
      <c r="X71">
        <f t="shared" si="11"/>
        <v>0</v>
      </c>
    </row>
    <row r="72" spans="1:24" hidden="1">
      <c r="A72" t="s">
        <v>100</v>
      </c>
      <c r="B72">
        <v>7</v>
      </c>
      <c r="C72">
        <v>1</v>
      </c>
      <c r="D72">
        <v>29.283999126828199</v>
      </c>
      <c r="E72">
        <v>7.0617769046059822</v>
      </c>
      <c r="F72">
        <v>2.7177472167648991</v>
      </c>
      <c r="G72">
        <v>0</v>
      </c>
      <c r="H72">
        <v>2.7177472167648991</v>
      </c>
      <c r="I72">
        <v>0</v>
      </c>
      <c r="J72">
        <v>1</v>
      </c>
      <c r="K72">
        <v>0</v>
      </c>
      <c r="L72">
        <v>1</v>
      </c>
      <c r="M72">
        <v>1</v>
      </c>
      <c r="N72">
        <v>21</v>
      </c>
      <c r="O72">
        <v>80000</v>
      </c>
      <c r="P72">
        <v>2</v>
      </c>
      <c r="Q72">
        <v>2</v>
      </c>
      <c r="R72">
        <v>4</v>
      </c>
      <c r="S72">
        <v>3</v>
      </c>
      <c r="T72" s="123">
        <f t="shared" si="7"/>
        <v>1</v>
      </c>
      <c r="U72">
        <f t="shared" si="8"/>
        <v>0</v>
      </c>
      <c r="V72">
        <f t="shared" si="9"/>
        <v>0</v>
      </c>
      <c r="W72">
        <f t="shared" si="10"/>
        <v>1</v>
      </c>
      <c r="X72">
        <f t="shared" si="11"/>
        <v>0</v>
      </c>
    </row>
    <row r="73" spans="1:24" hidden="1">
      <c r="A73" t="s">
        <v>101</v>
      </c>
      <c r="B73">
        <v>1</v>
      </c>
      <c r="C73">
        <v>1</v>
      </c>
      <c r="D73">
        <v>12.63898540653231</v>
      </c>
      <c r="E73">
        <v>5.6984016678248759</v>
      </c>
      <c r="F73">
        <v>6.8797776233495478</v>
      </c>
      <c r="G73">
        <v>5.6289089645587209</v>
      </c>
      <c r="H73">
        <v>93.320013898540651</v>
      </c>
      <c r="I73">
        <v>1</v>
      </c>
      <c r="J73">
        <v>0</v>
      </c>
      <c r="K73">
        <v>0</v>
      </c>
      <c r="L73">
        <v>1</v>
      </c>
      <c r="M73">
        <v>0</v>
      </c>
      <c r="N73">
        <v>31</v>
      </c>
      <c r="O73">
        <v>-99</v>
      </c>
      <c r="P73">
        <v>1</v>
      </c>
      <c r="Q73">
        <v>1</v>
      </c>
      <c r="R73">
        <v>1</v>
      </c>
      <c r="S73">
        <v>5</v>
      </c>
      <c r="T73" s="123">
        <f t="shared" si="7"/>
        <v>1</v>
      </c>
      <c r="U73">
        <f t="shared" si="8"/>
        <v>0</v>
      </c>
      <c r="V73">
        <f t="shared" si="9"/>
        <v>0</v>
      </c>
      <c r="W73">
        <f t="shared" si="10"/>
        <v>0</v>
      </c>
      <c r="X73">
        <f t="shared" si="11"/>
        <v>1</v>
      </c>
    </row>
    <row r="74" spans="1:24" hidden="1">
      <c r="A74" t="s">
        <v>101</v>
      </c>
      <c r="B74">
        <v>2</v>
      </c>
      <c r="C74">
        <v>1</v>
      </c>
      <c r="D74">
        <v>3.9610840861709522</v>
      </c>
      <c r="E74">
        <v>2.084781097984711</v>
      </c>
      <c r="F74">
        <v>2.5712300208478092</v>
      </c>
      <c r="G74">
        <v>3.613620569840164</v>
      </c>
      <c r="H74">
        <v>84.989576094510085</v>
      </c>
      <c r="I74">
        <v>0</v>
      </c>
      <c r="J74">
        <v>0</v>
      </c>
      <c r="K74">
        <v>0</v>
      </c>
      <c r="L74">
        <v>1</v>
      </c>
      <c r="M74">
        <v>0</v>
      </c>
      <c r="N74">
        <v>31</v>
      </c>
      <c r="O74">
        <v>-99</v>
      </c>
      <c r="P74">
        <v>1</v>
      </c>
      <c r="Q74">
        <v>1</v>
      </c>
      <c r="R74">
        <v>1</v>
      </c>
      <c r="S74">
        <v>5</v>
      </c>
      <c r="T74" s="123">
        <f t="shared" si="7"/>
        <v>1</v>
      </c>
      <c r="U74">
        <f t="shared" si="8"/>
        <v>0</v>
      </c>
      <c r="V74">
        <f t="shared" si="9"/>
        <v>0</v>
      </c>
      <c r="W74">
        <f t="shared" si="10"/>
        <v>0</v>
      </c>
      <c r="X74">
        <f t="shared" si="11"/>
        <v>1</v>
      </c>
    </row>
    <row r="75" spans="1:24" hidden="1">
      <c r="A75" t="s">
        <v>101</v>
      </c>
      <c r="B75">
        <v>3</v>
      </c>
      <c r="C75">
        <v>1</v>
      </c>
      <c r="D75">
        <v>0.55594162612925824</v>
      </c>
      <c r="E75">
        <v>1.0423905489923559</v>
      </c>
      <c r="F75">
        <v>6.9492703266155198E-2</v>
      </c>
      <c r="G75">
        <v>0</v>
      </c>
      <c r="H75">
        <v>4.5257123002084789</v>
      </c>
      <c r="I75">
        <v>0</v>
      </c>
      <c r="J75">
        <v>0</v>
      </c>
      <c r="K75">
        <v>0</v>
      </c>
      <c r="L75">
        <v>1</v>
      </c>
      <c r="M75">
        <v>0</v>
      </c>
      <c r="N75">
        <v>31</v>
      </c>
      <c r="O75">
        <v>-99</v>
      </c>
      <c r="P75">
        <v>1</v>
      </c>
      <c r="Q75">
        <v>1</v>
      </c>
      <c r="R75">
        <v>1</v>
      </c>
      <c r="S75">
        <v>5</v>
      </c>
      <c r="T75" s="123">
        <f t="shared" si="7"/>
        <v>1</v>
      </c>
      <c r="U75">
        <f t="shared" si="8"/>
        <v>0</v>
      </c>
      <c r="V75">
        <f t="shared" si="9"/>
        <v>0</v>
      </c>
      <c r="W75">
        <f t="shared" si="10"/>
        <v>0</v>
      </c>
      <c r="X75">
        <f t="shared" si="11"/>
        <v>1</v>
      </c>
    </row>
    <row r="76" spans="1:24" hidden="1">
      <c r="A76" t="s">
        <v>101</v>
      </c>
      <c r="B76">
        <v>4</v>
      </c>
      <c r="C76">
        <v>1</v>
      </c>
      <c r="D76">
        <v>0.41695621959694229</v>
      </c>
      <c r="E76">
        <v>4.9339819318971534</v>
      </c>
      <c r="F76">
        <v>0</v>
      </c>
      <c r="G76">
        <v>6.9492703266155198E-2</v>
      </c>
      <c r="H76">
        <v>2.4235580264072301</v>
      </c>
      <c r="I76">
        <v>0</v>
      </c>
      <c r="J76">
        <v>0</v>
      </c>
      <c r="K76">
        <v>0</v>
      </c>
      <c r="L76">
        <v>1</v>
      </c>
      <c r="M76">
        <v>0</v>
      </c>
      <c r="N76">
        <v>31</v>
      </c>
      <c r="O76">
        <v>-99</v>
      </c>
      <c r="P76">
        <v>1</v>
      </c>
      <c r="Q76">
        <v>1</v>
      </c>
      <c r="R76">
        <v>1</v>
      </c>
      <c r="S76">
        <v>5</v>
      </c>
      <c r="T76" s="123">
        <f t="shared" si="7"/>
        <v>1</v>
      </c>
      <c r="U76">
        <f t="shared" si="8"/>
        <v>0</v>
      </c>
      <c r="V76">
        <f t="shared" si="9"/>
        <v>0</v>
      </c>
      <c r="W76">
        <f t="shared" si="10"/>
        <v>0</v>
      </c>
      <c r="X76">
        <f t="shared" si="11"/>
        <v>1</v>
      </c>
    </row>
    <row r="77" spans="1:24" hidden="1">
      <c r="A77" t="s">
        <v>101</v>
      </c>
      <c r="B77">
        <v>5</v>
      </c>
      <c r="C77">
        <v>1</v>
      </c>
      <c r="D77">
        <v>1.1900625434329399</v>
      </c>
      <c r="E77">
        <v>1.937109103544127</v>
      </c>
      <c r="F77">
        <v>0.62543432939541344</v>
      </c>
      <c r="G77">
        <v>6.0458651841556632</v>
      </c>
      <c r="H77">
        <v>98.062890896455883</v>
      </c>
      <c r="I77">
        <v>0</v>
      </c>
      <c r="J77">
        <v>0</v>
      </c>
      <c r="K77">
        <v>0</v>
      </c>
      <c r="L77">
        <v>1</v>
      </c>
      <c r="M77">
        <v>0</v>
      </c>
      <c r="N77">
        <v>31</v>
      </c>
      <c r="O77">
        <v>-99</v>
      </c>
      <c r="P77">
        <v>1</v>
      </c>
      <c r="Q77">
        <v>1</v>
      </c>
      <c r="R77">
        <v>1</v>
      </c>
      <c r="S77">
        <v>5</v>
      </c>
      <c r="T77" s="123">
        <f t="shared" si="7"/>
        <v>1</v>
      </c>
      <c r="U77">
        <f t="shared" si="8"/>
        <v>0</v>
      </c>
      <c r="V77">
        <f t="shared" si="9"/>
        <v>0</v>
      </c>
      <c r="W77">
        <f t="shared" si="10"/>
        <v>0</v>
      </c>
      <c r="X77">
        <f t="shared" si="11"/>
        <v>1</v>
      </c>
    </row>
    <row r="78" spans="1:24" hidden="1">
      <c r="A78" t="s">
        <v>101</v>
      </c>
      <c r="B78">
        <v>6</v>
      </c>
      <c r="C78">
        <v>1</v>
      </c>
      <c r="D78">
        <v>10.41521890201529</v>
      </c>
      <c r="E78">
        <v>6.845031271716473</v>
      </c>
      <c r="F78">
        <v>7.9308547602501722</v>
      </c>
      <c r="G78">
        <v>4.3693537178596253</v>
      </c>
      <c r="H78">
        <v>33.877692842251562</v>
      </c>
      <c r="I78">
        <v>0</v>
      </c>
      <c r="J78">
        <v>0</v>
      </c>
      <c r="K78">
        <v>0</v>
      </c>
      <c r="L78">
        <v>1</v>
      </c>
      <c r="M78">
        <v>0</v>
      </c>
      <c r="N78">
        <v>31</v>
      </c>
      <c r="O78">
        <v>-99</v>
      </c>
      <c r="P78">
        <v>1</v>
      </c>
      <c r="Q78">
        <v>1</v>
      </c>
      <c r="R78">
        <v>1</v>
      </c>
      <c r="S78">
        <v>5</v>
      </c>
      <c r="T78" s="123">
        <f t="shared" si="7"/>
        <v>1</v>
      </c>
      <c r="U78">
        <f t="shared" si="8"/>
        <v>0</v>
      </c>
      <c r="V78">
        <f t="shared" si="9"/>
        <v>0</v>
      </c>
      <c r="W78">
        <f t="shared" si="10"/>
        <v>0</v>
      </c>
      <c r="X78">
        <f t="shared" si="11"/>
        <v>1</v>
      </c>
    </row>
    <row r="79" spans="1:24">
      <c r="A79" t="s">
        <v>101</v>
      </c>
      <c r="B79">
        <v>7</v>
      </c>
      <c r="C79">
        <v>1</v>
      </c>
      <c r="D79">
        <v>7.2826086956521703</v>
      </c>
      <c r="E79">
        <v>30.09782608695652</v>
      </c>
      <c r="F79">
        <v>12.163043478260869</v>
      </c>
      <c r="G79">
        <v>50</v>
      </c>
      <c r="H79">
        <v>86.923913043478265</v>
      </c>
      <c r="I79">
        <v>0</v>
      </c>
      <c r="J79">
        <v>1</v>
      </c>
      <c r="K79">
        <v>0</v>
      </c>
      <c r="L79">
        <v>1</v>
      </c>
      <c r="M79">
        <v>0</v>
      </c>
      <c r="N79">
        <v>31</v>
      </c>
      <c r="O79">
        <v>-99</v>
      </c>
      <c r="P79">
        <v>1</v>
      </c>
      <c r="Q79">
        <v>1</v>
      </c>
      <c r="R79">
        <v>1</v>
      </c>
      <c r="S79">
        <v>5</v>
      </c>
      <c r="T79" s="123">
        <f t="shared" si="7"/>
        <v>0</v>
      </c>
      <c r="U79">
        <f t="shared" si="8"/>
        <v>0</v>
      </c>
      <c r="V79">
        <f t="shared" si="9"/>
        <v>0</v>
      </c>
      <c r="W79">
        <f t="shared" si="10"/>
        <v>0</v>
      </c>
      <c r="X79">
        <f t="shared" si="11"/>
        <v>1</v>
      </c>
    </row>
    <row r="80" spans="1:24" hidden="1">
      <c r="A80" t="s">
        <v>288</v>
      </c>
      <c r="B80">
        <v>1</v>
      </c>
      <c r="C80">
        <v>1</v>
      </c>
      <c r="D80">
        <v>21.58250581026833</v>
      </c>
      <c r="E80">
        <v>4.5003169237270217</v>
      </c>
      <c r="F80">
        <v>10.785970843017109</v>
      </c>
      <c r="G80">
        <v>4.6693429114726399</v>
      </c>
      <c r="H80">
        <v>6.1271920557785737</v>
      </c>
      <c r="I80">
        <v>1</v>
      </c>
      <c r="J80">
        <v>0</v>
      </c>
      <c r="K80">
        <v>0</v>
      </c>
      <c r="L80">
        <v>1</v>
      </c>
      <c r="M80">
        <v>1</v>
      </c>
      <c r="N80">
        <v>46</v>
      </c>
      <c r="O80">
        <v>-99</v>
      </c>
      <c r="P80">
        <v>1</v>
      </c>
      <c r="Q80">
        <v>1</v>
      </c>
      <c r="R80">
        <v>3</v>
      </c>
      <c r="S80">
        <v>1</v>
      </c>
      <c r="T80" s="123">
        <f t="shared" si="7"/>
        <v>1</v>
      </c>
      <c r="U80">
        <f t="shared" si="8"/>
        <v>0</v>
      </c>
      <c r="V80">
        <f t="shared" si="9"/>
        <v>0</v>
      </c>
      <c r="W80">
        <f t="shared" si="10"/>
        <v>0</v>
      </c>
      <c r="X80">
        <f t="shared" si="11"/>
        <v>0</v>
      </c>
    </row>
    <row r="81" spans="1:24" hidden="1">
      <c r="A81" t="s">
        <v>288</v>
      </c>
      <c r="B81">
        <v>2</v>
      </c>
      <c r="C81">
        <v>1</v>
      </c>
      <c r="D81">
        <v>2.1867737164589061</v>
      </c>
      <c r="E81">
        <v>1.764208747094864</v>
      </c>
      <c r="F81">
        <v>1.2148742869216129</v>
      </c>
      <c r="G81">
        <v>11.09233044580604</v>
      </c>
      <c r="H81">
        <v>1.278259032326218</v>
      </c>
      <c r="I81">
        <v>0</v>
      </c>
      <c r="J81">
        <v>0</v>
      </c>
      <c r="K81">
        <v>0</v>
      </c>
      <c r="L81">
        <v>1</v>
      </c>
      <c r="M81">
        <v>1</v>
      </c>
      <c r="N81">
        <v>46</v>
      </c>
      <c r="O81">
        <v>-99</v>
      </c>
      <c r="P81">
        <v>1</v>
      </c>
      <c r="Q81">
        <v>1</v>
      </c>
      <c r="R81">
        <v>3</v>
      </c>
      <c r="S81">
        <v>1</v>
      </c>
      <c r="T81" s="123">
        <f t="shared" si="7"/>
        <v>1</v>
      </c>
      <c r="U81">
        <f t="shared" si="8"/>
        <v>0</v>
      </c>
      <c r="V81">
        <f t="shared" si="9"/>
        <v>0</v>
      </c>
      <c r="W81">
        <f t="shared" si="10"/>
        <v>0</v>
      </c>
      <c r="X81">
        <f t="shared" si="11"/>
        <v>0</v>
      </c>
    </row>
    <row r="82" spans="1:24" hidden="1">
      <c r="A82" t="s">
        <v>288</v>
      </c>
      <c r="B82">
        <v>3</v>
      </c>
      <c r="C82">
        <v>1</v>
      </c>
      <c r="D82">
        <v>0</v>
      </c>
      <c r="E82">
        <v>6.066136998067428</v>
      </c>
      <c r="F82">
        <v>0</v>
      </c>
      <c r="G82">
        <v>0</v>
      </c>
      <c r="H82">
        <v>0</v>
      </c>
      <c r="I82">
        <v>0</v>
      </c>
      <c r="J82">
        <v>0</v>
      </c>
      <c r="K82">
        <v>0</v>
      </c>
      <c r="L82">
        <v>1</v>
      </c>
      <c r="M82">
        <v>1</v>
      </c>
      <c r="N82">
        <v>46</v>
      </c>
      <c r="O82">
        <v>-99</v>
      </c>
      <c r="P82">
        <v>1</v>
      </c>
      <c r="Q82">
        <v>1</v>
      </c>
      <c r="R82">
        <v>3</v>
      </c>
      <c r="S82">
        <v>1</v>
      </c>
      <c r="T82" s="123">
        <f t="shared" si="7"/>
        <v>1</v>
      </c>
      <c r="U82">
        <f t="shared" si="8"/>
        <v>0</v>
      </c>
      <c r="V82">
        <f t="shared" si="9"/>
        <v>0</v>
      </c>
      <c r="W82">
        <f t="shared" si="10"/>
        <v>0</v>
      </c>
      <c r="X82">
        <f t="shared" si="11"/>
        <v>0</v>
      </c>
    </row>
    <row r="83" spans="1:24" hidden="1">
      <c r="A83" t="s">
        <v>288</v>
      </c>
      <c r="B83">
        <v>4</v>
      </c>
      <c r="C83">
        <v>1</v>
      </c>
      <c r="D83">
        <v>0</v>
      </c>
      <c r="E83">
        <v>0</v>
      </c>
      <c r="F83">
        <v>0</v>
      </c>
      <c r="G83">
        <v>0</v>
      </c>
      <c r="H83">
        <v>0</v>
      </c>
      <c r="I83">
        <v>0</v>
      </c>
      <c r="J83">
        <v>0</v>
      </c>
      <c r="K83">
        <v>0</v>
      </c>
      <c r="L83">
        <v>1</v>
      </c>
      <c r="M83">
        <v>1</v>
      </c>
      <c r="N83">
        <v>46</v>
      </c>
      <c r="O83">
        <v>-99</v>
      </c>
      <c r="P83">
        <v>1</v>
      </c>
      <c r="Q83">
        <v>1</v>
      </c>
      <c r="R83">
        <v>3</v>
      </c>
      <c r="S83">
        <v>1</v>
      </c>
      <c r="T83" s="123">
        <f t="shared" si="7"/>
        <v>1</v>
      </c>
      <c r="U83">
        <f t="shared" si="8"/>
        <v>0</v>
      </c>
      <c r="V83">
        <f t="shared" si="9"/>
        <v>0</v>
      </c>
      <c r="W83">
        <f t="shared" si="10"/>
        <v>0</v>
      </c>
      <c r="X83">
        <f t="shared" si="11"/>
        <v>0</v>
      </c>
    </row>
    <row r="84" spans="1:24" hidden="1">
      <c r="A84" t="s">
        <v>288</v>
      </c>
      <c r="B84">
        <v>5</v>
      </c>
      <c r="C84">
        <v>1</v>
      </c>
      <c r="D84">
        <v>13.012669100279149</v>
      </c>
      <c r="E84">
        <v>50</v>
      </c>
      <c r="F84">
        <v>13.474339703671889</v>
      </c>
      <c r="G84">
        <v>36.482714193686917</v>
      </c>
      <c r="H84">
        <v>20.968434614558731</v>
      </c>
      <c r="I84">
        <v>0</v>
      </c>
      <c r="J84">
        <v>0</v>
      </c>
      <c r="K84">
        <v>0</v>
      </c>
      <c r="L84">
        <v>1</v>
      </c>
      <c r="M84">
        <v>1</v>
      </c>
      <c r="N84">
        <v>46</v>
      </c>
      <c r="O84">
        <v>-99</v>
      </c>
      <c r="P84">
        <v>1</v>
      </c>
      <c r="Q84">
        <v>1</v>
      </c>
      <c r="R84">
        <v>3</v>
      </c>
      <c r="S84">
        <v>1</v>
      </c>
      <c r="T84" s="123">
        <f t="shared" si="7"/>
        <v>1</v>
      </c>
      <c r="U84">
        <f t="shared" si="8"/>
        <v>0</v>
      </c>
      <c r="V84">
        <f t="shared" si="9"/>
        <v>0</v>
      </c>
      <c r="W84">
        <f t="shared" si="10"/>
        <v>0</v>
      </c>
      <c r="X84">
        <f t="shared" si="11"/>
        <v>0</v>
      </c>
    </row>
    <row r="85" spans="1:24" hidden="1">
      <c r="A85" t="s">
        <v>288</v>
      </c>
      <c r="B85">
        <v>6</v>
      </c>
      <c r="C85">
        <v>1</v>
      </c>
      <c r="D85">
        <v>0</v>
      </c>
      <c r="E85">
        <v>0</v>
      </c>
      <c r="F85">
        <v>0</v>
      </c>
      <c r="G85">
        <v>4.8529095984539419</v>
      </c>
      <c r="H85">
        <v>0</v>
      </c>
      <c r="I85">
        <v>0</v>
      </c>
      <c r="J85">
        <v>0</v>
      </c>
      <c r="K85">
        <v>0</v>
      </c>
      <c r="L85">
        <v>1</v>
      </c>
      <c r="M85">
        <v>1</v>
      </c>
      <c r="N85">
        <v>46</v>
      </c>
      <c r="O85">
        <v>-99</v>
      </c>
      <c r="P85">
        <v>1</v>
      </c>
      <c r="Q85">
        <v>1</v>
      </c>
      <c r="R85">
        <v>3</v>
      </c>
      <c r="S85">
        <v>1</v>
      </c>
      <c r="T85" s="123">
        <f t="shared" si="7"/>
        <v>1</v>
      </c>
      <c r="U85">
        <f t="shared" si="8"/>
        <v>0</v>
      </c>
      <c r="V85">
        <f t="shared" si="9"/>
        <v>0</v>
      </c>
      <c r="W85">
        <f t="shared" si="10"/>
        <v>0</v>
      </c>
      <c r="X85">
        <f t="shared" si="11"/>
        <v>0</v>
      </c>
    </row>
    <row r="86" spans="1:24" hidden="1">
      <c r="A86" t="s">
        <v>288</v>
      </c>
      <c r="B86">
        <v>7</v>
      </c>
      <c r="C86">
        <v>1</v>
      </c>
      <c r="D86">
        <v>0</v>
      </c>
      <c r="E86">
        <v>0</v>
      </c>
      <c r="F86">
        <v>7.375993128623576</v>
      </c>
      <c r="G86">
        <v>0</v>
      </c>
      <c r="H86">
        <v>0</v>
      </c>
      <c r="I86">
        <v>0</v>
      </c>
      <c r="J86">
        <v>1</v>
      </c>
      <c r="K86">
        <v>0</v>
      </c>
      <c r="L86">
        <v>1</v>
      </c>
      <c r="M86">
        <v>1</v>
      </c>
      <c r="N86">
        <v>46</v>
      </c>
      <c r="O86">
        <v>-99</v>
      </c>
      <c r="P86">
        <v>1</v>
      </c>
      <c r="Q86">
        <v>1</v>
      </c>
      <c r="R86">
        <v>3</v>
      </c>
      <c r="S86">
        <v>1</v>
      </c>
      <c r="T86" s="123">
        <f t="shared" si="7"/>
        <v>1</v>
      </c>
      <c r="U86">
        <f t="shared" si="8"/>
        <v>0</v>
      </c>
      <c r="V86">
        <f t="shared" si="9"/>
        <v>0</v>
      </c>
      <c r="W86">
        <f t="shared" si="10"/>
        <v>0</v>
      </c>
      <c r="X86">
        <f t="shared" si="11"/>
        <v>0</v>
      </c>
    </row>
    <row r="87" spans="1:24">
      <c r="A87" t="s">
        <v>102</v>
      </c>
      <c r="B87">
        <v>1</v>
      </c>
      <c r="C87">
        <v>1</v>
      </c>
      <c r="D87">
        <v>94.475787494123182</v>
      </c>
      <c r="E87">
        <v>50</v>
      </c>
      <c r="F87">
        <v>95.086976962858486</v>
      </c>
      <c r="G87">
        <v>6.5115185707569356</v>
      </c>
      <c r="H87">
        <v>18.312176774800189</v>
      </c>
      <c r="I87">
        <v>1</v>
      </c>
      <c r="J87">
        <v>0</v>
      </c>
      <c r="K87">
        <v>1</v>
      </c>
      <c r="L87">
        <v>1</v>
      </c>
      <c r="M87">
        <v>0</v>
      </c>
      <c r="N87">
        <v>33</v>
      </c>
      <c r="O87">
        <v>35000</v>
      </c>
      <c r="P87">
        <v>4</v>
      </c>
      <c r="Q87">
        <v>4</v>
      </c>
      <c r="R87">
        <v>4</v>
      </c>
      <c r="S87">
        <v>4</v>
      </c>
      <c r="T87" s="123">
        <f t="shared" si="7"/>
        <v>0</v>
      </c>
      <c r="U87">
        <f t="shared" si="8"/>
        <v>1</v>
      </c>
      <c r="V87">
        <f t="shared" si="9"/>
        <v>1</v>
      </c>
      <c r="W87">
        <f t="shared" si="10"/>
        <v>1</v>
      </c>
      <c r="X87">
        <f t="shared" si="11"/>
        <v>1</v>
      </c>
    </row>
    <row r="88" spans="1:24">
      <c r="A88" t="s">
        <v>102</v>
      </c>
      <c r="B88">
        <v>2</v>
      </c>
      <c r="C88">
        <v>1</v>
      </c>
      <c r="D88">
        <v>94.07616361071932</v>
      </c>
      <c r="E88">
        <v>85.084626234132571</v>
      </c>
      <c r="F88">
        <v>94.934179595674664</v>
      </c>
      <c r="G88">
        <v>28.608368594264221</v>
      </c>
      <c r="H88">
        <v>6.2999529854254828</v>
      </c>
      <c r="I88">
        <v>0</v>
      </c>
      <c r="J88">
        <v>0</v>
      </c>
      <c r="K88">
        <v>1</v>
      </c>
      <c r="L88">
        <v>1</v>
      </c>
      <c r="M88">
        <v>0</v>
      </c>
      <c r="N88">
        <v>33</v>
      </c>
      <c r="O88">
        <v>35000</v>
      </c>
      <c r="P88">
        <v>4</v>
      </c>
      <c r="Q88">
        <v>4</v>
      </c>
      <c r="R88">
        <v>4</v>
      </c>
      <c r="S88">
        <v>4</v>
      </c>
      <c r="T88" s="123">
        <f t="shared" si="7"/>
        <v>0</v>
      </c>
      <c r="U88">
        <f t="shared" si="8"/>
        <v>1</v>
      </c>
      <c r="V88">
        <f t="shared" si="9"/>
        <v>1</v>
      </c>
      <c r="W88">
        <f t="shared" si="10"/>
        <v>1</v>
      </c>
      <c r="X88">
        <f t="shared" si="11"/>
        <v>1</v>
      </c>
    </row>
    <row r="89" spans="1:24">
      <c r="A89" t="s">
        <v>102</v>
      </c>
      <c r="B89">
        <v>3</v>
      </c>
      <c r="C89">
        <v>1</v>
      </c>
      <c r="D89">
        <v>0</v>
      </c>
      <c r="E89">
        <v>84.708509637987774</v>
      </c>
      <c r="F89">
        <v>0.6464503996238824</v>
      </c>
      <c r="G89">
        <v>97.943112364833098</v>
      </c>
      <c r="H89">
        <v>99.788434414668544</v>
      </c>
      <c r="I89">
        <v>0</v>
      </c>
      <c r="J89">
        <v>0</v>
      </c>
      <c r="K89">
        <v>0</v>
      </c>
      <c r="L89">
        <v>1</v>
      </c>
      <c r="M89">
        <v>0</v>
      </c>
      <c r="N89">
        <v>33</v>
      </c>
      <c r="O89">
        <v>35000</v>
      </c>
      <c r="P89">
        <v>4</v>
      </c>
      <c r="Q89">
        <v>4</v>
      </c>
      <c r="R89">
        <v>4</v>
      </c>
      <c r="S89">
        <v>4</v>
      </c>
      <c r="T89" s="123">
        <f t="shared" si="7"/>
        <v>0</v>
      </c>
      <c r="U89">
        <f t="shared" si="8"/>
        <v>1</v>
      </c>
      <c r="V89">
        <f t="shared" si="9"/>
        <v>1</v>
      </c>
      <c r="W89">
        <f t="shared" si="10"/>
        <v>1</v>
      </c>
      <c r="X89">
        <f t="shared" si="11"/>
        <v>1</v>
      </c>
    </row>
    <row r="90" spans="1:24">
      <c r="A90" t="s">
        <v>102</v>
      </c>
      <c r="B90">
        <v>4</v>
      </c>
      <c r="C90">
        <v>1</v>
      </c>
      <c r="D90">
        <v>89.198401504466389</v>
      </c>
      <c r="E90">
        <v>87.364833098260462</v>
      </c>
      <c r="F90">
        <v>92.266102491772443</v>
      </c>
      <c r="G90">
        <v>10.801598495533611</v>
      </c>
      <c r="H90">
        <v>2.0921485660554802</v>
      </c>
      <c r="I90">
        <v>0</v>
      </c>
      <c r="J90">
        <v>0</v>
      </c>
      <c r="K90">
        <v>1</v>
      </c>
      <c r="L90">
        <v>1</v>
      </c>
      <c r="M90">
        <v>0</v>
      </c>
      <c r="N90">
        <v>33</v>
      </c>
      <c r="O90">
        <v>35000</v>
      </c>
      <c r="P90">
        <v>4</v>
      </c>
      <c r="Q90">
        <v>4</v>
      </c>
      <c r="R90">
        <v>4</v>
      </c>
      <c r="S90">
        <v>4</v>
      </c>
      <c r="T90" s="123">
        <f t="shared" si="7"/>
        <v>0</v>
      </c>
      <c r="U90">
        <f t="shared" si="8"/>
        <v>1</v>
      </c>
      <c r="V90">
        <f t="shared" si="9"/>
        <v>1</v>
      </c>
      <c r="W90">
        <f t="shared" si="10"/>
        <v>1</v>
      </c>
      <c r="X90">
        <f t="shared" si="11"/>
        <v>1</v>
      </c>
    </row>
    <row r="91" spans="1:24">
      <c r="A91" t="s">
        <v>102</v>
      </c>
      <c r="B91">
        <v>5</v>
      </c>
      <c r="C91">
        <v>1</v>
      </c>
      <c r="D91">
        <v>95.698166431593791</v>
      </c>
      <c r="E91">
        <v>9.814292430653504</v>
      </c>
      <c r="F91">
        <v>97.731546779501642</v>
      </c>
      <c r="G91">
        <v>11.013164080865071</v>
      </c>
      <c r="H91">
        <v>81.864127879642695</v>
      </c>
      <c r="I91">
        <v>0</v>
      </c>
      <c r="J91">
        <v>0</v>
      </c>
      <c r="K91">
        <v>1</v>
      </c>
      <c r="L91">
        <v>1</v>
      </c>
      <c r="M91">
        <v>0</v>
      </c>
      <c r="N91">
        <v>33</v>
      </c>
      <c r="O91">
        <v>35000</v>
      </c>
      <c r="P91">
        <v>4</v>
      </c>
      <c r="Q91">
        <v>4</v>
      </c>
      <c r="R91">
        <v>4</v>
      </c>
      <c r="S91">
        <v>4</v>
      </c>
      <c r="T91" s="123">
        <f t="shared" si="7"/>
        <v>0</v>
      </c>
      <c r="U91">
        <f t="shared" si="8"/>
        <v>1</v>
      </c>
      <c r="V91">
        <f t="shared" si="9"/>
        <v>1</v>
      </c>
      <c r="W91">
        <f t="shared" si="10"/>
        <v>1</v>
      </c>
      <c r="X91">
        <f t="shared" si="11"/>
        <v>1</v>
      </c>
    </row>
    <row r="92" spans="1:24">
      <c r="A92" t="s">
        <v>102</v>
      </c>
      <c r="B92">
        <v>6</v>
      </c>
      <c r="C92">
        <v>1</v>
      </c>
      <c r="D92">
        <v>80.253878702397742</v>
      </c>
      <c r="E92">
        <v>16.137752703338041</v>
      </c>
      <c r="F92">
        <v>98.519040902679833</v>
      </c>
      <c r="G92">
        <v>5.7122708039492256</v>
      </c>
      <c r="H92">
        <v>5.9238363892806776</v>
      </c>
      <c r="I92">
        <v>0</v>
      </c>
      <c r="J92">
        <v>0</v>
      </c>
      <c r="K92">
        <v>1</v>
      </c>
      <c r="L92">
        <v>1</v>
      </c>
      <c r="M92">
        <v>0</v>
      </c>
      <c r="N92">
        <v>33</v>
      </c>
      <c r="O92">
        <v>35000</v>
      </c>
      <c r="P92">
        <v>4</v>
      </c>
      <c r="Q92">
        <v>4</v>
      </c>
      <c r="R92">
        <v>4</v>
      </c>
      <c r="S92">
        <v>4</v>
      </c>
      <c r="T92" s="123">
        <f t="shared" si="7"/>
        <v>0</v>
      </c>
      <c r="U92">
        <f t="shared" si="8"/>
        <v>1</v>
      </c>
      <c r="V92">
        <f t="shared" si="9"/>
        <v>1</v>
      </c>
      <c r="W92">
        <f t="shared" si="10"/>
        <v>1</v>
      </c>
      <c r="X92">
        <f t="shared" si="11"/>
        <v>1</v>
      </c>
    </row>
    <row r="93" spans="1:24">
      <c r="A93" t="s">
        <v>102</v>
      </c>
      <c r="B93">
        <v>7</v>
      </c>
      <c r="C93">
        <v>1</v>
      </c>
      <c r="D93">
        <v>93.288669487541128</v>
      </c>
      <c r="E93">
        <v>93.088857545839204</v>
      </c>
      <c r="F93">
        <v>97.143864598025388</v>
      </c>
      <c r="G93">
        <v>3.5143394452280212</v>
      </c>
      <c r="H93">
        <v>2.9031499764927138</v>
      </c>
      <c r="I93">
        <v>0</v>
      </c>
      <c r="J93">
        <v>1</v>
      </c>
      <c r="K93">
        <v>1</v>
      </c>
      <c r="L93">
        <v>1</v>
      </c>
      <c r="M93">
        <v>0</v>
      </c>
      <c r="N93">
        <v>33</v>
      </c>
      <c r="O93">
        <v>35000</v>
      </c>
      <c r="P93">
        <v>4</v>
      </c>
      <c r="Q93">
        <v>4</v>
      </c>
      <c r="R93">
        <v>4</v>
      </c>
      <c r="S93">
        <v>4</v>
      </c>
      <c r="T93" s="123">
        <f t="shared" si="7"/>
        <v>0</v>
      </c>
      <c r="U93">
        <f t="shared" si="8"/>
        <v>1</v>
      </c>
      <c r="V93">
        <f t="shared" si="9"/>
        <v>1</v>
      </c>
      <c r="W93">
        <f t="shared" si="10"/>
        <v>1</v>
      </c>
      <c r="X93">
        <f t="shared" si="11"/>
        <v>1</v>
      </c>
    </row>
    <row r="94" spans="1:24">
      <c r="A94" t="s">
        <v>103</v>
      </c>
      <c r="B94">
        <v>1</v>
      </c>
      <c r="C94">
        <v>1</v>
      </c>
      <c r="D94">
        <v>95.520785396533213</v>
      </c>
      <c r="E94">
        <v>93.319527534897986</v>
      </c>
      <c r="F94">
        <v>94.830495474766082</v>
      </c>
      <c r="G94">
        <v>5.4072710538426163</v>
      </c>
      <c r="H94">
        <v>4.3795060592115354</v>
      </c>
      <c r="I94">
        <v>1</v>
      </c>
      <c r="J94">
        <v>0</v>
      </c>
      <c r="K94">
        <v>1</v>
      </c>
      <c r="L94">
        <v>1</v>
      </c>
      <c r="M94">
        <v>1</v>
      </c>
      <c r="N94">
        <v>28</v>
      </c>
      <c r="O94">
        <v>27000</v>
      </c>
      <c r="P94">
        <v>4</v>
      </c>
      <c r="Q94">
        <v>4</v>
      </c>
      <c r="R94">
        <v>4</v>
      </c>
      <c r="S94">
        <v>4</v>
      </c>
      <c r="T94" s="123">
        <f t="shared" si="7"/>
        <v>0</v>
      </c>
      <c r="U94">
        <f t="shared" si="8"/>
        <v>1</v>
      </c>
      <c r="V94">
        <f t="shared" si="9"/>
        <v>1</v>
      </c>
      <c r="W94">
        <f t="shared" si="10"/>
        <v>1</v>
      </c>
      <c r="X94">
        <f t="shared" si="11"/>
        <v>1</v>
      </c>
    </row>
    <row r="95" spans="1:24">
      <c r="A95" t="s">
        <v>103</v>
      </c>
      <c r="B95">
        <v>2</v>
      </c>
      <c r="C95">
        <v>1</v>
      </c>
      <c r="D95">
        <v>95.229329651787083</v>
      </c>
      <c r="E95">
        <v>94.224574321214916</v>
      </c>
      <c r="F95">
        <v>89.875747814081919</v>
      </c>
      <c r="G95">
        <v>6.9412486577695942</v>
      </c>
      <c r="H95">
        <v>7.1790151863782796</v>
      </c>
      <c r="I95">
        <v>0</v>
      </c>
      <c r="J95">
        <v>0</v>
      </c>
      <c r="K95">
        <v>1</v>
      </c>
      <c r="L95">
        <v>1</v>
      </c>
      <c r="M95">
        <v>1</v>
      </c>
      <c r="N95">
        <v>28</v>
      </c>
      <c r="O95">
        <v>27000</v>
      </c>
      <c r="P95">
        <v>4</v>
      </c>
      <c r="Q95">
        <v>4</v>
      </c>
      <c r="R95">
        <v>4</v>
      </c>
      <c r="S95">
        <v>4</v>
      </c>
      <c r="T95" s="123">
        <f t="shared" si="7"/>
        <v>0</v>
      </c>
      <c r="U95">
        <f t="shared" si="8"/>
        <v>1</v>
      </c>
      <c r="V95">
        <f t="shared" si="9"/>
        <v>1</v>
      </c>
      <c r="W95">
        <f t="shared" si="10"/>
        <v>1</v>
      </c>
      <c r="X95">
        <f t="shared" si="11"/>
        <v>1</v>
      </c>
    </row>
    <row r="96" spans="1:24">
      <c r="A96" t="s">
        <v>103</v>
      </c>
      <c r="B96">
        <v>3</v>
      </c>
      <c r="C96">
        <v>1</v>
      </c>
      <c r="D96">
        <v>8.0763920846755646</v>
      </c>
      <c r="E96">
        <v>94.615738610216297</v>
      </c>
      <c r="F96">
        <v>88.203712225801496</v>
      </c>
      <c r="G96">
        <v>5.2845528455284558</v>
      </c>
      <c r="H96">
        <v>95.858260469397152</v>
      </c>
      <c r="I96">
        <v>0</v>
      </c>
      <c r="J96">
        <v>0</v>
      </c>
      <c r="K96">
        <v>0</v>
      </c>
      <c r="L96">
        <v>1</v>
      </c>
      <c r="M96">
        <v>1</v>
      </c>
      <c r="N96">
        <v>28</v>
      </c>
      <c r="O96">
        <v>27000</v>
      </c>
      <c r="P96">
        <v>4</v>
      </c>
      <c r="Q96">
        <v>4</v>
      </c>
      <c r="R96">
        <v>4</v>
      </c>
      <c r="S96">
        <v>4</v>
      </c>
      <c r="T96" s="123">
        <f t="shared" si="7"/>
        <v>0</v>
      </c>
      <c r="U96">
        <f t="shared" si="8"/>
        <v>1</v>
      </c>
      <c r="V96">
        <f t="shared" si="9"/>
        <v>1</v>
      </c>
      <c r="W96">
        <f t="shared" si="10"/>
        <v>1</v>
      </c>
      <c r="X96">
        <f t="shared" si="11"/>
        <v>1</v>
      </c>
    </row>
    <row r="97" spans="1:24">
      <c r="A97" t="s">
        <v>103</v>
      </c>
      <c r="B97">
        <v>4</v>
      </c>
      <c r="C97">
        <v>1</v>
      </c>
      <c r="D97">
        <v>84.606534744592736</v>
      </c>
      <c r="E97">
        <v>94.983893235158774</v>
      </c>
      <c r="F97">
        <v>94.209234545175647</v>
      </c>
      <c r="G97">
        <v>3.8732934499156322</v>
      </c>
      <c r="H97">
        <v>6.1742598558061079</v>
      </c>
      <c r="I97">
        <v>0</v>
      </c>
      <c r="J97">
        <v>0</v>
      </c>
      <c r="K97">
        <v>1</v>
      </c>
      <c r="L97">
        <v>1</v>
      </c>
      <c r="M97">
        <v>1</v>
      </c>
      <c r="N97">
        <v>28</v>
      </c>
      <c r="O97">
        <v>27000</v>
      </c>
      <c r="P97">
        <v>4</v>
      </c>
      <c r="Q97">
        <v>4</v>
      </c>
      <c r="R97">
        <v>4</v>
      </c>
      <c r="S97">
        <v>4</v>
      </c>
      <c r="T97" s="123">
        <f t="shared" si="7"/>
        <v>0</v>
      </c>
      <c r="U97">
        <f t="shared" si="8"/>
        <v>1</v>
      </c>
      <c r="V97">
        <f t="shared" si="9"/>
        <v>1</v>
      </c>
      <c r="W97">
        <f t="shared" si="10"/>
        <v>1</v>
      </c>
      <c r="X97">
        <f t="shared" si="11"/>
        <v>1</v>
      </c>
    </row>
    <row r="98" spans="1:24" hidden="1">
      <c r="A98" t="s">
        <v>103</v>
      </c>
      <c r="B98">
        <v>5</v>
      </c>
      <c r="C98">
        <v>1</v>
      </c>
      <c r="D98">
        <v>6.550084368768216</v>
      </c>
      <c r="E98">
        <v>3.865623561895998</v>
      </c>
      <c r="F98">
        <v>2.715140358950757</v>
      </c>
      <c r="G98">
        <v>2.346985734008284</v>
      </c>
      <c r="H98">
        <v>10.63813468323362</v>
      </c>
      <c r="I98">
        <v>0</v>
      </c>
      <c r="J98">
        <v>0</v>
      </c>
      <c r="K98">
        <v>0</v>
      </c>
      <c r="L98">
        <v>1</v>
      </c>
      <c r="M98">
        <v>1</v>
      </c>
      <c r="N98">
        <v>28</v>
      </c>
      <c r="O98">
        <v>27000</v>
      </c>
      <c r="P98">
        <v>4</v>
      </c>
      <c r="Q98">
        <v>4</v>
      </c>
      <c r="R98">
        <v>4</v>
      </c>
      <c r="S98">
        <v>4</v>
      </c>
      <c r="T98" s="123">
        <f t="shared" si="7"/>
        <v>1</v>
      </c>
      <c r="U98">
        <f t="shared" si="8"/>
        <v>1</v>
      </c>
      <c r="V98">
        <f t="shared" si="9"/>
        <v>1</v>
      </c>
      <c r="W98">
        <f t="shared" si="10"/>
        <v>1</v>
      </c>
      <c r="X98">
        <f t="shared" si="11"/>
        <v>1</v>
      </c>
    </row>
    <row r="99" spans="1:24">
      <c r="A99" t="s">
        <v>103</v>
      </c>
      <c r="B99">
        <v>6</v>
      </c>
      <c r="C99">
        <v>1</v>
      </c>
      <c r="D99">
        <v>90.772838499184331</v>
      </c>
      <c r="E99">
        <v>50</v>
      </c>
      <c r="F99">
        <v>69.443166129774497</v>
      </c>
      <c r="G99">
        <v>6.5048939641109307</v>
      </c>
      <c r="H99">
        <v>16.333605220228389</v>
      </c>
      <c r="I99">
        <v>0</v>
      </c>
      <c r="J99">
        <v>0</v>
      </c>
      <c r="K99">
        <v>1</v>
      </c>
      <c r="L99">
        <v>1</v>
      </c>
      <c r="M99">
        <v>1</v>
      </c>
      <c r="N99">
        <v>28</v>
      </c>
      <c r="O99">
        <v>27000</v>
      </c>
      <c r="P99">
        <v>4</v>
      </c>
      <c r="Q99">
        <v>4</v>
      </c>
      <c r="R99">
        <v>4</v>
      </c>
      <c r="S99">
        <v>4</v>
      </c>
      <c r="T99" s="123">
        <f t="shared" si="7"/>
        <v>0</v>
      </c>
      <c r="U99">
        <f t="shared" si="8"/>
        <v>1</v>
      </c>
      <c r="V99">
        <f t="shared" si="9"/>
        <v>1</v>
      </c>
      <c r="W99">
        <f t="shared" si="10"/>
        <v>1</v>
      </c>
      <c r="X99">
        <f t="shared" si="11"/>
        <v>1</v>
      </c>
    </row>
    <row r="100" spans="1:24" hidden="1">
      <c r="A100" t="s">
        <v>103</v>
      </c>
      <c r="B100">
        <v>7</v>
      </c>
      <c r="C100">
        <v>1</v>
      </c>
      <c r="D100">
        <v>0</v>
      </c>
      <c r="E100">
        <v>0</v>
      </c>
      <c r="F100">
        <v>0</v>
      </c>
      <c r="G100">
        <v>0</v>
      </c>
      <c r="H100">
        <v>15.334420880913539</v>
      </c>
      <c r="I100">
        <v>0</v>
      </c>
      <c r="J100">
        <v>1</v>
      </c>
      <c r="K100">
        <v>0</v>
      </c>
      <c r="L100">
        <v>1</v>
      </c>
      <c r="M100">
        <v>1</v>
      </c>
      <c r="N100">
        <v>28</v>
      </c>
      <c r="O100">
        <v>27000</v>
      </c>
      <c r="P100">
        <v>4</v>
      </c>
      <c r="Q100">
        <v>4</v>
      </c>
      <c r="R100">
        <v>4</v>
      </c>
      <c r="S100">
        <v>4</v>
      </c>
      <c r="T100" s="123">
        <f t="shared" si="7"/>
        <v>1</v>
      </c>
      <c r="U100">
        <f t="shared" si="8"/>
        <v>1</v>
      </c>
      <c r="V100">
        <f t="shared" si="9"/>
        <v>1</v>
      </c>
      <c r="W100">
        <f t="shared" si="10"/>
        <v>1</v>
      </c>
      <c r="X100">
        <f t="shared" si="11"/>
        <v>1</v>
      </c>
    </row>
    <row r="101" spans="1:24">
      <c r="A101" t="s">
        <v>104</v>
      </c>
      <c r="B101">
        <v>1</v>
      </c>
      <c r="C101">
        <v>1</v>
      </c>
      <c r="D101">
        <v>91.940625622633988</v>
      </c>
      <c r="E101">
        <v>98.495716278143064</v>
      </c>
      <c r="F101">
        <v>18.250647539350471</v>
      </c>
      <c r="G101">
        <v>17.772464634389319</v>
      </c>
      <c r="H101">
        <v>2.1518230723251648</v>
      </c>
      <c r="I101">
        <v>1</v>
      </c>
      <c r="J101">
        <v>0</v>
      </c>
      <c r="K101">
        <v>1</v>
      </c>
      <c r="L101">
        <v>1</v>
      </c>
      <c r="M101">
        <v>0</v>
      </c>
      <c r="N101">
        <v>57</v>
      </c>
      <c r="O101">
        <v>99500</v>
      </c>
      <c r="P101">
        <v>1</v>
      </c>
      <c r="Q101">
        <v>1</v>
      </c>
      <c r="R101">
        <v>3</v>
      </c>
      <c r="S101">
        <v>3</v>
      </c>
      <c r="T101" s="123">
        <f t="shared" si="7"/>
        <v>0</v>
      </c>
      <c r="U101">
        <f t="shared" si="8"/>
        <v>0</v>
      </c>
      <c r="V101">
        <f t="shared" si="9"/>
        <v>0</v>
      </c>
      <c r="W101">
        <f t="shared" si="10"/>
        <v>0</v>
      </c>
      <c r="X101">
        <f t="shared" si="11"/>
        <v>0</v>
      </c>
    </row>
    <row r="102" spans="1:24">
      <c r="A102" t="s">
        <v>104</v>
      </c>
      <c r="B102">
        <v>2</v>
      </c>
      <c r="C102">
        <v>1</v>
      </c>
      <c r="D102">
        <v>2.7027027027027031</v>
      </c>
      <c r="E102">
        <v>5.8759652509652538</v>
      </c>
      <c r="F102">
        <v>3.185328185328185</v>
      </c>
      <c r="G102">
        <v>50</v>
      </c>
      <c r="H102">
        <v>0</v>
      </c>
      <c r="I102">
        <v>0</v>
      </c>
      <c r="J102">
        <v>0</v>
      </c>
      <c r="K102">
        <v>0</v>
      </c>
      <c r="L102">
        <v>1</v>
      </c>
      <c r="M102">
        <v>0</v>
      </c>
      <c r="N102">
        <v>57</v>
      </c>
      <c r="O102">
        <v>99500</v>
      </c>
      <c r="P102">
        <v>1</v>
      </c>
      <c r="Q102">
        <v>1</v>
      </c>
      <c r="R102">
        <v>3</v>
      </c>
      <c r="S102">
        <v>3</v>
      </c>
      <c r="T102" s="123">
        <f t="shared" si="7"/>
        <v>0</v>
      </c>
      <c r="U102">
        <f t="shared" si="8"/>
        <v>0</v>
      </c>
      <c r="V102">
        <f t="shared" si="9"/>
        <v>0</v>
      </c>
      <c r="W102">
        <f t="shared" si="10"/>
        <v>0</v>
      </c>
      <c r="X102">
        <f t="shared" si="11"/>
        <v>0</v>
      </c>
    </row>
    <row r="103" spans="1:24">
      <c r="A103" t="s">
        <v>104</v>
      </c>
      <c r="B103">
        <v>3</v>
      </c>
      <c r="C103">
        <v>1</v>
      </c>
      <c r="D103">
        <v>12.548262548262549</v>
      </c>
      <c r="E103">
        <v>13.223938223938219</v>
      </c>
      <c r="F103">
        <v>4.2471042471042502</v>
      </c>
      <c r="G103">
        <v>50</v>
      </c>
      <c r="H103">
        <v>91.879826254826256</v>
      </c>
      <c r="I103">
        <v>0</v>
      </c>
      <c r="J103">
        <v>0</v>
      </c>
      <c r="K103">
        <v>0</v>
      </c>
      <c r="L103">
        <v>1</v>
      </c>
      <c r="M103">
        <v>0</v>
      </c>
      <c r="N103">
        <v>57</v>
      </c>
      <c r="O103">
        <v>99500</v>
      </c>
      <c r="P103">
        <v>1</v>
      </c>
      <c r="Q103">
        <v>1</v>
      </c>
      <c r="R103">
        <v>3</v>
      </c>
      <c r="S103">
        <v>3</v>
      </c>
      <c r="T103" s="123">
        <f t="shared" si="7"/>
        <v>0</v>
      </c>
      <c r="U103">
        <f t="shared" si="8"/>
        <v>0</v>
      </c>
      <c r="V103">
        <f t="shared" si="9"/>
        <v>0</v>
      </c>
      <c r="W103">
        <f t="shared" si="10"/>
        <v>0</v>
      </c>
      <c r="X103">
        <f t="shared" si="11"/>
        <v>0</v>
      </c>
    </row>
    <row r="104" spans="1:24">
      <c r="A104" t="s">
        <v>104</v>
      </c>
      <c r="B104">
        <v>4</v>
      </c>
      <c r="C104">
        <v>1</v>
      </c>
      <c r="D104">
        <v>7.9271235521235486</v>
      </c>
      <c r="E104">
        <v>20.837355212355209</v>
      </c>
      <c r="F104">
        <v>1.0617760617760601</v>
      </c>
      <c r="G104">
        <v>87.451737451737458</v>
      </c>
      <c r="H104">
        <v>8.7717181467181433</v>
      </c>
      <c r="I104">
        <v>0</v>
      </c>
      <c r="J104">
        <v>0</v>
      </c>
      <c r="K104">
        <v>0</v>
      </c>
      <c r="L104">
        <v>1</v>
      </c>
      <c r="M104">
        <v>0</v>
      </c>
      <c r="N104">
        <v>57</v>
      </c>
      <c r="O104">
        <v>99500</v>
      </c>
      <c r="P104">
        <v>1</v>
      </c>
      <c r="Q104">
        <v>1</v>
      </c>
      <c r="R104">
        <v>3</v>
      </c>
      <c r="S104">
        <v>3</v>
      </c>
      <c r="T104" s="123">
        <f t="shared" si="7"/>
        <v>0</v>
      </c>
      <c r="U104">
        <f t="shared" si="8"/>
        <v>0</v>
      </c>
      <c r="V104">
        <f t="shared" si="9"/>
        <v>0</v>
      </c>
      <c r="W104">
        <f t="shared" si="10"/>
        <v>0</v>
      </c>
      <c r="X104">
        <f t="shared" si="11"/>
        <v>0</v>
      </c>
    </row>
    <row r="105" spans="1:24">
      <c r="A105" t="s">
        <v>104</v>
      </c>
      <c r="B105">
        <v>5</v>
      </c>
      <c r="C105">
        <v>1</v>
      </c>
      <c r="D105">
        <v>2.2200772200772212</v>
      </c>
      <c r="E105">
        <v>5.7915057915057906</v>
      </c>
      <c r="F105">
        <v>2.7027027027027031</v>
      </c>
      <c r="G105">
        <v>87.548262548262542</v>
      </c>
      <c r="H105">
        <v>4.0419884169884179</v>
      </c>
      <c r="I105">
        <v>0</v>
      </c>
      <c r="J105">
        <v>0</v>
      </c>
      <c r="K105">
        <v>0</v>
      </c>
      <c r="L105">
        <v>1</v>
      </c>
      <c r="M105">
        <v>0</v>
      </c>
      <c r="N105">
        <v>57</v>
      </c>
      <c r="O105">
        <v>99500</v>
      </c>
      <c r="P105">
        <v>1</v>
      </c>
      <c r="Q105">
        <v>1</v>
      </c>
      <c r="R105">
        <v>3</v>
      </c>
      <c r="S105">
        <v>3</v>
      </c>
      <c r="T105" s="123">
        <f t="shared" si="7"/>
        <v>0</v>
      </c>
      <c r="U105">
        <f t="shared" si="8"/>
        <v>0</v>
      </c>
      <c r="V105">
        <f t="shared" si="9"/>
        <v>0</v>
      </c>
      <c r="W105">
        <f t="shared" si="10"/>
        <v>0</v>
      </c>
      <c r="X105">
        <f t="shared" si="11"/>
        <v>0</v>
      </c>
    </row>
    <row r="106" spans="1:24">
      <c r="A106" t="s">
        <v>104</v>
      </c>
      <c r="B106">
        <v>6</v>
      </c>
      <c r="C106">
        <v>1</v>
      </c>
      <c r="D106">
        <v>1.4599420849420841</v>
      </c>
      <c r="E106">
        <v>7.9995173745173727</v>
      </c>
      <c r="F106">
        <v>2.9922779922779918</v>
      </c>
      <c r="G106">
        <v>92.555501930501933</v>
      </c>
      <c r="H106">
        <v>1.4599420849420841</v>
      </c>
      <c r="I106">
        <v>0</v>
      </c>
      <c r="J106">
        <v>0</v>
      </c>
      <c r="K106">
        <v>0</v>
      </c>
      <c r="L106">
        <v>1</v>
      </c>
      <c r="M106">
        <v>0</v>
      </c>
      <c r="N106">
        <v>57</v>
      </c>
      <c r="O106">
        <v>99500</v>
      </c>
      <c r="P106">
        <v>1</v>
      </c>
      <c r="Q106">
        <v>1</v>
      </c>
      <c r="R106">
        <v>3</v>
      </c>
      <c r="S106">
        <v>3</v>
      </c>
      <c r="T106" s="123">
        <f t="shared" si="7"/>
        <v>0</v>
      </c>
      <c r="U106">
        <f t="shared" si="8"/>
        <v>0</v>
      </c>
      <c r="V106">
        <f t="shared" si="9"/>
        <v>0</v>
      </c>
      <c r="W106">
        <f t="shared" si="10"/>
        <v>0</v>
      </c>
      <c r="X106">
        <f t="shared" si="11"/>
        <v>0</v>
      </c>
    </row>
    <row r="107" spans="1:24">
      <c r="A107" t="s">
        <v>104</v>
      </c>
      <c r="B107">
        <v>7</v>
      </c>
      <c r="C107">
        <v>1</v>
      </c>
      <c r="D107">
        <v>9.6283783783783772</v>
      </c>
      <c r="E107">
        <v>2.7027027027027031</v>
      </c>
      <c r="F107">
        <v>2.232142857142855</v>
      </c>
      <c r="G107">
        <v>86.088320463320471</v>
      </c>
      <c r="H107">
        <v>6.4671814671814651</v>
      </c>
      <c r="I107">
        <v>0</v>
      </c>
      <c r="J107">
        <v>1</v>
      </c>
      <c r="K107">
        <v>0</v>
      </c>
      <c r="L107">
        <v>1</v>
      </c>
      <c r="M107">
        <v>0</v>
      </c>
      <c r="N107">
        <v>57</v>
      </c>
      <c r="O107">
        <v>99500</v>
      </c>
      <c r="P107">
        <v>1</v>
      </c>
      <c r="Q107">
        <v>1</v>
      </c>
      <c r="R107">
        <v>3</v>
      </c>
      <c r="S107">
        <v>3</v>
      </c>
      <c r="T107" s="123">
        <f t="shared" si="7"/>
        <v>0</v>
      </c>
      <c r="U107">
        <f t="shared" si="8"/>
        <v>0</v>
      </c>
      <c r="V107">
        <f t="shared" si="9"/>
        <v>0</v>
      </c>
      <c r="W107">
        <f t="shared" si="10"/>
        <v>0</v>
      </c>
      <c r="X107">
        <f t="shared" si="11"/>
        <v>0</v>
      </c>
    </row>
    <row r="108" spans="1:24" hidden="1">
      <c r="A108" t="s">
        <v>105</v>
      </c>
      <c r="B108">
        <v>1</v>
      </c>
      <c r="C108">
        <v>1</v>
      </c>
      <c r="D108">
        <v>99.568567026194145</v>
      </c>
      <c r="E108">
        <v>91.20184899845917</v>
      </c>
      <c r="F108">
        <v>99.152542372881356</v>
      </c>
      <c r="G108">
        <v>91.20184899845917</v>
      </c>
      <c r="H108">
        <v>99.830508474576277</v>
      </c>
      <c r="I108">
        <v>1</v>
      </c>
      <c r="J108">
        <v>0</v>
      </c>
      <c r="K108">
        <v>1</v>
      </c>
      <c r="L108">
        <v>1</v>
      </c>
      <c r="M108">
        <v>0</v>
      </c>
      <c r="N108">
        <v>20</v>
      </c>
      <c r="O108">
        <v>45000</v>
      </c>
      <c r="P108">
        <v>5</v>
      </c>
      <c r="Q108">
        <v>4</v>
      </c>
      <c r="R108">
        <v>3</v>
      </c>
      <c r="S108">
        <v>4</v>
      </c>
      <c r="T108" s="123">
        <f t="shared" si="7"/>
        <v>1</v>
      </c>
      <c r="U108">
        <f t="shared" si="8"/>
        <v>1</v>
      </c>
      <c r="V108">
        <f t="shared" si="9"/>
        <v>1</v>
      </c>
      <c r="W108">
        <f t="shared" si="10"/>
        <v>0</v>
      </c>
      <c r="X108">
        <f t="shared" si="11"/>
        <v>1</v>
      </c>
    </row>
    <row r="109" spans="1:24" hidden="1">
      <c r="A109" t="s">
        <v>105</v>
      </c>
      <c r="B109">
        <v>2</v>
      </c>
      <c r="C109">
        <v>1</v>
      </c>
      <c r="D109">
        <v>99.306625577812028</v>
      </c>
      <c r="E109">
        <v>100</v>
      </c>
      <c r="F109">
        <v>99.044684129429896</v>
      </c>
      <c r="G109">
        <v>98.967642526964568</v>
      </c>
      <c r="H109">
        <v>99.922958397534671</v>
      </c>
      <c r="I109">
        <v>0</v>
      </c>
      <c r="J109">
        <v>0</v>
      </c>
      <c r="K109">
        <v>1</v>
      </c>
      <c r="L109">
        <v>1</v>
      </c>
      <c r="M109">
        <v>0</v>
      </c>
      <c r="N109">
        <v>20</v>
      </c>
      <c r="O109">
        <v>45000</v>
      </c>
      <c r="P109">
        <v>5</v>
      </c>
      <c r="Q109">
        <v>4</v>
      </c>
      <c r="R109">
        <v>3</v>
      </c>
      <c r="S109">
        <v>4</v>
      </c>
      <c r="T109" s="123">
        <f t="shared" si="7"/>
        <v>1</v>
      </c>
      <c r="U109">
        <f t="shared" si="8"/>
        <v>1</v>
      </c>
      <c r="V109">
        <f t="shared" si="9"/>
        <v>1</v>
      </c>
      <c r="W109">
        <f t="shared" si="10"/>
        <v>0</v>
      </c>
      <c r="X109">
        <f t="shared" si="11"/>
        <v>1</v>
      </c>
    </row>
    <row r="110" spans="1:24" hidden="1">
      <c r="A110" t="s">
        <v>105</v>
      </c>
      <c r="B110">
        <v>3</v>
      </c>
      <c r="C110">
        <v>1</v>
      </c>
      <c r="D110">
        <v>96.748844375963031</v>
      </c>
      <c r="E110">
        <v>95.670261941448388</v>
      </c>
      <c r="F110">
        <v>94.391371340523889</v>
      </c>
      <c r="G110">
        <v>94.730354391371336</v>
      </c>
      <c r="H110">
        <v>97.257318952234201</v>
      </c>
      <c r="I110">
        <v>0</v>
      </c>
      <c r="J110">
        <v>0</v>
      </c>
      <c r="K110">
        <v>1</v>
      </c>
      <c r="L110">
        <v>1</v>
      </c>
      <c r="M110">
        <v>0</v>
      </c>
      <c r="N110">
        <v>20</v>
      </c>
      <c r="O110">
        <v>45000</v>
      </c>
      <c r="P110">
        <v>5</v>
      </c>
      <c r="Q110">
        <v>4</v>
      </c>
      <c r="R110">
        <v>3</v>
      </c>
      <c r="S110">
        <v>4</v>
      </c>
      <c r="T110" s="123">
        <f t="shared" si="7"/>
        <v>1</v>
      </c>
      <c r="U110">
        <f t="shared" si="8"/>
        <v>1</v>
      </c>
      <c r="V110">
        <f t="shared" si="9"/>
        <v>1</v>
      </c>
      <c r="W110">
        <f t="shared" si="10"/>
        <v>0</v>
      </c>
      <c r="X110">
        <f t="shared" si="11"/>
        <v>1</v>
      </c>
    </row>
    <row r="111" spans="1:24">
      <c r="A111" t="s">
        <v>105</v>
      </c>
      <c r="B111">
        <v>4</v>
      </c>
      <c r="C111">
        <v>1</v>
      </c>
      <c r="D111">
        <v>6.6563944530046211</v>
      </c>
      <c r="E111">
        <v>66.625577812018491</v>
      </c>
      <c r="F111">
        <v>93.898305084745772</v>
      </c>
      <c r="G111">
        <v>4.7919876733436064</v>
      </c>
      <c r="H111">
        <v>91.895223420647156</v>
      </c>
      <c r="I111">
        <v>0</v>
      </c>
      <c r="J111">
        <v>0</v>
      </c>
      <c r="K111">
        <v>0</v>
      </c>
      <c r="L111">
        <v>1</v>
      </c>
      <c r="M111">
        <v>0</v>
      </c>
      <c r="N111">
        <v>20</v>
      </c>
      <c r="O111">
        <v>45000</v>
      </c>
      <c r="P111">
        <v>5</v>
      </c>
      <c r="Q111">
        <v>4</v>
      </c>
      <c r="R111">
        <v>3</v>
      </c>
      <c r="S111">
        <v>4</v>
      </c>
      <c r="T111" s="123">
        <f t="shared" si="7"/>
        <v>0</v>
      </c>
      <c r="U111">
        <f t="shared" si="8"/>
        <v>1</v>
      </c>
      <c r="V111">
        <f t="shared" si="9"/>
        <v>1</v>
      </c>
      <c r="W111">
        <f t="shared" si="10"/>
        <v>0</v>
      </c>
      <c r="X111">
        <f t="shared" si="11"/>
        <v>1</v>
      </c>
    </row>
    <row r="112" spans="1:24" hidden="1">
      <c r="A112" t="s">
        <v>105</v>
      </c>
      <c r="B112">
        <v>5</v>
      </c>
      <c r="C112">
        <v>1</v>
      </c>
      <c r="D112">
        <v>99.244992295839751</v>
      </c>
      <c r="E112">
        <v>98.890600924499225</v>
      </c>
      <c r="F112">
        <v>98.01232665639445</v>
      </c>
      <c r="G112">
        <v>98.659476117103239</v>
      </c>
      <c r="H112">
        <v>98.736517719568567</v>
      </c>
      <c r="I112">
        <v>0</v>
      </c>
      <c r="J112">
        <v>0</v>
      </c>
      <c r="K112">
        <v>1</v>
      </c>
      <c r="L112">
        <v>1</v>
      </c>
      <c r="M112">
        <v>0</v>
      </c>
      <c r="N112">
        <v>20</v>
      </c>
      <c r="O112">
        <v>45000</v>
      </c>
      <c r="P112">
        <v>5</v>
      </c>
      <c r="Q112">
        <v>4</v>
      </c>
      <c r="R112">
        <v>3</v>
      </c>
      <c r="S112">
        <v>4</v>
      </c>
      <c r="T112" s="123">
        <f t="shared" si="7"/>
        <v>1</v>
      </c>
      <c r="U112">
        <f t="shared" si="8"/>
        <v>1</v>
      </c>
      <c r="V112">
        <f t="shared" si="9"/>
        <v>1</v>
      </c>
      <c r="W112">
        <f t="shared" si="10"/>
        <v>0</v>
      </c>
      <c r="X112">
        <f t="shared" si="11"/>
        <v>1</v>
      </c>
    </row>
    <row r="113" spans="1:24">
      <c r="A113" t="s">
        <v>105</v>
      </c>
      <c r="B113">
        <v>6</v>
      </c>
      <c r="C113">
        <v>1</v>
      </c>
      <c r="D113">
        <v>92.573189522342062</v>
      </c>
      <c r="E113">
        <v>50</v>
      </c>
      <c r="F113">
        <v>92.711864406779654</v>
      </c>
      <c r="G113">
        <v>93.651771956856706</v>
      </c>
      <c r="H113">
        <v>93.5130970724191</v>
      </c>
      <c r="I113">
        <v>0</v>
      </c>
      <c r="J113">
        <v>0</v>
      </c>
      <c r="K113">
        <v>1</v>
      </c>
      <c r="L113">
        <v>1</v>
      </c>
      <c r="M113">
        <v>0</v>
      </c>
      <c r="N113">
        <v>20</v>
      </c>
      <c r="O113">
        <v>45000</v>
      </c>
      <c r="P113">
        <v>5</v>
      </c>
      <c r="Q113">
        <v>4</v>
      </c>
      <c r="R113">
        <v>3</v>
      </c>
      <c r="S113">
        <v>4</v>
      </c>
      <c r="T113" s="123">
        <f t="shared" si="7"/>
        <v>0</v>
      </c>
      <c r="U113">
        <f t="shared" si="8"/>
        <v>1</v>
      </c>
      <c r="V113">
        <f t="shared" si="9"/>
        <v>1</v>
      </c>
      <c r="W113">
        <f t="shared" si="10"/>
        <v>0</v>
      </c>
      <c r="X113">
        <f t="shared" si="11"/>
        <v>1</v>
      </c>
    </row>
    <row r="114" spans="1:24" hidden="1">
      <c r="A114" t="s">
        <v>105</v>
      </c>
      <c r="B114">
        <v>7</v>
      </c>
      <c r="C114">
        <v>1</v>
      </c>
      <c r="D114">
        <v>95.439137134052388</v>
      </c>
      <c r="E114">
        <v>94.976887519260401</v>
      </c>
      <c r="F114">
        <v>96.47149460708782</v>
      </c>
      <c r="G114">
        <v>97.04160246533128</v>
      </c>
      <c r="H114">
        <v>94.83821263482281</v>
      </c>
      <c r="I114">
        <v>0</v>
      </c>
      <c r="J114">
        <v>1</v>
      </c>
      <c r="K114">
        <v>1</v>
      </c>
      <c r="L114">
        <v>1</v>
      </c>
      <c r="M114">
        <v>0</v>
      </c>
      <c r="N114">
        <v>20</v>
      </c>
      <c r="O114">
        <v>45000</v>
      </c>
      <c r="P114">
        <v>5</v>
      </c>
      <c r="Q114">
        <v>4</v>
      </c>
      <c r="R114">
        <v>3</v>
      </c>
      <c r="S114">
        <v>4</v>
      </c>
      <c r="T114" s="123">
        <f t="shared" si="7"/>
        <v>1</v>
      </c>
      <c r="U114">
        <f t="shared" si="8"/>
        <v>1</v>
      </c>
      <c r="V114">
        <f t="shared" si="9"/>
        <v>1</v>
      </c>
      <c r="W114">
        <f t="shared" si="10"/>
        <v>0</v>
      </c>
      <c r="X114">
        <f t="shared" si="11"/>
        <v>1</v>
      </c>
    </row>
    <row r="115" spans="1:24">
      <c r="A115" t="s">
        <v>106</v>
      </c>
      <c r="B115">
        <v>1</v>
      </c>
      <c r="C115">
        <v>1</v>
      </c>
      <c r="D115">
        <v>5.9888947646747734</v>
      </c>
      <c r="E115">
        <v>1.745108408249602</v>
      </c>
      <c r="F115">
        <v>48.096245372818608</v>
      </c>
      <c r="G115">
        <v>94.011105235325232</v>
      </c>
      <c r="H115">
        <v>1.5732416710735051</v>
      </c>
      <c r="I115">
        <v>1</v>
      </c>
      <c r="J115">
        <v>0</v>
      </c>
      <c r="K115">
        <v>0</v>
      </c>
      <c r="L115">
        <v>1</v>
      </c>
      <c r="M115">
        <v>1</v>
      </c>
      <c r="N115">
        <v>40</v>
      </c>
      <c r="O115">
        <v>29000</v>
      </c>
      <c r="P115">
        <v>2</v>
      </c>
      <c r="Q115">
        <v>2</v>
      </c>
      <c r="R115">
        <v>3</v>
      </c>
      <c r="S115">
        <v>4</v>
      </c>
      <c r="T115" s="123">
        <f t="shared" si="7"/>
        <v>0</v>
      </c>
      <c r="U115">
        <f t="shared" si="8"/>
        <v>0</v>
      </c>
      <c r="V115">
        <f t="shared" si="9"/>
        <v>0</v>
      </c>
      <c r="W115">
        <f t="shared" si="10"/>
        <v>0</v>
      </c>
      <c r="X115">
        <f t="shared" si="11"/>
        <v>1</v>
      </c>
    </row>
    <row r="116" spans="1:24">
      <c r="A116" t="s">
        <v>106</v>
      </c>
      <c r="B116">
        <v>2</v>
      </c>
      <c r="C116">
        <v>1</v>
      </c>
      <c r="D116">
        <v>2.670544685351667</v>
      </c>
      <c r="E116">
        <v>31.99365415124273</v>
      </c>
      <c r="F116">
        <v>7.747223691168692</v>
      </c>
      <c r="G116">
        <v>89.846641988365946</v>
      </c>
      <c r="H116">
        <v>97.355896351136977</v>
      </c>
      <c r="I116">
        <v>0</v>
      </c>
      <c r="J116">
        <v>0</v>
      </c>
      <c r="K116">
        <v>0</v>
      </c>
      <c r="L116">
        <v>1</v>
      </c>
      <c r="M116">
        <v>1</v>
      </c>
      <c r="N116">
        <v>40</v>
      </c>
      <c r="O116">
        <v>29000</v>
      </c>
      <c r="P116">
        <v>2</v>
      </c>
      <c r="Q116">
        <v>2</v>
      </c>
      <c r="R116">
        <v>3</v>
      </c>
      <c r="S116">
        <v>4</v>
      </c>
      <c r="T116" s="123">
        <f t="shared" si="7"/>
        <v>0</v>
      </c>
      <c r="U116">
        <f t="shared" si="8"/>
        <v>0</v>
      </c>
      <c r="V116">
        <f t="shared" si="9"/>
        <v>0</v>
      </c>
      <c r="W116">
        <f t="shared" si="10"/>
        <v>0</v>
      </c>
      <c r="X116">
        <f t="shared" si="11"/>
        <v>1</v>
      </c>
    </row>
    <row r="117" spans="1:24" hidden="1">
      <c r="A117" t="s">
        <v>106</v>
      </c>
      <c r="B117">
        <v>3</v>
      </c>
      <c r="C117">
        <v>1</v>
      </c>
      <c r="D117">
        <v>3.1200423056583828</v>
      </c>
      <c r="E117">
        <v>0.19830777366472979</v>
      </c>
      <c r="F117">
        <v>1.5864621893178219</v>
      </c>
      <c r="G117">
        <v>2.6308831306187219</v>
      </c>
      <c r="H117">
        <v>0.2247488101533579</v>
      </c>
      <c r="I117">
        <v>0</v>
      </c>
      <c r="J117">
        <v>0</v>
      </c>
      <c r="K117">
        <v>0</v>
      </c>
      <c r="L117">
        <v>1</v>
      </c>
      <c r="M117">
        <v>1</v>
      </c>
      <c r="N117">
        <v>40</v>
      </c>
      <c r="O117">
        <v>29000</v>
      </c>
      <c r="P117">
        <v>2</v>
      </c>
      <c r="Q117">
        <v>2</v>
      </c>
      <c r="R117">
        <v>3</v>
      </c>
      <c r="S117">
        <v>4</v>
      </c>
      <c r="T117" s="123">
        <f t="shared" si="7"/>
        <v>1</v>
      </c>
      <c r="U117">
        <f t="shared" si="8"/>
        <v>0</v>
      </c>
      <c r="V117">
        <f t="shared" si="9"/>
        <v>0</v>
      </c>
      <c r="W117">
        <f t="shared" si="10"/>
        <v>0</v>
      </c>
      <c r="X117">
        <f t="shared" si="11"/>
        <v>1</v>
      </c>
    </row>
    <row r="118" spans="1:24">
      <c r="A118" t="s">
        <v>106</v>
      </c>
      <c r="B118">
        <v>4</v>
      </c>
      <c r="C118">
        <v>1</v>
      </c>
      <c r="D118">
        <v>35.536753040719198</v>
      </c>
      <c r="E118">
        <v>0</v>
      </c>
      <c r="F118">
        <v>1.1105235325224729</v>
      </c>
      <c r="G118">
        <v>91.604970914859862</v>
      </c>
      <c r="H118">
        <v>92.689053410893706</v>
      </c>
      <c r="I118">
        <v>0</v>
      </c>
      <c r="J118">
        <v>0</v>
      </c>
      <c r="K118">
        <v>0</v>
      </c>
      <c r="L118">
        <v>1</v>
      </c>
      <c r="M118">
        <v>1</v>
      </c>
      <c r="N118">
        <v>40</v>
      </c>
      <c r="O118">
        <v>29000</v>
      </c>
      <c r="P118">
        <v>2</v>
      </c>
      <c r="Q118">
        <v>2</v>
      </c>
      <c r="R118">
        <v>3</v>
      </c>
      <c r="S118">
        <v>4</v>
      </c>
      <c r="T118" s="123">
        <f t="shared" si="7"/>
        <v>0</v>
      </c>
      <c r="U118">
        <f t="shared" si="8"/>
        <v>0</v>
      </c>
      <c r="V118">
        <f t="shared" si="9"/>
        <v>0</v>
      </c>
      <c r="W118">
        <f t="shared" si="10"/>
        <v>0</v>
      </c>
      <c r="X118">
        <f t="shared" si="11"/>
        <v>1</v>
      </c>
    </row>
    <row r="119" spans="1:24">
      <c r="A119" t="s">
        <v>106</v>
      </c>
      <c r="B119">
        <v>5</v>
      </c>
      <c r="C119">
        <v>1</v>
      </c>
      <c r="D119">
        <v>18.997884717080911</v>
      </c>
      <c r="E119">
        <v>7.9323109465891051</v>
      </c>
      <c r="F119">
        <v>22.95081967213115</v>
      </c>
      <c r="G119">
        <v>50</v>
      </c>
      <c r="H119">
        <v>0.46271813855103261</v>
      </c>
      <c r="I119">
        <v>0</v>
      </c>
      <c r="J119">
        <v>0</v>
      </c>
      <c r="K119">
        <v>0</v>
      </c>
      <c r="L119">
        <v>1</v>
      </c>
      <c r="M119">
        <v>1</v>
      </c>
      <c r="N119">
        <v>40</v>
      </c>
      <c r="O119">
        <v>29000</v>
      </c>
      <c r="P119">
        <v>2</v>
      </c>
      <c r="Q119">
        <v>2</v>
      </c>
      <c r="R119">
        <v>3</v>
      </c>
      <c r="S119">
        <v>4</v>
      </c>
      <c r="T119" s="123">
        <f t="shared" si="7"/>
        <v>0</v>
      </c>
      <c r="U119">
        <f t="shared" si="8"/>
        <v>0</v>
      </c>
      <c r="V119">
        <f t="shared" si="9"/>
        <v>0</v>
      </c>
      <c r="W119">
        <f t="shared" si="10"/>
        <v>0</v>
      </c>
      <c r="X119">
        <f t="shared" si="11"/>
        <v>1</v>
      </c>
    </row>
    <row r="120" spans="1:24">
      <c r="A120" t="s">
        <v>106</v>
      </c>
      <c r="B120">
        <v>6</v>
      </c>
      <c r="C120">
        <v>1</v>
      </c>
      <c r="D120">
        <v>3.7678476996298231</v>
      </c>
      <c r="E120">
        <v>2.4061343204653638</v>
      </c>
      <c r="F120">
        <v>28.027498677948181</v>
      </c>
      <c r="G120">
        <v>62.691697514542582</v>
      </c>
      <c r="H120">
        <v>0.23796932839767471</v>
      </c>
      <c r="I120">
        <v>0</v>
      </c>
      <c r="J120">
        <v>0</v>
      </c>
      <c r="K120">
        <v>0</v>
      </c>
      <c r="L120">
        <v>1</v>
      </c>
      <c r="M120">
        <v>1</v>
      </c>
      <c r="N120">
        <v>40</v>
      </c>
      <c r="O120">
        <v>29000</v>
      </c>
      <c r="P120">
        <v>2</v>
      </c>
      <c r="Q120">
        <v>2</v>
      </c>
      <c r="R120">
        <v>3</v>
      </c>
      <c r="S120">
        <v>4</v>
      </c>
      <c r="T120" s="123">
        <f t="shared" si="7"/>
        <v>0</v>
      </c>
      <c r="U120">
        <f t="shared" si="8"/>
        <v>0</v>
      </c>
      <c r="V120">
        <f t="shared" si="9"/>
        <v>0</v>
      </c>
      <c r="W120">
        <f t="shared" si="10"/>
        <v>0</v>
      </c>
      <c r="X120">
        <f t="shared" si="11"/>
        <v>1</v>
      </c>
    </row>
    <row r="121" spans="1:24">
      <c r="A121" t="s">
        <v>106</v>
      </c>
      <c r="B121">
        <v>7</v>
      </c>
      <c r="C121">
        <v>1</v>
      </c>
      <c r="D121">
        <v>7.4828133262823897</v>
      </c>
      <c r="E121">
        <v>0.23796932839767471</v>
      </c>
      <c r="F121">
        <v>2.4325753569539921</v>
      </c>
      <c r="G121">
        <v>96.68164992067689</v>
      </c>
      <c r="H121">
        <v>92.028027498677957</v>
      </c>
      <c r="I121">
        <v>0</v>
      </c>
      <c r="J121">
        <v>1</v>
      </c>
      <c r="K121">
        <v>0</v>
      </c>
      <c r="L121">
        <v>1</v>
      </c>
      <c r="M121">
        <v>1</v>
      </c>
      <c r="N121">
        <v>40</v>
      </c>
      <c r="O121">
        <v>29000</v>
      </c>
      <c r="P121">
        <v>2</v>
      </c>
      <c r="Q121">
        <v>2</v>
      </c>
      <c r="R121">
        <v>3</v>
      </c>
      <c r="S121">
        <v>4</v>
      </c>
      <c r="T121" s="123">
        <f t="shared" si="7"/>
        <v>0</v>
      </c>
      <c r="U121">
        <f t="shared" si="8"/>
        <v>0</v>
      </c>
      <c r="V121">
        <f t="shared" si="9"/>
        <v>0</v>
      </c>
      <c r="W121">
        <f t="shared" si="10"/>
        <v>0</v>
      </c>
      <c r="X121">
        <f t="shared" si="11"/>
        <v>1</v>
      </c>
    </row>
    <row r="122" spans="1:24">
      <c r="A122" t="s">
        <v>107</v>
      </c>
      <c r="B122">
        <v>1</v>
      </c>
      <c r="C122">
        <v>1</v>
      </c>
      <c r="D122">
        <v>96.092619392185242</v>
      </c>
      <c r="E122">
        <v>97.190062711046792</v>
      </c>
      <c r="F122">
        <v>97.057404727448144</v>
      </c>
      <c r="G122">
        <v>50</v>
      </c>
      <c r="H122">
        <v>3.75060299083454</v>
      </c>
      <c r="I122">
        <v>1</v>
      </c>
      <c r="J122">
        <v>0</v>
      </c>
      <c r="K122">
        <v>1</v>
      </c>
      <c r="L122">
        <v>1</v>
      </c>
      <c r="M122">
        <v>0</v>
      </c>
      <c r="N122">
        <v>45</v>
      </c>
      <c r="O122">
        <v>15000</v>
      </c>
      <c r="P122">
        <v>1</v>
      </c>
      <c r="Q122">
        <v>4</v>
      </c>
      <c r="R122">
        <v>5</v>
      </c>
      <c r="S122">
        <v>5</v>
      </c>
      <c r="T122" s="123">
        <f t="shared" si="7"/>
        <v>0</v>
      </c>
      <c r="U122">
        <f t="shared" si="8"/>
        <v>0</v>
      </c>
      <c r="V122">
        <f t="shared" si="9"/>
        <v>1</v>
      </c>
      <c r="W122">
        <f t="shared" si="10"/>
        <v>1</v>
      </c>
      <c r="X122">
        <f t="shared" si="11"/>
        <v>1</v>
      </c>
    </row>
    <row r="123" spans="1:24">
      <c r="A123" t="s">
        <v>107</v>
      </c>
      <c r="B123">
        <v>2</v>
      </c>
      <c r="C123">
        <v>1</v>
      </c>
      <c r="D123">
        <v>97.793053545586105</v>
      </c>
      <c r="E123">
        <v>98.23926676314521</v>
      </c>
      <c r="F123">
        <v>99.939700916546073</v>
      </c>
      <c r="G123">
        <v>0.78388808490110762</v>
      </c>
      <c r="H123">
        <v>2.1587071876507489</v>
      </c>
      <c r="I123">
        <v>0</v>
      </c>
      <c r="J123">
        <v>0</v>
      </c>
      <c r="K123">
        <v>1</v>
      </c>
      <c r="L123">
        <v>1</v>
      </c>
      <c r="M123">
        <v>0</v>
      </c>
      <c r="N123">
        <v>45</v>
      </c>
      <c r="O123">
        <v>15000</v>
      </c>
      <c r="P123">
        <v>1</v>
      </c>
      <c r="Q123">
        <v>4</v>
      </c>
      <c r="R123">
        <v>5</v>
      </c>
      <c r="S123">
        <v>5</v>
      </c>
      <c r="T123" s="123">
        <f t="shared" si="7"/>
        <v>0</v>
      </c>
      <c r="U123">
        <f t="shared" si="8"/>
        <v>0</v>
      </c>
      <c r="V123">
        <f t="shared" si="9"/>
        <v>1</v>
      </c>
      <c r="W123">
        <f t="shared" si="10"/>
        <v>1</v>
      </c>
      <c r="X123">
        <f t="shared" si="11"/>
        <v>1</v>
      </c>
    </row>
    <row r="124" spans="1:24">
      <c r="A124" t="s">
        <v>107</v>
      </c>
      <c r="B124">
        <v>3</v>
      </c>
      <c r="C124">
        <v>1</v>
      </c>
      <c r="D124">
        <v>98.962855764592376</v>
      </c>
      <c r="E124">
        <v>100</v>
      </c>
      <c r="F124">
        <v>100</v>
      </c>
      <c r="G124">
        <v>1.0733236854799819</v>
      </c>
      <c r="H124">
        <v>2.6893391220453422</v>
      </c>
      <c r="I124">
        <v>0</v>
      </c>
      <c r="J124">
        <v>0</v>
      </c>
      <c r="K124">
        <v>1</v>
      </c>
      <c r="L124">
        <v>1</v>
      </c>
      <c r="M124">
        <v>0</v>
      </c>
      <c r="N124">
        <v>45</v>
      </c>
      <c r="O124">
        <v>15000</v>
      </c>
      <c r="P124">
        <v>1</v>
      </c>
      <c r="Q124">
        <v>4</v>
      </c>
      <c r="R124">
        <v>5</v>
      </c>
      <c r="S124">
        <v>5</v>
      </c>
      <c r="T124" s="123">
        <f t="shared" si="7"/>
        <v>0</v>
      </c>
      <c r="U124">
        <f t="shared" si="8"/>
        <v>0</v>
      </c>
      <c r="V124">
        <f t="shared" si="9"/>
        <v>1</v>
      </c>
      <c r="W124">
        <f t="shared" si="10"/>
        <v>1</v>
      </c>
      <c r="X124">
        <f t="shared" si="11"/>
        <v>1</v>
      </c>
    </row>
    <row r="125" spans="1:24">
      <c r="A125" t="s">
        <v>107</v>
      </c>
      <c r="B125">
        <v>4</v>
      </c>
      <c r="C125">
        <v>1</v>
      </c>
      <c r="D125">
        <v>98.70959961408586</v>
      </c>
      <c r="E125">
        <v>98.130728412928121</v>
      </c>
      <c r="F125">
        <v>97.395079594790161</v>
      </c>
      <c r="G125">
        <v>7.3806078147612144</v>
      </c>
      <c r="H125">
        <v>2.7978774722624218</v>
      </c>
      <c r="I125">
        <v>0</v>
      </c>
      <c r="J125">
        <v>0</v>
      </c>
      <c r="K125">
        <v>1</v>
      </c>
      <c r="L125">
        <v>1</v>
      </c>
      <c r="M125">
        <v>0</v>
      </c>
      <c r="N125">
        <v>45</v>
      </c>
      <c r="O125">
        <v>15000</v>
      </c>
      <c r="P125">
        <v>1</v>
      </c>
      <c r="Q125">
        <v>4</v>
      </c>
      <c r="R125">
        <v>5</v>
      </c>
      <c r="S125">
        <v>5</v>
      </c>
      <c r="T125" s="123">
        <f t="shared" si="7"/>
        <v>0</v>
      </c>
      <c r="U125">
        <f t="shared" si="8"/>
        <v>0</v>
      </c>
      <c r="V125">
        <f t="shared" si="9"/>
        <v>1</v>
      </c>
      <c r="W125">
        <f t="shared" si="10"/>
        <v>1</v>
      </c>
      <c r="X125">
        <f t="shared" si="11"/>
        <v>1</v>
      </c>
    </row>
    <row r="126" spans="1:24">
      <c r="A126" t="s">
        <v>107</v>
      </c>
      <c r="B126">
        <v>5</v>
      </c>
      <c r="C126">
        <v>1</v>
      </c>
      <c r="D126">
        <v>97.23830197780994</v>
      </c>
      <c r="E126">
        <v>93.656536420646404</v>
      </c>
      <c r="F126">
        <v>89.954172696575014</v>
      </c>
      <c r="G126">
        <v>7.5615050651230087</v>
      </c>
      <c r="H126">
        <v>4.3294741919922828</v>
      </c>
      <c r="I126">
        <v>0</v>
      </c>
      <c r="J126">
        <v>0</v>
      </c>
      <c r="K126">
        <v>1</v>
      </c>
      <c r="L126">
        <v>1</v>
      </c>
      <c r="M126">
        <v>0</v>
      </c>
      <c r="N126">
        <v>45</v>
      </c>
      <c r="O126">
        <v>15000</v>
      </c>
      <c r="P126">
        <v>1</v>
      </c>
      <c r="Q126">
        <v>4</v>
      </c>
      <c r="R126">
        <v>5</v>
      </c>
      <c r="S126">
        <v>5</v>
      </c>
      <c r="T126" s="123">
        <f t="shared" si="7"/>
        <v>0</v>
      </c>
      <c r="U126">
        <f t="shared" si="8"/>
        <v>0</v>
      </c>
      <c r="V126">
        <f t="shared" si="9"/>
        <v>1</v>
      </c>
      <c r="W126">
        <f t="shared" si="10"/>
        <v>1</v>
      </c>
      <c r="X126">
        <f t="shared" si="11"/>
        <v>1</v>
      </c>
    </row>
    <row r="127" spans="1:24">
      <c r="A127" t="s">
        <v>107</v>
      </c>
      <c r="B127">
        <v>6</v>
      </c>
      <c r="C127">
        <v>1</v>
      </c>
      <c r="D127">
        <v>87.614568258562457</v>
      </c>
      <c r="E127">
        <v>97.877472262421605</v>
      </c>
      <c r="F127">
        <v>96.972986010612644</v>
      </c>
      <c r="G127">
        <v>3.738543174143754</v>
      </c>
      <c r="H127">
        <v>2.5325615050651229</v>
      </c>
      <c r="I127">
        <v>0</v>
      </c>
      <c r="J127">
        <v>0</v>
      </c>
      <c r="K127">
        <v>1</v>
      </c>
      <c r="L127">
        <v>1</v>
      </c>
      <c r="M127">
        <v>0</v>
      </c>
      <c r="N127">
        <v>45</v>
      </c>
      <c r="O127">
        <v>15000</v>
      </c>
      <c r="P127">
        <v>1</v>
      </c>
      <c r="Q127">
        <v>4</v>
      </c>
      <c r="R127">
        <v>5</v>
      </c>
      <c r="S127">
        <v>5</v>
      </c>
      <c r="T127" s="123">
        <f t="shared" si="7"/>
        <v>0</v>
      </c>
      <c r="U127">
        <f t="shared" si="8"/>
        <v>0</v>
      </c>
      <c r="V127">
        <f t="shared" si="9"/>
        <v>1</v>
      </c>
      <c r="W127">
        <f t="shared" si="10"/>
        <v>1</v>
      </c>
      <c r="X127">
        <f t="shared" si="11"/>
        <v>1</v>
      </c>
    </row>
    <row r="128" spans="1:24">
      <c r="A128" t="s">
        <v>107</v>
      </c>
      <c r="B128">
        <v>7</v>
      </c>
      <c r="C128">
        <v>1</v>
      </c>
      <c r="D128">
        <v>2.2069464544138939</v>
      </c>
      <c r="E128">
        <v>99.903521466473705</v>
      </c>
      <c r="F128">
        <v>96.888567293777129</v>
      </c>
      <c r="G128">
        <v>1.8451519536903049</v>
      </c>
      <c r="H128">
        <v>3.738543174143754</v>
      </c>
      <c r="I128">
        <v>0</v>
      </c>
      <c r="J128">
        <v>1</v>
      </c>
      <c r="K128">
        <v>0</v>
      </c>
      <c r="L128">
        <v>1</v>
      </c>
      <c r="M128">
        <v>0</v>
      </c>
      <c r="N128">
        <v>45</v>
      </c>
      <c r="O128">
        <v>15000</v>
      </c>
      <c r="P128">
        <v>1</v>
      </c>
      <c r="Q128">
        <v>4</v>
      </c>
      <c r="R128">
        <v>5</v>
      </c>
      <c r="S128">
        <v>5</v>
      </c>
      <c r="T128" s="123">
        <f t="shared" si="7"/>
        <v>0</v>
      </c>
      <c r="U128">
        <f t="shared" si="8"/>
        <v>0</v>
      </c>
      <c r="V128">
        <f t="shared" si="9"/>
        <v>1</v>
      </c>
      <c r="W128">
        <f t="shared" si="10"/>
        <v>1</v>
      </c>
      <c r="X128">
        <f t="shared" si="11"/>
        <v>1</v>
      </c>
    </row>
    <row r="129" spans="1:24" hidden="1">
      <c r="A129" t="s">
        <v>289</v>
      </c>
      <c r="B129">
        <v>1</v>
      </c>
      <c r="C129">
        <v>1</v>
      </c>
      <c r="D129">
        <v>10.625620655412121</v>
      </c>
      <c r="E129">
        <v>5.8192651439920589</v>
      </c>
      <c r="F129">
        <v>6.9712015888778556</v>
      </c>
      <c r="G129">
        <v>6.6335650446871899</v>
      </c>
      <c r="H129">
        <v>6.4846077457795417</v>
      </c>
      <c r="I129">
        <v>1</v>
      </c>
      <c r="J129">
        <v>0</v>
      </c>
      <c r="K129">
        <v>0</v>
      </c>
      <c r="L129">
        <v>1</v>
      </c>
      <c r="M129">
        <v>0</v>
      </c>
      <c r="N129">
        <v>58</v>
      </c>
      <c r="O129">
        <v>-99</v>
      </c>
      <c r="P129">
        <v>1</v>
      </c>
      <c r="Q129">
        <v>1</v>
      </c>
      <c r="R129">
        <v>2</v>
      </c>
      <c r="S129">
        <v>1</v>
      </c>
      <c r="T129" s="123">
        <f t="shared" si="7"/>
        <v>1</v>
      </c>
      <c r="U129">
        <f t="shared" si="8"/>
        <v>0</v>
      </c>
      <c r="V129">
        <f t="shared" si="9"/>
        <v>0</v>
      </c>
      <c r="W129">
        <f t="shared" si="10"/>
        <v>0</v>
      </c>
      <c r="X129">
        <f t="shared" si="11"/>
        <v>0</v>
      </c>
    </row>
    <row r="130" spans="1:24" hidden="1">
      <c r="A130" t="s">
        <v>289</v>
      </c>
      <c r="B130">
        <v>2</v>
      </c>
      <c r="C130">
        <v>1</v>
      </c>
      <c r="D130">
        <v>5.1439920556107239</v>
      </c>
      <c r="E130">
        <v>5.4816285998013914</v>
      </c>
      <c r="F130">
        <v>5.4816285998013914</v>
      </c>
      <c r="G130">
        <v>6.981132075471697</v>
      </c>
      <c r="H130">
        <v>5.8192651439920589</v>
      </c>
      <c r="I130">
        <v>0</v>
      </c>
      <c r="J130">
        <v>0</v>
      </c>
      <c r="K130">
        <v>0</v>
      </c>
      <c r="L130">
        <v>1</v>
      </c>
      <c r="M130">
        <v>0</v>
      </c>
      <c r="N130">
        <v>58</v>
      </c>
      <c r="O130">
        <v>-99</v>
      </c>
      <c r="P130">
        <v>1</v>
      </c>
      <c r="Q130">
        <v>1</v>
      </c>
      <c r="R130">
        <v>2</v>
      </c>
      <c r="S130">
        <v>1</v>
      </c>
      <c r="T130" s="123">
        <f t="shared" si="7"/>
        <v>1</v>
      </c>
      <c r="U130">
        <f t="shared" si="8"/>
        <v>0</v>
      </c>
      <c r="V130">
        <f t="shared" si="9"/>
        <v>0</v>
      </c>
      <c r="W130">
        <f t="shared" si="10"/>
        <v>0</v>
      </c>
      <c r="X130">
        <f t="shared" si="11"/>
        <v>0</v>
      </c>
    </row>
    <row r="131" spans="1:24" hidden="1">
      <c r="A131" t="s">
        <v>289</v>
      </c>
      <c r="B131">
        <v>3</v>
      </c>
      <c r="C131">
        <v>1</v>
      </c>
      <c r="D131">
        <v>6.315789473684208</v>
      </c>
      <c r="E131">
        <v>5.6405163853028792</v>
      </c>
      <c r="F131">
        <v>5.1539225422045698</v>
      </c>
      <c r="G131">
        <v>5.1539225422045698</v>
      </c>
      <c r="H131">
        <v>5.6603773584905648</v>
      </c>
      <c r="I131">
        <v>0</v>
      </c>
      <c r="J131">
        <v>0</v>
      </c>
      <c r="K131">
        <v>0</v>
      </c>
      <c r="L131">
        <v>1</v>
      </c>
      <c r="M131">
        <v>0</v>
      </c>
      <c r="N131">
        <v>58</v>
      </c>
      <c r="O131">
        <v>-99</v>
      </c>
      <c r="P131">
        <v>1</v>
      </c>
      <c r="Q131">
        <v>1</v>
      </c>
      <c r="R131">
        <v>2</v>
      </c>
      <c r="S131">
        <v>1</v>
      </c>
      <c r="T131" s="123">
        <f t="shared" si="7"/>
        <v>1</v>
      </c>
      <c r="U131">
        <f t="shared" si="8"/>
        <v>0</v>
      </c>
      <c r="V131">
        <f t="shared" si="9"/>
        <v>0</v>
      </c>
      <c r="W131">
        <f t="shared" si="10"/>
        <v>0</v>
      </c>
      <c r="X131">
        <f t="shared" si="11"/>
        <v>0</v>
      </c>
    </row>
    <row r="132" spans="1:24" hidden="1">
      <c r="A132" t="s">
        <v>289</v>
      </c>
      <c r="B132">
        <v>4</v>
      </c>
      <c r="C132">
        <v>1</v>
      </c>
      <c r="D132">
        <v>5.6405163853028792</v>
      </c>
      <c r="E132">
        <v>5.6504468718967251</v>
      </c>
      <c r="F132">
        <v>5.1439920556107239</v>
      </c>
      <c r="G132">
        <v>6.981132075471697</v>
      </c>
      <c r="H132">
        <v>4.6573982125124136</v>
      </c>
      <c r="I132">
        <v>0</v>
      </c>
      <c r="J132">
        <v>0</v>
      </c>
      <c r="K132">
        <v>0</v>
      </c>
      <c r="L132">
        <v>1</v>
      </c>
      <c r="M132">
        <v>0</v>
      </c>
      <c r="N132">
        <v>58</v>
      </c>
      <c r="O132">
        <v>-99</v>
      </c>
      <c r="P132">
        <v>1</v>
      </c>
      <c r="Q132">
        <v>1</v>
      </c>
      <c r="R132">
        <v>2</v>
      </c>
      <c r="S132">
        <v>1</v>
      </c>
      <c r="T132" s="123">
        <f t="shared" ref="T132:T195" si="12">IF(OR(IF(AVERAGE(E132:F132)-G132&gt;(10),1,0),IF(AVERAGE(E132:F132)-G132&lt;(-10),1,0)),0,1)</f>
        <v>1</v>
      </c>
      <c r="U132">
        <f t="shared" ref="U132:U195" si="13">IF(P132&gt;3,1,0)</f>
        <v>0</v>
      </c>
      <c r="V132">
        <f t="shared" ref="V132:V195" si="14">IF(Q132&gt;3,1,0)</f>
        <v>0</v>
      </c>
      <c r="W132">
        <f t="shared" ref="W132:W195" si="15">IF(R132&gt;3,1,0)</f>
        <v>0</v>
      </c>
      <c r="X132">
        <f t="shared" ref="X132:X195" si="16">IF(S132&gt;3,1,0)</f>
        <v>0</v>
      </c>
    </row>
    <row r="133" spans="1:24" hidden="1">
      <c r="A133" t="s">
        <v>289</v>
      </c>
      <c r="B133">
        <v>5</v>
      </c>
      <c r="C133">
        <v>1</v>
      </c>
      <c r="D133">
        <v>10.168818272095329</v>
      </c>
      <c r="E133">
        <v>17.24925521350546</v>
      </c>
      <c r="F133">
        <v>12.949354518371401</v>
      </c>
      <c r="G133">
        <v>8.2522343594836123</v>
      </c>
      <c r="H133">
        <v>12.939424031777561</v>
      </c>
      <c r="I133">
        <v>0</v>
      </c>
      <c r="J133">
        <v>0</v>
      </c>
      <c r="K133">
        <v>0</v>
      </c>
      <c r="L133">
        <v>1</v>
      </c>
      <c r="M133">
        <v>0</v>
      </c>
      <c r="N133">
        <v>58</v>
      </c>
      <c r="O133">
        <v>-99</v>
      </c>
      <c r="P133">
        <v>1</v>
      </c>
      <c r="Q133">
        <v>1</v>
      </c>
      <c r="R133">
        <v>2</v>
      </c>
      <c r="S133">
        <v>1</v>
      </c>
      <c r="T133" s="123">
        <f t="shared" si="12"/>
        <v>1</v>
      </c>
      <c r="U133">
        <f t="shared" si="13"/>
        <v>0</v>
      </c>
      <c r="V133">
        <f t="shared" si="14"/>
        <v>0</v>
      </c>
      <c r="W133">
        <f t="shared" si="15"/>
        <v>0</v>
      </c>
      <c r="X133">
        <f t="shared" si="16"/>
        <v>0</v>
      </c>
    </row>
    <row r="134" spans="1:24" hidden="1">
      <c r="A134" t="s">
        <v>289</v>
      </c>
      <c r="B134">
        <v>6</v>
      </c>
      <c r="C134">
        <v>1</v>
      </c>
      <c r="D134">
        <v>8.9771598808341615</v>
      </c>
      <c r="E134">
        <v>11.876861966236349</v>
      </c>
      <c r="F134">
        <v>7.298907646474678</v>
      </c>
      <c r="G134">
        <v>6.4846077457795417</v>
      </c>
      <c r="H134">
        <v>9.1956305858987069</v>
      </c>
      <c r="I134">
        <v>0</v>
      </c>
      <c r="J134">
        <v>0</v>
      </c>
      <c r="K134">
        <v>0</v>
      </c>
      <c r="L134">
        <v>1</v>
      </c>
      <c r="M134">
        <v>0</v>
      </c>
      <c r="N134">
        <v>58</v>
      </c>
      <c r="O134">
        <v>-99</v>
      </c>
      <c r="P134">
        <v>1</v>
      </c>
      <c r="Q134">
        <v>1</v>
      </c>
      <c r="R134">
        <v>2</v>
      </c>
      <c r="S134">
        <v>1</v>
      </c>
      <c r="T134" s="123">
        <f t="shared" si="12"/>
        <v>1</v>
      </c>
      <c r="U134">
        <f t="shared" si="13"/>
        <v>0</v>
      </c>
      <c r="V134">
        <f t="shared" si="14"/>
        <v>0</v>
      </c>
      <c r="W134">
        <f t="shared" si="15"/>
        <v>0</v>
      </c>
      <c r="X134">
        <f t="shared" si="16"/>
        <v>0</v>
      </c>
    </row>
    <row r="135" spans="1:24" hidden="1">
      <c r="A135" t="s">
        <v>289</v>
      </c>
      <c r="B135">
        <v>7</v>
      </c>
      <c r="C135">
        <v>1</v>
      </c>
      <c r="D135">
        <v>50</v>
      </c>
      <c r="E135">
        <v>0</v>
      </c>
      <c r="F135">
        <v>49.797872340425528</v>
      </c>
      <c r="G135">
        <v>23.63829787234042</v>
      </c>
      <c r="H135">
        <v>11.340425531914891</v>
      </c>
      <c r="I135">
        <v>0</v>
      </c>
      <c r="J135">
        <v>1</v>
      </c>
      <c r="K135">
        <v>0</v>
      </c>
      <c r="L135">
        <v>1</v>
      </c>
      <c r="M135">
        <v>0</v>
      </c>
      <c r="N135">
        <v>58</v>
      </c>
      <c r="O135">
        <v>-99</v>
      </c>
      <c r="P135">
        <v>1</v>
      </c>
      <c r="Q135">
        <v>1</v>
      </c>
      <c r="R135">
        <v>2</v>
      </c>
      <c r="S135">
        <v>1</v>
      </c>
      <c r="T135" s="123">
        <f t="shared" si="12"/>
        <v>1</v>
      </c>
      <c r="U135">
        <f t="shared" si="13"/>
        <v>0</v>
      </c>
      <c r="V135">
        <f t="shared" si="14"/>
        <v>0</v>
      </c>
      <c r="W135">
        <f t="shared" si="15"/>
        <v>0</v>
      </c>
      <c r="X135">
        <f t="shared" si="16"/>
        <v>0</v>
      </c>
    </row>
    <row r="136" spans="1:24">
      <c r="A136" t="s">
        <v>108</v>
      </c>
      <c r="B136">
        <v>1</v>
      </c>
      <c r="C136">
        <v>1</v>
      </c>
      <c r="D136">
        <v>4.2860340196956113</v>
      </c>
      <c r="E136">
        <v>7.4082363473589989</v>
      </c>
      <c r="F136">
        <v>21.10564010743062</v>
      </c>
      <c r="G136">
        <v>89.894807520143232</v>
      </c>
      <c r="H136">
        <v>8.3258728737690255</v>
      </c>
      <c r="I136">
        <v>1</v>
      </c>
      <c r="J136">
        <v>0</v>
      </c>
      <c r="K136">
        <v>0</v>
      </c>
      <c r="L136">
        <v>1</v>
      </c>
      <c r="M136">
        <v>0</v>
      </c>
      <c r="N136">
        <v>41</v>
      </c>
      <c r="O136">
        <v>100000</v>
      </c>
      <c r="P136">
        <v>1</v>
      </c>
      <c r="Q136">
        <v>1</v>
      </c>
      <c r="R136">
        <v>3</v>
      </c>
      <c r="S136">
        <v>1</v>
      </c>
      <c r="T136" s="123">
        <f t="shared" si="12"/>
        <v>0</v>
      </c>
      <c r="U136">
        <f t="shared" si="13"/>
        <v>0</v>
      </c>
      <c r="V136">
        <f t="shared" si="14"/>
        <v>0</v>
      </c>
      <c r="W136">
        <f t="shared" si="15"/>
        <v>0</v>
      </c>
      <c r="X136">
        <f t="shared" si="16"/>
        <v>0</v>
      </c>
    </row>
    <row r="137" spans="1:24">
      <c r="A137" t="s">
        <v>108</v>
      </c>
      <c r="B137">
        <v>2</v>
      </c>
      <c r="C137">
        <v>1</v>
      </c>
      <c r="D137">
        <v>6.4122649955237252</v>
      </c>
      <c r="E137">
        <v>5.8751119068934656</v>
      </c>
      <c r="F137">
        <v>4.9798567591763652</v>
      </c>
      <c r="G137">
        <v>82.262757385854968</v>
      </c>
      <c r="H137">
        <v>0.86168307967771085</v>
      </c>
      <c r="I137">
        <v>0</v>
      </c>
      <c r="J137">
        <v>0</v>
      </c>
      <c r="K137">
        <v>0</v>
      </c>
      <c r="L137">
        <v>1</v>
      </c>
      <c r="M137">
        <v>0</v>
      </c>
      <c r="N137">
        <v>41</v>
      </c>
      <c r="O137">
        <v>100000</v>
      </c>
      <c r="P137">
        <v>1</v>
      </c>
      <c r="Q137">
        <v>1</v>
      </c>
      <c r="R137">
        <v>3</v>
      </c>
      <c r="S137">
        <v>1</v>
      </c>
      <c r="T137" s="123">
        <f t="shared" si="12"/>
        <v>0</v>
      </c>
      <c r="U137">
        <f t="shared" si="13"/>
        <v>0</v>
      </c>
      <c r="V137">
        <f t="shared" si="14"/>
        <v>0</v>
      </c>
      <c r="W137">
        <f t="shared" si="15"/>
        <v>0</v>
      </c>
      <c r="X137">
        <f t="shared" si="16"/>
        <v>0</v>
      </c>
    </row>
    <row r="138" spans="1:24" hidden="1">
      <c r="A138" t="s">
        <v>108</v>
      </c>
      <c r="B138">
        <v>3</v>
      </c>
      <c r="C138">
        <v>1</v>
      </c>
      <c r="D138">
        <v>5.2708146821844224</v>
      </c>
      <c r="E138">
        <v>11.58236347358997</v>
      </c>
      <c r="F138">
        <v>10.955684870188</v>
      </c>
      <c r="G138">
        <v>19.2591763652641</v>
      </c>
      <c r="H138">
        <v>5.5841539838854093</v>
      </c>
      <c r="I138">
        <v>0</v>
      </c>
      <c r="J138">
        <v>0</v>
      </c>
      <c r="K138">
        <v>0</v>
      </c>
      <c r="L138">
        <v>1</v>
      </c>
      <c r="M138">
        <v>0</v>
      </c>
      <c r="N138">
        <v>41</v>
      </c>
      <c r="O138">
        <v>100000</v>
      </c>
      <c r="P138">
        <v>1</v>
      </c>
      <c r="Q138">
        <v>1</v>
      </c>
      <c r="R138">
        <v>3</v>
      </c>
      <c r="S138">
        <v>1</v>
      </c>
      <c r="T138" s="123">
        <f t="shared" si="12"/>
        <v>1</v>
      </c>
      <c r="U138">
        <f t="shared" si="13"/>
        <v>0</v>
      </c>
      <c r="V138">
        <f t="shared" si="14"/>
        <v>0</v>
      </c>
      <c r="W138">
        <f t="shared" si="15"/>
        <v>0</v>
      </c>
      <c r="X138">
        <f t="shared" si="16"/>
        <v>0</v>
      </c>
    </row>
    <row r="139" spans="1:24">
      <c r="A139" t="s">
        <v>108</v>
      </c>
      <c r="B139">
        <v>4</v>
      </c>
      <c r="C139">
        <v>1</v>
      </c>
      <c r="D139">
        <v>18.224740321057599</v>
      </c>
      <c r="E139">
        <v>4.0722379603399421</v>
      </c>
      <c r="F139">
        <v>5.0519357884796996</v>
      </c>
      <c r="G139">
        <v>50</v>
      </c>
      <c r="H139">
        <v>17.858829084041549</v>
      </c>
      <c r="I139">
        <v>0</v>
      </c>
      <c r="J139">
        <v>0</v>
      </c>
      <c r="K139">
        <v>0</v>
      </c>
      <c r="L139">
        <v>1</v>
      </c>
      <c r="M139">
        <v>0</v>
      </c>
      <c r="N139">
        <v>41</v>
      </c>
      <c r="O139">
        <v>100000</v>
      </c>
      <c r="P139">
        <v>1</v>
      </c>
      <c r="Q139">
        <v>1</v>
      </c>
      <c r="R139">
        <v>3</v>
      </c>
      <c r="S139">
        <v>1</v>
      </c>
      <c r="T139" s="123">
        <f t="shared" si="12"/>
        <v>0</v>
      </c>
      <c r="U139">
        <f t="shared" si="13"/>
        <v>0</v>
      </c>
      <c r="V139">
        <f t="shared" si="14"/>
        <v>0</v>
      </c>
      <c r="W139">
        <f t="shared" si="15"/>
        <v>0</v>
      </c>
      <c r="X139">
        <f t="shared" si="16"/>
        <v>0</v>
      </c>
    </row>
    <row r="140" spans="1:24" hidden="1">
      <c r="A140" t="s">
        <v>108</v>
      </c>
      <c r="B140">
        <v>5</v>
      </c>
      <c r="C140">
        <v>1</v>
      </c>
      <c r="D140">
        <v>7.0821529745042522</v>
      </c>
      <c r="E140">
        <v>0.29508970727101241</v>
      </c>
      <c r="F140">
        <v>27.856468366383378</v>
      </c>
      <c r="G140">
        <v>10.32813975448537</v>
      </c>
      <c r="H140">
        <v>1.203966005665724</v>
      </c>
      <c r="I140">
        <v>0</v>
      </c>
      <c r="J140">
        <v>0</v>
      </c>
      <c r="K140">
        <v>0</v>
      </c>
      <c r="L140">
        <v>1</v>
      </c>
      <c r="M140">
        <v>0</v>
      </c>
      <c r="N140">
        <v>41</v>
      </c>
      <c r="O140">
        <v>100000</v>
      </c>
      <c r="P140">
        <v>1</v>
      </c>
      <c r="Q140">
        <v>1</v>
      </c>
      <c r="R140">
        <v>3</v>
      </c>
      <c r="S140">
        <v>1</v>
      </c>
      <c r="T140" s="123">
        <f t="shared" si="12"/>
        <v>1</v>
      </c>
      <c r="U140">
        <f t="shared" si="13"/>
        <v>0</v>
      </c>
      <c r="V140">
        <f t="shared" si="14"/>
        <v>0</v>
      </c>
      <c r="W140">
        <f t="shared" si="15"/>
        <v>0</v>
      </c>
      <c r="X140">
        <f t="shared" si="16"/>
        <v>0</v>
      </c>
    </row>
    <row r="141" spans="1:24">
      <c r="A141" t="s">
        <v>108</v>
      </c>
      <c r="B141">
        <v>6</v>
      </c>
      <c r="C141">
        <v>1</v>
      </c>
      <c r="D141">
        <v>2.8210576015108568</v>
      </c>
      <c r="E141">
        <v>0.99150141643059575</v>
      </c>
      <c r="F141">
        <v>11.118980169971669</v>
      </c>
      <c r="G141">
        <v>96.718602455146367</v>
      </c>
      <c r="H141">
        <v>0</v>
      </c>
      <c r="I141">
        <v>0</v>
      </c>
      <c r="J141">
        <v>0</v>
      </c>
      <c r="K141">
        <v>0</v>
      </c>
      <c r="L141">
        <v>1</v>
      </c>
      <c r="M141">
        <v>0</v>
      </c>
      <c r="N141">
        <v>41</v>
      </c>
      <c r="O141">
        <v>100000</v>
      </c>
      <c r="P141">
        <v>1</v>
      </c>
      <c r="Q141">
        <v>1</v>
      </c>
      <c r="R141">
        <v>3</v>
      </c>
      <c r="S141">
        <v>1</v>
      </c>
      <c r="T141" s="123">
        <f t="shared" si="12"/>
        <v>0</v>
      </c>
      <c r="U141">
        <f t="shared" si="13"/>
        <v>0</v>
      </c>
      <c r="V141">
        <f t="shared" si="14"/>
        <v>0</v>
      </c>
      <c r="W141">
        <f t="shared" si="15"/>
        <v>0</v>
      </c>
      <c r="X141">
        <f t="shared" si="16"/>
        <v>0</v>
      </c>
    </row>
    <row r="142" spans="1:24">
      <c r="A142" t="s">
        <v>108</v>
      </c>
      <c r="B142">
        <v>7</v>
      </c>
      <c r="C142">
        <v>1</v>
      </c>
      <c r="D142">
        <v>4.4027384324834777</v>
      </c>
      <c r="E142">
        <v>1.8649669499527839</v>
      </c>
      <c r="F142">
        <v>3.682719546742208</v>
      </c>
      <c r="G142">
        <v>94.85363550519358</v>
      </c>
      <c r="H142">
        <v>3.682719546742208</v>
      </c>
      <c r="I142">
        <v>0</v>
      </c>
      <c r="J142">
        <v>1</v>
      </c>
      <c r="K142">
        <v>0</v>
      </c>
      <c r="L142">
        <v>1</v>
      </c>
      <c r="M142">
        <v>0</v>
      </c>
      <c r="N142">
        <v>41</v>
      </c>
      <c r="O142">
        <v>100000</v>
      </c>
      <c r="P142">
        <v>1</v>
      </c>
      <c r="Q142">
        <v>1</v>
      </c>
      <c r="R142">
        <v>3</v>
      </c>
      <c r="S142">
        <v>1</v>
      </c>
      <c r="T142" s="123">
        <f t="shared" si="12"/>
        <v>0</v>
      </c>
      <c r="U142">
        <f t="shared" si="13"/>
        <v>0</v>
      </c>
      <c r="V142">
        <f t="shared" si="14"/>
        <v>0</v>
      </c>
      <c r="W142">
        <f t="shared" si="15"/>
        <v>0</v>
      </c>
      <c r="X142">
        <f t="shared" si="16"/>
        <v>0</v>
      </c>
    </row>
    <row r="143" spans="1:24">
      <c r="A143" t="s">
        <v>109</v>
      </c>
      <c r="B143">
        <v>1</v>
      </c>
      <c r="C143">
        <v>1</v>
      </c>
      <c r="D143">
        <v>93.620912220309819</v>
      </c>
      <c r="E143">
        <v>94.997848537005169</v>
      </c>
      <c r="F143">
        <v>91.146729776247852</v>
      </c>
      <c r="G143">
        <v>50</v>
      </c>
      <c r="H143">
        <v>10.585197934595531</v>
      </c>
      <c r="I143">
        <v>1</v>
      </c>
      <c r="J143">
        <v>0</v>
      </c>
      <c r="K143">
        <v>1</v>
      </c>
      <c r="L143">
        <v>1</v>
      </c>
      <c r="M143">
        <v>0</v>
      </c>
      <c r="N143">
        <v>37</v>
      </c>
      <c r="O143">
        <v>32000</v>
      </c>
      <c r="P143">
        <v>5</v>
      </c>
      <c r="Q143">
        <v>4</v>
      </c>
      <c r="R143">
        <v>5</v>
      </c>
      <c r="S143">
        <v>5</v>
      </c>
      <c r="T143" s="123">
        <f t="shared" si="12"/>
        <v>0</v>
      </c>
      <c r="U143">
        <f t="shared" si="13"/>
        <v>1</v>
      </c>
      <c r="V143">
        <f t="shared" si="14"/>
        <v>1</v>
      </c>
      <c r="W143">
        <f t="shared" si="15"/>
        <v>1</v>
      </c>
      <c r="X143">
        <f t="shared" si="16"/>
        <v>1</v>
      </c>
    </row>
    <row r="144" spans="1:24">
      <c r="A144" t="s">
        <v>109</v>
      </c>
      <c r="B144">
        <v>2</v>
      </c>
      <c r="C144">
        <v>1</v>
      </c>
      <c r="D144">
        <v>3.6144578313253022</v>
      </c>
      <c r="E144">
        <v>91.759896729776244</v>
      </c>
      <c r="F144">
        <v>3.5391566265060241</v>
      </c>
      <c r="G144">
        <v>10.25172117039587</v>
      </c>
      <c r="H144">
        <v>10.23020654044751</v>
      </c>
      <c r="I144">
        <v>0</v>
      </c>
      <c r="J144">
        <v>0</v>
      </c>
      <c r="K144">
        <v>0</v>
      </c>
      <c r="L144">
        <v>1</v>
      </c>
      <c r="M144">
        <v>0</v>
      </c>
      <c r="N144">
        <v>37</v>
      </c>
      <c r="O144">
        <v>32000</v>
      </c>
      <c r="P144">
        <v>5</v>
      </c>
      <c r="Q144">
        <v>4</v>
      </c>
      <c r="R144">
        <v>5</v>
      </c>
      <c r="S144">
        <v>5</v>
      </c>
      <c r="T144" s="123">
        <f t="shared" si="12"/>
        <v>0</v>
      </c>
      <c r="U144">
        <f t="shared" si="13"/>
        <v>1</v>
      </c>
      <c r="V144">
        <f t="shared" si="14"/>
        <v>1</v>
      </c>
      <c r="W144">
        <f t="shared" si="15"/>
        <v>1</v>
      </c>
      <c r="X144">
        <f t="shared" si="16"/>
        <v>1</v>
      </c>
    </row>
    <row r="145" spans="1:24">
      <c r="A145" t="s">
        <v>109</v>
      </c>
      <c r="B145">
        <v>3</v>
      </c>
      <c r="C145">
        <v>1</v>
      </c>
      <c r="D145">
        <v>17.641996557659208</v>
      </c>
      <c r="E145">
        <v>0.87134251290877929</v>
      </c>
      <c r="F145">
        <v>97.934595524956976</v>
      </c>
      <c r="G145">
        <v>2.2267641996557681</v>
      </c>
      <c r="H145">
        <v>98.537005163511182</v>
      </c>
      <c r="I145">
        <v>0</v>
      </c>
      <c r="J145">
        <v>0</v>
      </c>
      <c r="K145">
        <v>0</v>
      </c>
      <c r="L145">
        <v>1</v>
      </c>
      <c r="M145">
        <v>0</v>
      </c>
      <c r="N145">
        <v>37</v>
      </c>
      <c r="O145">
        <v>32000</v>
      </c>
      <c r="P145">
        <v>5</v>
      </c>
      <c r="Q145">
        <v>4</v>
      </c>
      <c r="R145">
        <v>5</v>
      </c>
      <c r="S145">
        <v>5</v>
      </c>
      <c r="T145" s="123">
        <f t="shared" si="12"/>
        <v>0</v>
      </c>
      <c r="U145">
        <f t="shared" si="13"/>
        <v>1</v>
      </c>
      <c r="V145">
        <f t="shared" si="14"/>
        <v>1</v>
      </c>
      <c r="W145">
        <f t="shared" si="15"/>
        <v>1</v>
      </c>
      <c r="X145">
        <f t="shared" si="16"/>
        <v>1</v>
      </c>
    </row>
    <row r="146" spans="1:24">
      <c r="A146" t="s">
        <v>109</v>
      </c>
      <c r="B146">
        <v>4</v>
      </c>
      <c r="C146">
        <v>1</v>
      </c>
      <c r="D146">
        <v>93.28743545611016</v>
      </c>
      <c r="E146">
        <v>93.975903614457835</v>
      </c>
      <c r="F146">
        <v>95.524956970740106</v>
      </c>
      <c r="G146">
        <v>2.743115318416522</v>
      </c>
      <c r="H146">
        <v>6.7125645438898429</v>
      </c>
      <c r="I146">
        <v>0</v>
      </c>
      <c r="J146">
        <v>0</v>
      </c>
      <c r="K146">
        <v>1</v>
      </c>
      <c r="L146">
        <v>1</v>
      </c>
      <c r="M146">
        <v>0</v>
      </c>
      <c r="N146">
        <v>37</v>
      </c>
      <c r="O146">
        <v>32000</v>
      </c>
      <c r="P146">
        <v>5</v>
      </c>
      <c r="Q146">
        <v>4</v>
      </c>
      <c r="R146">
        <v>5</v>
      </c>
      <c r="S146">
        <v>5</v>
      </c>
      <c r="T146" s="123">
        <f t="shared" si="12"/>
        <v>0</v>
      </c>
      <c r="U146">
        <f t="shared" si="13"/>
        <v>1</v>
      </c>
      <c r="V146">
        <f t="shared" si="14"/>
        <v>1</v>
      </c>
      <c r="W146">
        <f t="shared" si="15"/>
        <v>1</v>
      </c>
      <c r="X146">
        <f t="shared" si="16"/>
        <v>1</v>
      </c>
    </row>
    <row r="147" spans="1:24">
      <c r="A147" t="s">
        <v>109</v>
      </c>
      <c r="B147">
        <v>5</v>
      </c>
      <c r="C147">
        <v>1</v>
      </c>
      <c r="D147">
        <v>0.33347676419965833</v>
      </c>
      <c r="E147">
        <v>95.514199655765921</v>
      </c>
      <c r="F147">
        <v>91.135972461273667</v>
      </c>
      <c r="G147">
        <v>2.4956970740103279</v>
      </c>
      <c r="H147">
        <v>8.2723752151462993</v>
      </c>
      <c r="I147">
        <v>0</v>
      </c>
      <c r="J147">
        <v>0</v>
      </c>
      <c r="K147">
        <v>0</v>
      </c>
      <c r="L147">
        <v>1</v>
      </c>
      <c r="M147">
        <v>0</v>
      </c>
      <c r="N147">
        <v>37</v>
      </c>
      <c r="O147">
        <v>32000</v>
      </c>
      <c r="P147">
        <v>5</v>
      </c>
      <c r="Q147">
        <v>4</v>
      </c>
      <c r="R147">
        <v>5</v>
      </c>
      <c r="S147">
        <v>5</v>
      </c>
      <c r="T147" s="123">
        <f t="shared" si="12"/>
        <v>0</v>
      </c>
      <c r="U147">
        <f t="shared" si="13"/>
        <v>1</v>
      </c>
      <c r="V147">
        <f t="shared" si="14"/>
        <v>1</v>
      </c>
      <c r="W147">
        <f t="shared" si="15"/>
        <v>1</v>
      </c>
      <c r="X147">
        <f t="shared" si="16"/>
        <v>1</v>
      </c>
    </row>
    <row r="148" spans="1:24">
      <c r="A148" t="s">
        <v>109</v>
      </c>
      <c r="B148">
        <v>6</v>
      </c>
      <c r="C148">
        <v>1</v>
      </c>
      <c r="D148">
        <v>88.801635111876081</v>
      </c>
      <c r="E148">
        <v>2.4096385542168699</v>
      </c>
      <c r="F148">
        <v>0</v>
      </c>
      <c r="G148">
        <v>95.438898450946638</v>
      </c>
      <c r="H148">
        <v>3.7758175559380378</v>
      </c>
      <c r="I148">
        <v>0</v>
      </c>
      <c r="J148">
        <v>0</v>
      </c>
      <c r="K148">
        <v>1</v>
      </c>
      <c r="L148">
        <v>1</v>
      </c>
      <c r="M148">
        <v>0</v>
      </c>
      <c r="N148">
        <v>37</v>
      </c>
      <c r="O148">
        <v>32000</v>
      </c>
      <c r="P148">
        <v>5</v>
      </c>
      <c r="Q148">
        <v>4</v>
      </c>
      <c r="R148">
        <v>5</v>
      </c>
      <c r="S148">
        <v>5</v>
      </c>
      <c r="T148" s="123">
        <f t="shared" si="12"/>
        <v>0</v>
      </c>
      <c r="U148">
        <f t="shared" si="13"/>
        <v>1</v>
      </c>
      <c r="V148">
        <f t="shared" si="14"/>
        <v>1</v>
      </c>
      <c r="W148">
        <f t="shared" si="15"/>
        <v>1</v>
      </c>
      <c r="X148">
        <f t="shared" si="16"/>
        <v>1</v>
      </c>
    </row>
    <row r="149" spans="1:24" hidden="1">
      <c r="A149" t="s">
        <v>109</v>
      </c>
      <c r="B149">
        <v>7</v>
      </c>
      <c r="C149">
        <v>1</v>
      </c>
      <c r="D149">
        <v>9.8967297762478488</v>
      </c>
      <c r="E149">
        <v>4.4750430292598953</v>
      </c>
      <c r="F149">
        <v>1.9901032702237531</v>
      </c>
      <c r="G149">
        <v>1.6243545611015491</v>
      </c>
      <c r="H149">
        <v>3.345524956970741</v>
      </c>
      <c r="I149">
        <v>0</v>
      </c>
      <c r="J149">
        <v>1</v>
      </c>
      <c r="K149">
        <v>0</v>
      </c>
      <c r="L149">
        <v>1</v>
      </c>
      <c r="M149">
        <v>0</v>
      </c>
      <c r="N149">
        <v>37</v>
      </c>
      <c r="O149">
        <v>32000</v>
      </c>
      <c r="P149">
        <v>5</v>
      </c>
      <c r="Q149">
        <v>4</v>
      </c>
      <c r="R149">
        <v>5</v>
      </c>
      <c r="S149">
        <v>5</v>
      </c>
      <c r="T149" s="123">
        <f t="shared" si="12"/>
        <v>1</v>
      </c>
      <c r="U149">
        <f t="shared" si="13"/>
        <v>1</v>
      </c>
      <c r="V149">
        <f t="shared" si="14"/>
        <v>1</v>
      </c>
      <c r="W149">
        <f t="shared" si="15"/>
        <v>1</v>
      </c>
      <c r="X149">
        <f t="shared" si="16"/>
        <v>1</v>
      </c>
    </row>
    <row r="150" spans="1:24">
      <c r="A150" t="s">
        <v>110</v>
      </c>
      <c r="B150">
        <v>1</v>
      </c>
      <c r="C150">
        <v>1</v>
      </c>
      <c r="D150">
        <v>0</v>
      </c>
      <c r="E150">
        <v>76.610475617098132</v>
      </c>
      <c r="F150">
        <v>91.852297812562711</v>
      </c>
      <c r="G150">
        <v>15.73349387918924</v>
      </c>
      <c r="H150">
        <v>21.42283764800321</v>
      </c>
      <c r="I150">
        <v>1</v>
      </c>
      <c r="J150">
        <v>0</v>
      </c>
      <c r="K150">
        <v>0</v>
      </c>
      <c r="L150">
        <v>1</v>
      </c>
      <c r="M150">
        <v>0</v>
      </c>
      <c r="N150">
        <v>24</v>
      </c>
      <c r="O150">
        <v>65000</v>
      </c>
      <c r="P150">
        <v>4</v>
      </c>
      <c r="Q150">
        <v>4</v>
      </c>
      <c r="R150">
        <v>3</v>
      </c>
      <c r="S150">
        <v>3</v>
      </c>
      <c r="T150" s="123">
        <f t="shared" si="12"/>
        <v>0</v>
      </c>
      <c r="U150">
        <f t="shared" si="13"/>
        <v>1</v>
      </c>
      <c r="V150">
        <f t="shared" si="14"/>
        <v>1</v>
      </c>
      <c r="W150">
        <f t="shared" si="15"/>
        <v>0</v>
      </c>
      <c r="X150">
        <f t="shared" si="16"/>
        <v>0</v>
      </c>
    </row>
    <row r="151" spans="1:24">
      <c r="A151" t="s">
        <v>110</v>
      </c>
      <c r="B151">
        <v>2</v>
      </c>
      <c r="C151">
        <v>1</v>
      </c>
      <c r="D151">
        <v>94.111570247933884</v>
      </c>
      <c r="E151">
        <v>90.981404958677686</v>
      </c>
      <c r="F151">
        <v>86.900826446280988</v>
      </c>
      <c r="G151">
        <v>20.196280991735541</v>
      </c>
      <c r="H151">
        <v>6.5082644628099207</v>
      </c>
      <c r="I151">
        <v>0</v>
      </c>
      <c r="J151">
        <v>0</v>
      </c>
      <c r="K151">
        <v>1</v>
      </c>
      <c r="L151">
        <v>1</v>
      </c>
      <c r="M151">
        <v>0</v>
      </c>
      <c r="N151">
        <v>24</v>
      </c>
      <c r="O151">
        <v>65000</v>
      </c>
      <c r="P151">
        <v>4</v>
      </c>
      <c r="Q151">
        <v>4</v>
      </c>
      <c r="R151">
        <v>3</v>
      </c>
      <c r="S151">
        <v>3</v>
      </c>
      <c r="T151" s="123">
        <f t="shared" si="12"/>
        <v>0</v>
      </c>
      <c r="U151">
        <f t="shared" si="13"/>
        <v>1</v>
      </c>
      <c r="V151">
        <f t="shared" si="14"/>
        <v>1</v>
      </c>
      <c r="W151">
        <f t="shared" si="15"/>
        <v>0</v>
      </c>
      <c r="X151">
        <f t="shared" si="16"/>
        <v>0</v>
      </c>
    </row>
    <row r="152" spans="1:24">
      <c r="A152" t="s">
        <v>110</v>
      </c>
      <c r="B152">
        <v>3</v>
      </c>
      <c r="C152">
        <v>1</v>
      </c>
      <c r="D152">
        <v>92.913223140495873</v>
      </c>
      <c r="E152">
        <v>75.09297520661157</v>
      </c>
      <c r="F152">
        <v>90.030991735537185</v>
      </c>
      <c r="G152">
        <v>7.6239669421487637</v>
      </c>
      <c r="H152">
        <v>14.948347107438019</v>
      </c>
      <c r="I152">
        <v>0</v>
      </c>
      <c r="J152">
        <v>0</v>
      </c>
      <c r="K152">
        <v>1</v>
      </c>
      <c r="L152">
        <v>1</v>
      </c>
      <c r="M152">
        <v>0</v>
      </c>
      <c r="N152">
        <v>24</v>
      </c>
      <c r="O152">
        <v>65000</v>
      </c>
      <c r="P152">
        <v>4</v>
      </c>
      <c r="Q152">
        <v>4</v>
      </c>
      <c r="R152">
        <v>3</v>
      </c>
      <c r="S152">
        <v>3</v>
      </c>
      <c r="T152" s="123">
        <f t="shared" si="12"/>
        <v>0</v>
      </c>
      <c r="U152">
        <f t="shared" si="13"/>
        <v>1</v>
      </c>
      <c r="V152">
        <f t="shared" si="14"/>
        <v>1</v>
      </c>
      <c r="W152">
        <f t="shared" si="15"/>
        <v>0</v>
      </c>
      <c r="X152">
        <f t="shared" si="16"/>
        <v>0</v>
      </c>
    </row>
    <row r="153" spans="1:24">
      <c r="A153" t="s">
        <v>110</v>
      </c>
      <c r="B153">
        <v>4</v>
      </c>
      <c r="C153">
        <v>1</v>
      </c>
      <c r="D153">
        <v>7.572314049586776</v>
      </c>
      <c r="E153">
        <v>14.22520661157025</v>
      </c>
      <c r="F153">
        <v>5.5061983471074383</v>
      </c>
      <c r="G153">
        <v>70</v>
      </c>
      <c r="H153">
        <v>94.493801652892557</v>
      </c>
      <c r="I153">
        <v>0</v>
      </c>
      <c r="J153">
        <v>0</v>
      </c>
      <c r="K153">
        <v>0</v>
      </c>
      <c r="L153">
        <v>1</v>
      </c>
      <c r="M153">
        <v>0</v>
      </c>
      <c r="N153">
        <v>24</v>
      </c>
      <c r="O153">
        <v>65000</v>
      </c>
      <c r="P153">
        <v>4</v>
      </c>
      <c r="Q153">
        <v>4</v>
      </c>
      <c r="R153">
        <v>3</v>
      </c>
      <c r="S153">
        <v>3</v>
      </c>
      <c r="T153" s="123">
        <f t="shared" si="12"/>
        <v>0</v>
      </c>
      <c r="U153">
        <f t="shared" si="13"/>
        <v>1</v>
      </c>
      <c r="V153">
        <f t="shared" si="14"/>
        <v>1</v>
      </c>
      <c r="W153">
        <f t="shared" si="15"/>
        <v>0</v>
      </c>
      <c r="X153">
        <f t="shared" si="16"/>
        <v>0</v>
      </c>
    </row>
    <row r="154" spans="1:24">
      <c r="A154" t="s">
        <v>110</v>
      </c>
      <c r="B154">
        <v>5</v>
      </c>
      <c r="C154">
        <v>1</v>
      </c>
      <c r="D154">
        <v>92.045454545454547</v>
      </c>
      <c r="E154">
        <v>0</v>
      </c>
      <c r="F154">
        <v>82.262396694214885</v>
      </c>
      <c r="G154">
        <v>9.9173553719008272</v>
      </c>
      <c r="H154">
        <v>14.380165289256199</v>
      </c>
      <c r="I154">
        <v>0</v>
      </c>
      <c r="J154">
        <v>0</v>
      </c>
      <c r="K154">
        <v>1</v>
      </c>
      <c r="L154">
        <v>1</v>
      </c>
      <c r="M154">
        <v>0</v>
      </c>
      <c r="N154">
        <v>24</v>
      </c>
      <c r="O154">
        <v>65000</v>
      </c>
      <c r="P154">
        <v>4</v>
      </c>
      <c r="Q154">
        <v>4</v>
      </c>
      <c r="R154">
        <v>3</v>
      </c>
      <c r="S154">
        <v>3</v>
      </c>
      <c r="T154" s="123">
        <f t="shared" si="12"/>
        <v>0</v>
      </c>
      <c r="U154">
        <f t="shared" si="13"/>
        <v>1</v>
      </c>
      <c r="V154">
        <f t="shared" si="14"/>
        <v>1</v>
      </c>
      <c r="W154">
        <f t="shared" si="15"/>
        <v>0</v>
      </c>
      <c r="X154">
        <f t="shared" si="16"/>
        <v>0</v>
      </c>
    </row>
    <row r="155" spans="1:24">
      <c r="A155" t="s">
        <v>110</v>
      </c>
      <c r="B155">
        <v>6</v>
      </c>
      <c r="C155">
        <v>1</v>
      </c>
      <c r="D155">
        <v>17.448347107438021</v>
      </c>
      <c r="E155">
        <v>7.6549586776859524</v>
      </c>
      <c r="F155">
        <v>8.7603305785123986</v>
      </c>
      <c r="G155">
        <v>85.971074380165291</v>
      </c>
      <c r="H155">
        <v>8.7086776859504162</v>
      </c>
      <c r="I155">
        <v>0</v>
      </c>
      <c r="J155">
        <v>0</v>
      </c>
      <c r="K155">
        <v>0</v>
      </c>
      <c r="L155">
        <v>1</v>
      </c>
      <c r="M155">
        <v>0</v>
      </c>
      <c r="N155">
        <v>24</v>
      </c>
      <c r="O155">
        <v>65000</v>
      </c>
      <c r="P155">
        <v>4</v>
      </c>
      <c r="Q155">
        <v>4</v>
      </c>
      <c r="R155">
        <v>3</v>
      </c>
      <c r="S155">
        <v>3</v>
      </c>
      <c r="T155" s="123">
        <f t="shared" si="12"/>
        <v>0</v>
      </c>
      <c r="U155">
        <f t="shared" si="13"/>
        <v>1</v>
      </c>
      <c r="V155">
        <f t="shared" si="14"/>
        <v>1</v>
      </c>
      <c r="W155">
        <f t="shared" si="15"/>
        <v>0</v>
      </c>
      <c r="X155">
        <f t="shared" si="16"/>
        <v>0</v>
      </c>
    </row>
    <row r="156" spans="1:24">
      <c r="A156" t="s">
        <v>110</v>
      </c>
      <c r="B156">
        <v>7</v>
      </c>
      <c r="C156">
        <v>1</v>
      </c>
      <c r="D156">
        <v>50</v>
      </c>
      <c r="E156">
        <v>76.074468085106389</v>
      </c>
      <c r="F156">
        <v>100</v>
      </c>
      <c r="G156">
        <v>21.574468085106378</v>
      </c>
      <c r="H156">
        <v>8.9361702127659584</v>
      </c>
      <c r="I156">
        <v>0</v>
      </c>
      <c r="J156">
        <v>1</v>
      </c>
      <c r="K156">
        <v>1</v>
      </c>
      <c r="L156">
        <v>1</v>
      </c>
      <c r="M156">
        <v>0</v>
      </c>
      <c r="N156">
        <v>24</v>
      </c>
      <c r="O156">
        <v>65000</v>
      </c>
      <c r="P156">
        <v>4</v>
      </c>
      <c r="Q156">
        <v>4</v>
      </c>
      <c r="R156">
        <v>3</v>
      </c>
      <c r="S156">
        <v>3</v>
      </c>
      <c r="T156" s="123">
        <f t="shared" si="12"/>
        <v>0</v>
      </c>
      <c r="U156">
        <f t="shared" si="13"/>
        <v>1</v>
      </c>
      <c r="V156">
        <f t="shared" si="14"/>
        <v>1</v>
      </c>
      <c r="W156">
        <f t="shared" si="15"/>
        <v>0</v>
      </c>
      <c r="X156">
        <f t="shared" si="16"/>
        <v>0</v>
      </c>
    </row>
    <row r="157" spans="1:24">
      <c r="A157" t="s">
        <v>111</v>
      </c>
      <c r="B157">
        <v>1</v>
      </c>
      <c r="C157">
        <v>1</v>
      </c>
      <c r="D157">
        <v>94.350212022948369</v>
      </c>
      <c r="E157">
        <v>93.938638064355203</v>
      </c>
      <c r="F157">
        <v>88.987278623098035</v>
      </c>
      <c r="G157">
        <v>50</v>
      </c>
      <c r="H157">
        <v>13.13295086056373</v>
      </c>
      <c r="I157">
        <v>1</v>
      </c>
      <c r="J157">
        <v>0</v>
      </c>
      <c r="K157">
        <v>1</v>
      </c>
      <c r="L157">
        <v>1</v>
      </c>
      <c r="M157">
        <v>1</v>
      </c>
      <c r="N157">
        <v>40</v>
      </c>
      <c r="O157">
        <v>250000</v>
      </c>
      <c r="P157">
        <v>1</v>
      </c>
      <c r="Q157">
        <v>2</v>
      </c>
      <c r="R157">
        <v>5</v>
      </c>
      <c r="S157">
        <v>5</v>
      </c>
      <c r="T157" s="123">
        <f t="shared" si="12"/>
        <v>0</v>
      </c>
      <c r="U157">
        <f t="shared" si="13"/>
        <v>0</v>
      </c>
      <c r="V157">
        <f t="shared" si="14"/>
        <v>0</v>
      </c>
      <c r="W157">
        <f t="shared" si="15"/>
        <v>1</v>
      </c>
      <c r="X157">
        <f t="shared" si="16"/>
        <v>1</v>
      </c>
    </row>
    <row r="158" spans="1:24" hidden="1">
      <c r="A158" t="s">
        <v>111</v>
      </c>
      <c r="B158">
        <v>2</v>
      </c>
      <c r="C158">
        <v>1</v>
      </c>
      <c r="D158">
        <v>1.396857071588925</v>
      </c>
      <c r="E158">
        <v>95.3604390122225</v>
      </c>
      <c r="F158">
        <v>95.697181341980539</v>
      </c>
      <c r="G158">
        <v>97.580444000997758</v>
      </c>
      <c r="H158">
        <v>97.455724619605888</v>
      </c>
      <c r="I158">
        <v>0</v>
      </c>
      <c r="J158">
        <v>0</v>
      </c>
      <c r="K158">
        <v>0</v>
      </c>
      <c r="L158">
        <v>1</v>
      </c>
      <c r="M158">
        <v>1</v>
      </c>
      <c r="N158">
        <v>40</v>
      </c>
      <c r="O158">
        <v>250000</v>
      </c>
      <c r="P158">
        <v>1</v>
      </c>
      <c r="Q158">
        <v>2</v>
      </c>
      <c r="R158">
        <v>5</v>
      </c>
      <c r="S158">
        <v>5</v>
      </c>
      <c r="T158" s="123">
        <f t="shared" si="12"/>
        <v>1</v>
      </c>
      <c r="U158">
        <f t="shared" si="13"/>
        <v>0</v>
      </c>
      <c r="V158">
        <f t="shared" si="14"/>
        <v>0</v>
      </c>
      <c r="W158">
        <f t="shared" si="15"/>
        <v>1</v>
      </c>
      <c r="X158">
        <f t="shared" si="16"/>
        <v>1</v>
      </c>
    </row>
    <row r="159" spans="1:24" hidden="1">
      <c r="A159" t="s">
        <v>111</v>
      </c>
      <c r="B159">
        <v>3</v>
      </c>
      <c r="C159">
        <v>1</v>
      </c>
      <c r="D159">
        <v>87.877276128710406</v>
      </c>
      <c r="E159">
        <v>97.867298578199041</v>
      </c>
      <c r="F159">
        <v>95.984035919181849</v>
      </c>
      <c r="G159">
        <v>95.260663507109001</v>
      </c>
      <c r="H159">
        <v>12.07283611873285</v>
      </c>
      <c r="I159">
        <v>0</v>
      </c>
      <c r="J159">
        <v>0</v>
      </c>
      <c r="K159">
        <v>1</v>
      </c>
      <c r="L159">
        <v>1</v>
      </c>
      <c r="M159">
        <v>1</v>
      </c>
      <c r="N159">
        <v>40</v>
      </c>
      <c r="O159">
        <v>250000</v>
      </c>
      <c r="P159">
        <v>1</v>
      </c>
      <c r="Q159">
        <v>2</v>
      </c>
      <c r="R159">
        <v>5</v>
      </c>
      <c r="S159">
        <v>5</v>
      </c>
      <c r="T159" s="123">
        <f t="shared" si="12"/>
        <v>1</v>
      </c>
      <c r="U159">
        <f t="shared" si="13"/>
        <v>0</v>
      </c>
      <c r="V159">
        <f t="shared" si="14"/>
        <v>0</v>
      </c>
      <c r="W159">
        <f t="shared" si="15"/>
        <v>1</v>
      </c>
      <c r="X159">
        <f t="shared" si="16"/>
        <v>1</v>
      </c>
    </row>
    <row r="160" spans="1:24">
      <c r="A160" t="s">
        <v>111</v>
      </c>
      <c r="B160">
        <v>4</v>
      </c>
      <c r="C160">
        <v>1</v>
      </c>
      <c r="D160">
        <v>96.333250187079074</v>
      </c>
      <c r="E160">
        <v>98.515839361436775</v>
      </c>
      <c r="F160">
        <v>6.1611374407582904</v>
      </c>
      <c r="G160">
        <v>97.617859815415315</v>
      </c>
      <c r="H160">
        <v>97.168870042404592</v>
      </c>
      <c r="I160">
        <v>0</v>
      </c>
      <c r="J160">
        <v>0</v>
      </c>
      <c r="K160">
        <v>1</v>
      </c>
      <c r="L160">
        <v>1</v>
      </c>
      <c r="M160">
        <v>1</v>
      </c>
      <c r="N160">
        <v>40</v>
      </c>
      <c r="O160">
        <v>250000</v>
      </c>
      <c r="P160">
        <v>1</v>
      </c>
      <c r="Q160">
        <v>2</v>
      </c>
      <c r="R160">
        <v>5</v>
      </c>
      <c r="S160">
        <v>5</v>
      </c>
      <c r="T160" s="123">
        <f t="shared" si="12"/>
        <v>0</v>
      </c>
      <c r="U160">
        <f t="shared" si="13"/>
        <v>0</v>
      </c>
      <c r="V160">
        <f t="shared" si="14"/>
        <v>0</v>
      </c>
      <c r="W160">
        <f t="shared" si="15"/>
        <v>1</v>
      </c>
      <c r="X160">
        <f t="shared" si="16"/>
        <v>1</v>
      </c>
    </row>
    <row r="161" spans="1:24" hidden="1">
      <c r="A161" t="s">
        <v>111</v>
      </c>
      <c r="B161">
        <v>5</v>
      </c>
      <c r="C161">
        <v>1</v>
      </c>
      <c r="D161">
        <v>94.836617610376649</v>
      </c>
      <c r="E161">
        <v>93.901222249937646</v>
      </c>
      <c r="F161">
        <v>99.176852082813667</v>
      </c>
      <c r="G161">
        <v>89.723122973310055</v>
      </c>
      <c r="H161">
        <v>1.334497380892991</v>
      </c>
      <c r="I161">
        <v>0</v>
      </c>
      <c r="J161">
        <v>0</v>
      </c>
      <c r="K161">
        <v>1</v>
      </c>
      <c r="L161">
        <v>1</v>
      </c>
      <c r="M161">
        <v>1</v>
      </c>
      <c r="N161">
        <v>40</v>
      </c>
      <c r="O161">
        <v>250000</v>
      </c>
      <c r="P161">
        <v>1</v>
      </c>
      <c r="Q161">
        <v>2</v>
      </c>
      <c r="R161">
        <v>5</v>
      </c>
      <c r="S161">
        <v>5</v>
      </c>
      <c r="T161" s="123">
        <f t="shared" si="12"/>
        <v>1</v>
      </c>
      <c r="U161">
        <f t="shared" si="13"/>
        <v>0</v>
      </c>
      <c r="V161">
        <f t="shared" si="14"/>
        <v>0</v>
      </c>
      <c r="W161">
        <f t="shared" si="15"/>
        <v>1</v>
      </c>
      <c r="X161">
        <f t="shared" si="16"/>
        <v>1</v>
      </c>
    </row>
    <row r="162" spans="1:24">
      <c r="A162" t="s">
        <v>111</v>
      </c>
      <c r="B162">
        <v>6</v>
      </c>
      <c r="C162">
        <v>1</v>
      </c>
      <c r="D162">
        <v>96.595160888001999</v>
      </c>
      <c r="E162">
        <v>89.049638313793963</v>
      </c>
      <c r="F162">
        <v>4.2903467198802669</v>
      </c>
      <c r="G162">
        <v>90.533798952357202</v>
      </c>
      <c r="H162">
        <v>90.458967323522074</v>
      </c>
      <c r="I162">
        <v>0</v>
      </c>
      <c r="J162">
        <v>0</v>
      </c>
      <c r="K162">
        <v>1</v>
      </c>
      <c r="L162">
        <v>1</v>
      </c>
      <c r="M162">
        <v>1</v>
      </c>
      <c r="N162">
        <v>40</v>
      </c>
      <c r="O162">
        <v>250000</v>
      </c>
      <c r="P162">
        <v>1</v>
      </c>
      <c r="Q162">
        <v>2</v>
      </c>
      <c r="R162">
        <v>5</v>
      </c>
      <c r="S162">
        <v>5</v>
      </c>
      <c r="T162" s="123">
        <f t="shared" si="12"/>
        <v>0</v>
      </c>
      <c r="U162">
        <f t="shared" si="13"/>
        <v>0</v>
      </c>
      <c r="V162">
        <f t="shared" si="14"/>
        <v>0</v>
      </c>
      <c r="W162">
        <f t="shared" si="15"/>
        <v>1</v>
      </c>
      <c r="X162">
        <f t="shared" si="16"/>
        <v>1</v>
      </c>
    </row>
    <row r="163" spans="1:24" hidden="1">
      <c r="A163" t="s">
        <v>111</v>
      </c>
      <c r="B163">
        <v>7</v>
      </c>
      <c r="C163">
        <v>1</v>
      </c>
      <c r="D163">
        <v>100</v>
      </c>
      <c r="E163">
        <v>98.216512846096279</v>
      </c>
      <c r="F163">
        <v>98.216512846096279</v>
      </c>
      <c r="G163">
        <v>88.488401097530556</v>
      </c>
      <c r="H163">
        <v>16.475430281865801</v>
      </c>
      <c r="I163">
        <v>0</v>
      </c>
      <c r="J163">
        <v>1</v>
      </c>
      <c r="K163">
        <v>1</v>
      </c>
      <c r="L163">
        <v>1</v>
      </c>
      <c r="M163">
        <v>1</v>
      </c>
      <c r="N163">
        <v>40</v>
      </c>
      <c r="O163">
        <v>250000</v>
      </c>
      <c r="P163">
        <v>1</v>
      </c>
      <c r="Q163">
        <v>2</v>
      </c>
      <c r="R163">
        <v>5</v>
      </c>
      <c r="S163">
        <v>5</v>
      </c>
      <c r="T163" s="123">
        <f t="shared" si="12"/>
        <v>1</v>
      </c>
      <c r="U163">
        <f t="shared" si="13"/>
        <v>0</v>
      </c>
      <c r="V163">
        <f t="shared" si="14"/>
        <v>0</v>
      </c>
      <c r="W163">
        <f t="shared" si="15"/>
        <v>1</v>
      </c>
      <c r="X163">
        <f t="shared" si="16"/>
        <v>1</v>
      </c>
    </row>
    <row r="164" spans="1:24">
      <c r="A164" t="s">
        <v>112</v>
      </c>
      <c r="B164">
        <v>1</v>
      </c>
      <c r="C164">
        <v>1</v>
      </c>
      <c r="D164">
        <v>5.9576647319904419</v>
      </c>
      <c r="E164">
        <v>6.8225788096050959</v>
      </c>
      <c r="F164">
        <v>4.4497553203596221</v>
      </c>
      <c r="G164">
        <v>95.453510868328209</v>
      </c>
      <c r="H164">
        <v>8.1540912711960836</v>
      </c>
      <c r="I164">
        <v>1</v>
      </c>
      <c r="J164">
        <v>0</v>
      </c>
      <c r="K164">
        <v>0</v>
      </c>
      <c r="L164">
        <v>1</v>
      </c>
      <c r="M164">
        <v>1</v>
      </c>
      <c r="N164">
        <v>25</v>
      </c>
      <c r="O164">
        <v>-99</v>
      </c>
      <c r="P164">
        <v>2</v>
      </c>
      <c r="Q164">
        <v>2</v>
      </c>
      <c r="R164">
        <v>3</v>
      </c>
      <c r="S164">
        <v>2</v>
      </c>
      <c r="T164" s="123">
        <f t="shared" si="12"/>
        <v>0</v>
      </c>
      <c r="U164">
        <f t="shared" si="13"/>
        <v>0</v>
      </c>
      <c r="V164">
        <f t="shared" si="14"/>
        <v>0</v>
      </c>
      <c r="W164">
        <f t="shared" si="15"/>
        <v>0</v>
      </c>
      <c r="X164">
        <f t="shared" si="16"/>
        <v>0</v>
      </c>
    </row>
    <row r="165" spans="1:24">
      <c r="A165" t="s">
        <v>112</v>
      </c>
      <c r="B165">
        <v>2</v>
      </c>
      <c r="C165">
        <v>1</v>
      </c>
      <c r="D165">
        <v>1.8038010697621509</v>
      </c>
      <c r="E165">
        <v>2.9304654603391378</v>
      </c>
      <c r="F165">
        <v>2.1736656424263092</v>
      </c>
      <c r="G165">
        <v>86.184135654944811</v>
      </c>
      <c r="H165">
        <v>2.9304654603391378</v>
      </c>
      <c r="I165">
        <v>0</v>
      </c>
      <c r="J165">
        <v>0</v>
      </c>
      <c r="K165">
        <v>0</v>
      </c>
      <c r="L165">
        <v>1</v>
      </c>
      <c r="M165">
        <v>1</v>
      </c>
      <c r="N165">
        <v>25</v>
      </c>
      <c r="O165">
        <v>-99</v>
      </c>
      <c r="P165">
        <v>2</v>
      </c>
      <c r="Q165">
        <v>2</v>
      </c>
      <c r="R165">
        <v>3</v>
      </c>
      <c r="S165">
        <v>2</v>
      </c>
      <c r="T165" s="123">
        <f t="shared" si="12"/>
        <v>0</v>
      </c>
      <c r="U165">
        <f t="shared" si="13"/>
        <v>0</v>
      </c>
      <c r="V165">
        <f t="shared" si="14"/>
        <v>0</v>
      </c>
      <c r="W165">
        <f t="shared" si="15"/>
        <v>0</v>
      </c>
      <c r="X165">
        <f t="shared" si="16"/>
        <v>0</v>
      </c>
    </row>
    <row r="166" spans="1:24">
      <c r="A166" t="s">
        <v>112</v>
      </c>
      <c r="B166">
        <v>3</v>
      </c>
      <c r="C166">
        <v>1</v>
      </c>
      <c r="D166">
        <v>5.4910663480141118</v>
      </c>
      <c r="E166">
        <v>4.8480710139979513</v>
      </c>
      <c r="F166">
        <v>3.2206668942756371</v>
      </c>
      <c r="G166">
        <v>86.457266416296804</v>
      </c>
      <c r="H166">
        <v>8.7117332422897427</v>
      </c>
      <c r="I166">
        <v>0</v>
      </c>
      <c r="J166">
        <v>0</v>
      </c>
      <c r="K166">
        <v>0</v>
      </c>
      <c r="L166">
        <v>1</v>
      </c>
      <c r="M166">
        <v>1</v>
      </c>
      <c r="N166">
        <v>25</v>
      </c>
      <c r="O166">
        <v>-99</v>
      </c>
      <c r="P166">
        <v>2</v>
      </c>
      <c r="Q166">
        <v>2</v>
      </c>
      <c r="R166">
        <v>3</v>
      </c>
      <c r="S166">
        <v>2</v>
      </c>
      <c r="T166" s="123">
        <f t="shared" si="12"/>
        <v>0</v>
      </c>
      <c r="U166">
        <f t="shared" si="13"/>
        <v>0</v>
      </c>
      <c r="V166">
        <f t="shared" si="14"/>
        <v>0</v>
      </c>
      <c r="W166">
        <f t="shared" si="15"/>
        <v>0</v>
      </c>
      <c r="X166">
        <f t="shared" si="16"/>
        <v>0</v>
      </c>
    </row>
    <row r="167" spans="1:24">
      <c r="A167" t="s">
        <v>112</v>
      </c>
      <c r="B167">
        <v>4</v>
      </c>
      <c r="C167">
        <v>1</v>
      </c>
      <c r="D167">
        <v>2.5900771267411078</v>
      </c>
      <c r="E167">
        <v>7.5572694831357197</v>
      </c>
      <c r="F167">
        <v>0</v>
      </c>
      <c r="G167">
        <v>87.214066234209625</v>
      </c>
      <c r="H167">
        <v>3.9831569363832919</v>
      </c>
      <c r="I167">
        <v>0</v>
      </c>
      <c r="J167">
        <v>0</v>
      </c>
      <c r="K167">
        <v>0</v>
      </c>
      <c r="L167">
        <v>1</v>
      </c>
      <c r="M167">
        <v>1</v>
      </c>
      <c r="N167">
        <v>25</v>
      </c>
      <c r="O167">
        <v>-99</v>
      </c>
      <c r="P167">
        <v>2</v>
      </c>
      <c r="Q167">
        <v>2</v>
      </c>
      <c r="R167">
        <v>3</v>
      </c>
      <c r="S167">
        <v>2</v>
      </c>
      <c r="T167" s="123">
        <f t="shared" si="12"/>
        <v>0</v>
      </c>
      <c r="U167">
        <f t="shared" si="13"/>
        <v>0</v>
      </c>
      <c r="V167">
        <f t="shared" si="14"/>
        <v>0</v>
      </c>
      <c r="W167">
        <f t="shared" si="15"/>
        <v>0</v>
      </c>
      <c r="X167">
        <f t="shared" si="16"/>
        <v>0</v>
      </c>
    </row>
    <row r="168" spans="1:24">
      <c r="A168" t="s">
        <v>112</v>
      </c>
      <c r="B168">
        <v>5</v>
      </c>
      <c r="C168">
        <v>1</v>
      </c>
      <c r="D168">
        <v>90.457446808510639</v>
      </c>
      <c r="E168">
        <v>50</v>
      </c>
      <c r="F168">
        <v>19.840425531914899</v>
      </c>
      <c r="G168">
        <v>17.531914893617021</v>
      </c>
      <c r="H168">
        <v>50</v>
      </c>
      <c r="I168">
        <v>0</v>
      </c>
      <c r="J168">
        <v>0</v>
      </c>
      <c r="K168">
        <v>1</v>
      </c>
      <c r="L168">
        <v>1</v>
      </c>
      <c r="M168">
        <v>1</v>
      </c>
      <c r="N168">
        <v>25</v>
      </c>
      <c r="O168">
        <v>-99</v>
      </c>
      <c r="P168">
        <v>2</v>
      </c>
      <c r="Q168">
        <v>2</v>
      </c>
      <c r="R168">
        <v>3</v>
      </c>
      <c r="S168">
        <v>2</v>
      </c>
      <c r="T168" s="123">
        <f t="shared" si="12"/>
        <v>0</v>
      </c>
      <c r="U168">
        <f t="shared" si="13"/>
        <v>0</v>
      </c>
      <c r="V168">
        <f t="shared" si="14"/>
        <v>0</v>
      </c>
      <c r="W168">
        <f t="shared" si="15"/>
        <v>0</v>
      </c>
      <c r="X168">
        <f t="shared" si="16"/>
        <v>0</v>
      </c>
    </row>
    <row r="169" spans="1:24" hidden="1">
      <c r="A169" t="s">
        <v>112</v>
      </c>
      <c r="B169">
        <v>6</v>
      </c>
      <c r="C169">
        <v>1</v>
      </c>
      <c r="D169">
        <v>26.585106382978719</v>
      </c>
      <c r="E169">
        <v>6.5425531914893647</v>
      </c>
      <c r="F169">
        <v>13.095744680851061</v>
      </c>
      <c r="G169">
        <v>6.1808510638297847</v>
      </c>
      <c r="H169">
        <v>6.5425531914893647</v>
      </c>
      <c r="I169">
        <v>0</v>
      </c>
      <c r="J169">
        <v>0</v>
      </c>
      <c r="K169">
        <v>0</v>
      </c>
      <c r="L169">
        <v>1</v>
      </c>
      <c r="M169">
        <v>1</v>
      </c>
      <c r="N169">
        <v>25</v>
      </c>
      <c r="O169">
        <v>-99</v>
      </c>
      <c r="P169">
        <v>2</v>
      </c>
      <c r="Q169">
        <v>2</v>
      </c>
      <c r="R169">
        <v>3</v>
      </c>
      <c r="S169">
        <v>2</v>
      </c>
      <c r="T169" s="123">
        <f t="shared" si="12"/>
        <v>1</v>
      </c>
      <c r="U169">
        <f t="shared" si="13"/>
        <v>0</v>
      </c>
      <c r="V169">
        <f t="shared" si="14"/>
        <v>0</v>
      </c>
      <c r="W169">
        <f t="shared" si="15"/>
        <v>0</v>
      </c>
      <c r="X169">
        <f t="shared" si="16"/>
        <v>0</v>
      </c>
    </row>
    <row r="170" spans="1:24">
      <c r="A170" t="s">
        <v>112</v>
      </c>
      <c r="B170">
        <v>7</v>
      </c>
      <c r="C170">
        <v>1</v>
      </c>
      <c r="D170">
        <v>10.787234042553189</v>
      </c>
      <c r="E170">
        <v>9.2127659574468108</v>
      </c>
      <c r="F170">
        <v>13.457446808510641</v>
      </c>
      <c r="G170">
        <v>81.946808510638292</v>
      </c>
      <c r="H170">
        <v>6.9042553191489331</v>
      </c>
      <c r="I170">
        <v>0</v>
      </c>
      <c r="J170">
        <v>1</v>
      </c>
      <c r="K170">
        <v>0</v>
      </c>
      <c r="L170">
        <v>1</v>
      </c>
      <c r="M170">
        <v>1</v>
      </c>
      <c r="N170">
        <v>25</v>
      </c>
      <c r="O170">
        <v>-99</v>
      </c>
      <c r="P170">
        <v>2</v>
      </c>
      <c r="Q170">
        <v>2</v>
      </c>
      <c r="R170">
        <v>3</v>
      </c>
      <c r="S170">
        <v>2</v>
      </c>
      <c r="T170" s="123">
        <f t="shared" si="12"/>
        <v>0</v>
      </c>
      <c r="U170">
        <f t="shared" si="13"/>
        <v>0</v>
      </c>
      <c r="V170">
        <f t="shared" si="14"/>
        <v>0</v>
      </c>
      <c r="W170">
        <f t="shared" si="15"/>
        <v>0</v>
      </c>
      <c r="X170">
        <f t="shared" si="16"/>
        <v>0</v>
      </c>
    </row>
    <row r="171" spans="1:24">
      <c r="A171" t="s">
        <v>113</v>
      </c>
      <c r="B171">
        <v>1</v>
      </c>
      <c r="C171">
        <v>1</v>
      </c>
      <c r="D171">
        <v>98.283893111056628</v>
      </c>
      <c r="E171">
        <v>97.891640107869577</v>
      </c>
      <c r="F171">
        <v>99.509683746016179</v>
      </c>
      <c r="G171">
        <v>11.90242706545722</v>
      </c>
      <c r="H171">
        <v>11.534689874969359</v>
      </c>
      <c r="I171">
        <v>1</v>
      </c>
      <c r="J171">
        <v>0</v>
      </c>
      <c r="K171">
        <v>1</v>
      </c>
      <c r="L171">
        <v>1</v>
      </c>
      <c r="M171">
        <v>0</v>
      </c>
      <c r="N171">
        <v>43</v>
      </c>
      <c r="O171">
        <v>-99</v>
      </c>
      <c r="P171">
        <v>1</v>
      </c>
      <c r="Q171">
        <v>1</v>
      </c>
      <c r="R171">
        <v>3</v>
      </c>
      <c r="S171">
        <v>4</v>
      </c>
      <c r="T171" s="123">
        <f t="shared" si="12"/>
        <v>0</v>
      </c>
      <c r="U171">
        <f t="shared" si="13"/>
        <v>0</v>
      </c>
      <c r="V171">
        <f t="shared" si="14"/>
        <v>0</v>
      </c>
      <c r="W171">
        <f t="shared" si="15"/>
        <v>0</v>
      </c>
      <c r="X171">
        <f t="shared" si="16"/>
        <v>1</v>
      </c>
    </row>
    <row r="172" spans="1:24" hidden="1">
      <c r="A172" t="s">
        <v>113</v>
      </c>
      <c r="B172">
        <v>2</v>
      </c>
      <c r="C172">
        <v>1</v>
      </c>
      <c r="D172">
        <v>95.783280215739154</v>
      </c>
      <c r="E172">
        <v>100</v>
      </c>
      <c r="F172">
        <v>97.65873988722727</v>
      </c>
      <c r="G172">
        <v>90.916891394949744</v>
      </c>
      <c r="H172">
        <v>3.9102721255209638</v>
      </c>
      <c r="I172">
        <v>0</v>
      </c>
      <c r="J172">
        <v>0</v>
      </c>
      <c r="K172">
        <v>1</v>
      </c>
      <c r="L172">
        <v>1</v>
      </c>
      <c r="M172">
        <v>0</v>
      </c>
      <c r="N172">
        <v>43</v>
      </c>
      <c r="O172">
        <v>-99</v>
      </c>
      <c r="P172">
        <v>1</v>
      </c>
      <c r="Q172">
        <v>1</v>
      </c>
      <c r="R172">
        <v>3</v>
      </c>
      <c r="S172">
        <v>4</v>
      </c>
      <c r="T172" s="123">
        <f t="shared" si="12"/>
        <v>1</v>
      </c>
      <c r="U172">
        <f t="shared" si="13"/>
        <v>0</v>
      </c>
      <c r="V172">
        <f t="shared" si="14"/>
        <v>0</v>
      </c>
      <c r="W172">
        <f t="shared" si="15"/>
        <v>0</v>
      </c>
      <c r="X172">
        <f t="shared" si="16"/>
        <v>1</v>
      </c>
    </row>
    <row r="173" spans="1:24">
      <c r="A173" t="s">
        <v>113</v>
      </c>
      <c r="B173">
        <v>3</v>
      </c>
      <c r="C173">
        <v>1</v>
      </c>
      <c r="D173">
        <v>88.097572934542782</v>
      </c>
      <c r="E173">
        <v>89.445942632998282</v>
      </c>
      <c r="F173">
        <v>96.727139004658</v>
      </c>
      <c r="G173">
        <v>10.55405736700172</v>
      </c>
      <c r="H173">
        <v>7.2444226526109334</v>
      </c>
      <c r="I173">
        <v>0</v>
      </c>
      <c r="J173">
        <v>0</v>
      </c>
      <c r="K173">
        <v>1</v>
      </c>
      <c r="L173">
        <v>1</v>
      </c>
      <c r="M173">
        <v>0</v>
      </c>
      <c r="N173">
        <v>43</v>
      </c>
      <c r="O173">
        <v>-99</v>
      </c>
      <c r="P173">
        <v>1</v>
      </c>
      <c r="Q173">
        <v>1</v>
      </c>
      <c r="R173">
        <v>3</v>
      </c>
      <c r="S173">
        <v>4</v>
      </c>
      <c r="T173" s="123">
        <f t="shared" si="12"/>
        <v>0</v>
      </c>
      <c r="U173">
        <f t="shared" si="13"/>
        <v>0</v>
      </c>
      <c r="V173">
        <f t="shared" si="14"/>
        <v>0</v>
      </c>
      <c r="W173">
        <f t="shared" si="15"/>
        <v>0</v>
      </c>
      <c r="X173">
        <f t="shared" si="16"/>
        <v>1</v>
      </c>
    </row>
    <row r="174" spans="1:24">
      <c r="A174" t="s">
        <v>113</v>
      </c>
      <c r="B174">
        <v>4</v>
      </c>
      <c r="C174">
        <v>1</v>
      </c>
      <c r="D174">
        <v>84.898259377298359</v>
      </c>
      <c r="E174">
        <v>89.213042412355975</v>
      </c>
      <c r="F174">
        <v>98.075508703113499</v>
      </c>
      <c r="G174">
        <v>9.2424613875949966</v>
      </c>
      <c r="H174">
        <v>7.5999019367492036</v>
      </c>
      <c r="I174">
        <v>0</v>
      </c>
      <c r="J174">
        <v>0</v>
      </c>
      <c r="K174">
        <v>1</v>
      </c>
      <c r="L174">
        <v>1</v>
      </c>
      <c r="M174">
        <v>0</v>
      </c>
      <c r="N174">
        <v>43</v>
      </c>
      <c r="O174">
        <v>-99</v>
      </c>
      <c r="P174">
        <v>1</v>
      </c>
      <c r="Q174">
        <v>1</v>
      </c>
      <c r="R174">
        <v>3</v>
      </c>
      <c r="S174">
        <v>4</v>
      </c>
      <c r="T174" s="123">
        <f t="shared" si="12"/>
        <v>0</v>
      </c>
      <c r="U174">
        <f t="shared" si="13"/>
        <v>0</v>
      </c>
      <c r="V174">
        <f t="shared" si="14"/>
        <v>0</v>
      </c>
      <c r="W174">
        <f t="shared" si="15"/>
        <v>0</v>
      </c>
      <c r="X174">
        <f t="shared" si="16"/>
        <v>1</v>
      </c>
    </row>
    <row r="175" spans="1:24">
      <c r="A175" t="s">
        <v>113</v>
      </c>
      <c r="B175">
        <v>5</v>
      </c>
      <c r="C175">
        <v>1</v>
      </c>
      <c r="D175">
        <v>4.0451090953665112</v>
      </c>
      <c r="E175">
        <v>16.20495219416523</v>
      </c>
      <c r="F175">
        <v>77.727384162785</v>
      </c>
      <c r="G175">
        <v>92.020102966413347</v>
      </c>
      <c r="H175">
        <v>9.4140720764893331</v>
      </c>
      <c r="I175">
        <v>0</v>
      </c>
      <c r="J175">
        <v>0</v>
      </c>
      <c r="K175">
        <v>0</v>
      </c>
      <c r="L175">
        <v>1</v>
      </c>
      <c r="M175">
        <v>0</v>
      </c>
      <c r="N175">
        <v>43</v>
      </c>
      <c r="O175">
        <v>-99</v>
      </c>
      <c r="P175">
        <v>1</v>
      </c>
      <c r="Q175">
        <v>1</v>
      </c>
      <c r="R175">
        <v>3</v>
      </c>
      <c r="S175">
        <v>4</v>
      </c>
      <c r="T175" s="123">
        <f t="shared" si="12"/>
        <v>0</v>
      </c>
      <c r="U175">
        <f t="shared" si="13"/>
        <v>0</v>
      </c>
      <c r="V175">
        <f t="shared" si="14"/>
        <v>0</v>
      </c>
      <c r="W175">
        <f t="shared" si="15"/>
        <v>0</v>
      </c>
      <c r="X175">
        <f t="shared" si="16"/>
        <v>1</v>
      </c>
    </row>
    <row r="176" spans="1:24">
      <c r="A176" t="s">
        <v>113</v>
      </c>
      <c r="B176">
        <v>6</v>
      </c>
      <c r="C176">
        <v>1</v>
      </c>
      <c r="D176">
        <v>1.483206668301051</v>
      </c>
      <c r="E176">
        <v>14.390782054425109</v>
      </c>
      <c r="F176">
        <v>6.0921794557489584</v>
      </c>
      <c r="G176">
        <v>93.68717822995832</v>
      </c>
      <c r="H176">
        <v>92.510419220397154</v>
      </c>
      <c r="I176">
        <v>0</v>
      </c>
      <c r="J176">
        <v>0</v>
      </c>
      <c r="K176">
        <v>0</v>
      </c>
      <c r="L176">
        <v>1</v>
      </c>
      <c r="M176">
        <v>0</v>
      </c>
      <c r="N176">
        <v>43</v>
      </c>
      <c r="O176">
        <v>-99</v>
      </c>
      <c r="P176">
        <v>1</v>
      </c>
      <c r="Q176">
        <v>1</v>
      </c>
      <c r="R176">
        <v>3</v>
      </c>
      <c r="S176">
        <v>4</v>
      </c>
      <c r="T176" s="123">
        <f t="shared" si="12"/>
        <v>0</v>
      </c>
      <c r="U176">
        <f t="shared" si="13"/>
        <v>0</v>
      </c>
      <c r="V176">
        <f t="shared" si="14"/>
        <v>0</v>
      </c>
      <c r="W176">
        <f t="shared" si="15"/>
        <v>0</v>
      </c>
      <c r="X176">
        <f t="shared" si="16"/>
        <v>1</v>
      </c>
    </row>
    <row r="177" spans="1:24">
      <c r="A177" t="s">
        <v>113</v>
      </c>
      <c r="B177">
        <v>7</v>
      </c>
      <c r="C177">
        <v>1</v>
      </c>
      <c r="D177">
        <v>12.784996322628089</v>
      </c>
      <c r="E177">
        <v>5.2831576366756563</v>
      </c>
      <c r="F177">
        <v>6.6192694287815659</v>
      </c>
      <c r="G177">
        <v>50</v>
      </c>
      <c r="H177">
        <v>85.891149791615589</v>
      </c>
      <c r="I177">
        <v>0</v>
      </c>
      <c r="J177">
        <v>1</v>
      </c>
      <c r="K177">
        <v>0</v>
      </c>
      <c r="L177">
        <v>1</v>
      </c>
      <c r="M177">
        <v>0</v>
      </c>
      <c r="N177">
        <v>43</v>
      </c>
      <c r="O177">
        <v>-99</v>
      </c>
      <c r="P177">
        <v>1</v>
      </c>
      <c r="Q177">
        <v>1</v>
      </c>
      <c r="R177">
        <v>3</v>
      </c>
      <c r="S177">
        <v>4</v>
      </c>
      <c r="T177" s="123">
        <f t="shared" si="12"/>
        <v>0</v>
      </c>
      <c r="U177">
        <f t="shared" si="13"/>
        <v>0</v>
      </c>
      <c r="V177">
        <f t="shared" si="14"/>
        <v>0</v>
      </c>
      <c r="W177">
        <f t="shared" si="15"/>
        <v>0</v>
      </c>
      <c r="X177">
        <f t="shared" si="16"/>
        <v>1</v>
      </c>
    </row>
    <row r="178" spans="1:24">
      <c r="A178" t="s">
        <v>114</v>
      </c>
      <c r="B178">
        <v>1</v>
      </c>
      <c r="C178">
        <v>1</v>
      </c>
      <c r="D178">
        <v>87.826662256037054</v>
      </c>
      <c r="E178">
        <v>93.207630389238062</v>
      </c>
      <c r="F178">
        <v>98.01521667217996</v>
      </c>
      <c r="G178">
        <v>5.248649244679676</v>
      </c>
      <c r="H178">
        <v>98.235748153048846</v>
      </c>
      <c r="I178">
        <v>1</v>
      </c>
      <c r="J178">
        <v>0</v>
      </c>
      <c r="K178">
        <v>1</v>
      </c>
      <c r="L178">
        <v>1</v>
      </c>
      <c r="M178">
        <v>1</v>
      </c>
      <c r="N178">
        <v>25</v>
      </c>
      <c r="O178">
        <v>-99</v>
      </c>
      <c r="P178">
        <v>1</v>
      </c>
      <c r="Q178">
        <v>1</v>
      </c>
      <c r="R178">
        <v>3</v>
      </c>
      <c r="S178">
        <v>1</v>
      </c>
      <c r="T178" s="123">
        <f t="shared" si="12"/>
        <v>0</v>
      </c>
      <c r="U178">
        <f t="shared" si="13"/>
        <v>0</v>
      </c>
      <c r="V178">
        <f t="shared" si="14"/>
        <v>0</v>
      </c>
      <c r="W178">
        <f t="shared" si="15"/>
        <v>0</v>
      </c>
      <c r="X178">
        <f t="shared" si="16"/>
        <v>0</v>
      </c>
    </row>
    <row r="179" spans="1:24">
      <c r="A179" t="s">
        <v>114</v>
      </c>
      <c r="B179">
        <v>2</v>
      </c>
      <c r="C179">
        <v>1</v>
      </c>
      <c r="D179">
        <v>0</v>
      </c>
      <c r="E179">
        <v>1.7642518469511539</v>
      </c>
      <c r="F179">
        <v>1.6760392546035949</v>
      </c>
      <c r="G179">
        <v>86.459367074649904</v>
      </c>
      <c r="H179">
        <v>0.48516925791156629</v>
      </c>
      <c r="I179">
        <v>0</v>
      </c>
      <c r="J179">
        <v>0</v>
      </c>
      <c r="K179">
        <v>0</v>
      </c>
      <c r="L179">
        <v>1</v>
      </c>
      <c r="M179">
        <v>1</v>
      </c>
      <c r="N179">
        <v>25</v>
      </c>
      <c r="O179">
        <v>-99</v>
      </c>
      <c r="P179">
        <v>1</v>
      </c>
      <c r="Q179">
        <v>1</v>
      </c>
      <c r="R179">
        <v>3</v>
      </c>
      <c r="S179">
        <v>1</v>
      </c>
      <c r="T179" s="123">
        <f t="shared" si="12"/>
        <v>0</v>
      </c>
      <c r="U179">
        <f t="shared" si="13"/>
        <v>0</v>
      </c>
      <c r="V179">
        <f t="shared" si="14"/>
        <v>0</v>
      </c>
      <c r="W179">
        <f t="shared" si="15"/>
        <v>0</v>
      </c>
      <c r="X179">
        <f t="shared" si="16"/>
        <v>0</v>
      </c>
    </row>
    <row r="180" spans="1:24">
      <c r="A180" t="s">
        <v>114</v>
      </c>
      <c r="B180">
        <v>3</v>
      </c>
      <c r="C180">
        <v>1</v>
      </c>
      <c r="D180">
        <v>8.7330466424082047</v>
      </c>
      <c r="E180">
        <v>5.248649244679676</v>
      </c>
      <c r="F180">
        <v>4.9399051714632272</v>
      </c>
      <c r="G180">
        <v>94.619031866798991</v>
      </c>
      <c r="H180">
        <v>2.6463777704267279</v>
      </c>
      <c r="I180">
        <v>0</v>
      </c>
      <c r="J180">
        <v>0</v>
      </c>
      <c r="K180">
        <v>0</v>
      </c>
      <c r="L180">
        <v>1</v>
      </c>
      <c r="M180">
        <v>1</v>
      </c>
      <c r="N180">
        <v>25</v>
      </c>
      <c r="O180">
        <v>-99</v>
      </c>
      <c r="P180">
        <v>1</v>
      </c>
      <c r="Q180">
        <v>1</v>
      </c>
      <c r="R180">
        <v>3</v>
      </c>
      <c r="S180">
        <v>1</v>
      </c>
      <c r="T180" s="123">
        <f t="shared" si="12"/>
        <v>0</v>
      </c>
      <c r="U180">
        <f t="shared" si="13"/>
        <v>0</v>
      </c>
      <c r="V180">
        <f t="shared" si="14"/>
        <v>0</v>
      </c>
      <c r="W180">
        <f t="shared" si="15"/>
        <v>0</v>
      </c>
      <c r="X180">
        <f t="shared" si="16"/>
        <v>0</v>
      </c>
    </row>
    <row r="181" spans="1:24">
      <c r="A181" t="s">
        <v>114</v>
      </c>
      <c r="B181">
        <v>4</v>
      </c>
      <c r="C181">
        <v>1</v>
      </c>
      <c r="D181">
        <v>4.3224170250303224</v>
      </c>
      <c r="E181">
        <v>7.2775388686735054</v>
      </c>
      <c r="F181">
        <v>12.26155033631051</v>
      </c>
      <c r="G181">
        <v>95.677582974969681</v>
      </c>
      <c r="H181">
        <v>4.0136729518138736</v>
      </c>
      <c r="I181">
        <v>0</v>
      </c>
      <c r="J181">
        <v>0</v>
      </c>
      <c r="K181">
        <v>0</v>
      </c>
      <c r="L181">
        <v>1</v>
      </c>
      <c r="M181">
        <v>1</v>
      </c>
      <c r="N181">
        <v>25</v>
      </c>
      <c r="O181">
        <v>-99</v>
      </c>
      <c r="P181">
        <v>1</v>
      </c>
      <c r="Q181">
        <v>1</v>
      </c>
      <c r="R181">
        <v>3</v>
      </c>
      <c r="S181">
        <v>1</v>
      </c>
      <c r="T181" s="123">
        <f t="shared" si="12"/>
        <v>0</v>
      </c>
      <c r="U181">
        <f t="shared" si="13"/>
        <v>0</v>
      </c>
      <c r="V181">
        <f t="shared" si="14"/>
        <v>0</v>
      </c>
      <c r="W181">
        <f t="shared" si="15"/>
        <v>0</v>
      </c>
      <c r="X181">
        <f t="shared" si="16"/>
        <v>0</v>
      </c>
    </row>
    <row r="182" spans="1:24">
      <c r="A182" t="s">
        <v>114</v>
      </c>
      <c r="B182">
        <v>5</v>
      </c>
      <c r="C182">
        <v>1</v>
      </c>
      <c r="D182">
        <v>3.704928878597419</v>
      </c>
      <c r="E182">
        <v>9.3505347888411077</v>
      </c>
      <c r="F182">
        <v>2.51405888190539</v>
      </c>
      <c r="G182">
        <v>91.222847061418008</v>
      </c>
      <c r="H182">
        <v>9.0417907156246535</v>
      </c>
      <c r="I182">
        <v>0</v>
      </c>
      <c r="J182">
        <v>0</v>
      </c>
      <c r="K182">
        <v>0</v>
      </c>
      <c r="L182">
        <v>1</v>
      </c>
      <c r="M182">
        <v>1</v>
      </c>
      <c r="N182">
        <v>25</v>
      </c>
      <c r="O182">
        <v>-99</v>
      </c>
      <c r="P182">
        <v>1</v>
      </c>
      <c r="Q182">
        <v>1</v>
      </c>
      <c r="R182">
        <v>3</v>
      </c>
      <c r="S182">
        <v>1</v>
      </c>
      <c r="T182" s="123">
        <f t="shared" si="12"/>
        <v>0</v>
      </c>
      <c r="U182">
        <f t="shared" si="13"/>
        <v>0</v>
      </c>
      <c r="V182">
        <f t="shared" si="14"/>
        <v>0</v>
      </c>
      <c r="W182">
        <f t="shared" si="15"/>
        <v>0</v>
      </c>
      <c r="X182">
        <f t="shared" si="16"/>
        <v>0</v>
      </c>
    </row>
    <row r="183" spans="1:24">
      <c r="A183" t="s">
        <v>114</v>
      </c>
      <c r="B183">
        <v>6</v>
      </c>
      <c r="C183">
        <v>1</v>
      </c>
      <c r="D183">
        <v>5.60149961406991</v>
      </c>
      <c r="E183">
        <v>3.7490351747711981</v>
      </c>
      <c r="F183">
        <v>11.15889293196604</v>
      </c>
      <c r="G183">
        <v>96.383283713750131</v>
      </c>
      <c r="H183">
        <v>12.21744404013673</v>
      </c>
      <c r="I183">
        <v>0</v>
      </c>
      <c r="J183">
        <v>0</v>
      </c>
      <c r="K183">
        <v>0</v>
      </c>
      <c r="L183">
        <v>1</v>
      </c>
      <c r="M183">
        <v>1</v>
      </c>
      <c r="N183">
        <v>25</v>
      </c>
      <c r="O183">
        <v>-99</v>
      </c>
      <c r="P183">
        <v>1</v>
      </c>
      <c r="Q183">
        <v>1</v>
      </c>
      <c r="R183">
        <v>3</v>
      </c>
      <c r="S183">
        <v>1</v>
      </c>
      <c r="T183" s="123">
        <f t="shared" si="12"/>
        <v>0</v>
      </c>
      <c r="U183">
        <f t="shared" si="13"/>
        <v>0</v>
      </c>
      <c r="V183">
        <f t="shared" si="14"/>
        <v>0</v>
      </c>
      <c r="W183">
        <f t="shared" si="15"/>
        <v>0</v>
      </c>
      <c r="X183">
        <f t="shared" si="16"/>
        <v>0</v>
      </c>
    </row>
    <row r="184" spans="1:24">
      <c r="A184" t="s">
        <v>114</v>
      </c>
      <c r="B184">
        <v>7</v>
      </c>
      <c r="C184">
        <v>1</v>
      </c>
      <c r="D184">
        <v>7.4336283185840726</v>
      </c>
      <c r="E184">
        <v>15.840707964601769</v>
      </c>
      <c r="F184">
        <v>17.69911504424779</v>
      </c>
      <c r="G184">
        <v>50</v>
      </c>
      <c r="H184">
        <v>16.10619469026549</v>
      </c>
      <c r="I184">
        <v>0</v>
      </c>
      <c r="J184">
        <v>1</v>
      </c>
      <c r="K184">
        <v>0</v>
      </c>
      <c r="L184">
        <v>1</v>
      </c>
      <c r="M184">
        <v>1</v>
      </c>
      <c r="N184">
        <v>25</v>
      </c>
      <c r="O184">
        <v>-99</v>
      </c>
      <c r="P184">
        <v>1</v>
      </c>
      <c r="Q184">
        <v>1</v>
      </c>
      <c r="R184">
        <v>3</v>
      </c>
      <c r="S184">
        <v>1</v>
      </c>
      <c r="T184" s="123">
        <f t="shared" si="12"/>
        <v>0</v>
      </c>
      <c r="U184">
        <f t="shared" si="13"/>
        <v>0</v>
      </c>
      <c r="V184">
        <f t="shared" si="14"/>
        <v>0</v>
      </c>
      <c r="W184">
        <f t="shared" si="15"/>
        <v>0</v>
      </c>
      <c r="X184">
        <f t="shared" si="16"/>
        <v>0</v>
      </c>
    </row>
    <row r="185" spans="1:24">
      <c r="A185" t="s">
        <v>115</v>
      </c>
      <c r="B185">
        <v>1</v>
      </c>
      <c r="C185">
        <v>1</v>
      </c>
      <c r="D185">
        <v>98.758363355635609</v>
      </c>
      <c r="E185">
        <v>97.709727225939275</v>
      </c>
      <c r="F185">
        <v>98.185795162120428</v>
      </c>
      <c r="G185">
        <v>2.1937725167267108</v>
      </c>
      <c r="H185">
        <v>5.7900154400414287E-2</v>
      </c>
      <c r="I185">
        <v>1</v>
      </c>
      <c r="J185">
        <v>0</v>
      </c>
      <c r="K185">
        <v>1</v>
      </c>
      <c r="L185">
        <v>1</v>
      </c>
      <c r="M185">
        <v>1</v>
      </c>
      <c r="N185">
        <v>30</v>
      </c>
      <c r="O185">
        <v>75000</v>
      </c>
      <c r="P185">
        <v>5</v>
      </c>
      <c r="Q185">
        <v>4</v>
      </c>
      <c r="R185">
        <v>4</v>
      </c>
      <c r="S185">
        <v>5</v>
      </c>
      <c r="T185" s="123">
        <f t="shared" si="12"/>
        <v>0</v>
      </c>
      <c r="U185">
        <f t="shared" si="13"/>
        <v>1</v>
      </c>
      <c r="V185">
        <f t="shared" si="14"/>
        <v>1</v>
      </c>
      <c r="W185">
        <f t="shared" si="15"/>
        <v>1</v>
      </c>
      <c r="X185">
        <f t="shared" si="16"/>
        <v>1</v>
      </c>
    </row>
    <row r="186" spans="1:24">
      <c r="A186" t="s">
        <v>115</v>
      </c>
      <c r="B186">
        <v>2</v>
      </c>
      <c r="C186">
        <v>1</v>
      </c>
      <c r="D186">
        <v>99.279464745239324</v>
      </c>
      <c r="E186">
        <v>98.179361811631495</v>
      </c>
      <c r="F186">
        <v>98.951363870303652</v>
      </c>
      <c r="G186">
        <v>2.0586721564590849</v>
      </c>
      <c r="H186">
        <v>1.9171384457025209</v>
      </c>
      <c r="I186">
        <v>0</v>
      </c>
      <c r="J186">
        <v>0</v>
      </c>
      <c r="K186">
        <v>1</v>
      </c>
      <c r="L186">
        <v>1</v>
      </c>
      <c r="M186">
        <v>1</v>
      </c>
      <c r="N186">
        <v>30</v>
      </c>
      <c r="O186">
        <v>75000</v>
      </c>
      <c r="P186">
        <v>5</v>
      </c>
      <c r="Q186">
        <v>4</v>
      </c>
      <c r="R186">
        <v>4</v>
      </c>
      <c r="S186">
        <v>5</v>
      </c>
      <c r="T186" s="123">
        <f t="shared" si="12"/>
        <v>0</v>
      </c>
      <c r="U186">
        <f t="shared" si="13"/>
        <v>1</v>
      </c>
      <c r="V186">
        <f t="shared" si="14"/>
        <v>1</v>
      </c>
      <c r="W186">
        <f t="shared" si="15"/>
        <v>1</v>
      </c>
      <c r="X186">
        <f t="shared" si="16"/>
        <v>1</v>
      </c>
    </row>
    <row r="187" spans="1:24">
      <c r="A187" t="s">
        <v>115</v>
      </c>
      <c r="B187">
        <v>3</v>
      </c>
      <c r="C187">
        <v>1</v>
      </c>
      <c r="D187">
        <v>98.031394750385999</v>
      </c>
      <c r="E187">
        <v>99.761966031909409</v>
      </c>
      <c r="F187">
        <v>98.73262995367989</v>
      </c>
      <c r="G187">
        <v>0.42460113226968632</v>
      </c>
      <c r="H187">
        <v>1.1001029336078221</v>
      </c>
      <c r="I187">
        <v>0</v>
      </c>
      <c r="J187">
        <v>0</v>
      </c>
      <c r="K187">
        <v>1</v>
      </c>
      <c r="L187">
        <v>1</v>
      </c>
      <c r="M187">
        <v>1</v>
      </c>
      <c r="N187">
        <v>30</v>
      </c>
      <c r="O187">
        <v>75000</v>
      </c>
      <c r="P187">
        <v>5</v>
      </c>
      <c r="Q187">
        <v>4</v>
      </c>
      <c r="R187">
        <v>4</v>
      </c>
      <c r="S187">
        <v>5</v>
      </c>
      <c r="T187" s="123">
        <f t="shared" si="12"/>
        <v>0</v>
      </c>
      <c r="U187">
        <f t="shared" si="13"/>
        <v>1</v>
      </c>
      <c r="V187">
        <f t="shared" si="14"/>
        <v>1</v>
      </c>
      <c r="W187">
        <f t="shared" si="15"/>
        <v>1</v>
      </c>
      <c r="X187">
        <f t="shared" si="16"/>
        <v>1</v>
      </c>
    </row>
    <row r="188" spans="1:24">
      <c r="A188" t="s">
        <v>115</v>
      </c>
      <c r="B188">
        <v>4</v>
      </c>
      <c r="C188">
        <v>1</v>
      </c>
      <c r="D188">
        <v>96.062789500771999</v>
      </c>
      <c r="E188">
        <v>98.751930005146676</v>
      </c>
      <c r="F188">
        <v>98.636129696345847</v>
      </c>
      <c r="G188">
        <v>0.43103448275861878</v>
      </c>
      <c r="H188">
        <v>0</v>
      </c>
      <c r="I188">
        <v>0</v>
      </c>
      <c r="J188">
        <v>0</v>
      </c>
      <c r="K188">
        <v>1</v>
      </c>
      <c r="L188">
        <v>1</v>
      </c>
      <c r="M188">
        <v>1</v>
      </c>
      <c r="N188">
        <v>30</v>
      </c>
      <c r="O188">
        <v>75000</v>
      </c>
      <c r="P188">
        <v>5</v>
      </c>
      <c r="Q188">
        <v>4</v>
      </c>
      <c r="R188">
        <v>4</v>
      </c>
      <c r="S188">
        <v>5</v>
      </c>
      <c r="T188" s="123">
        <f t="shared" si="12"/>
        <v>0</v>
      </c>
      <c r="U188">
        <f t="shared" si="13"/>
        <v>1</v>
      </c>
      <c r="V188">
        <f t="shared" si="14"/>
        <v>1</v>
      </c>
      <c r="W188">
        <f t="shared" si="15"/>
        <v>1</v>
      </c>
      <c r="X188">
        <f t="shared" si="16"/>
        <v>1</v>
      </c>
    </row>
    <row r="189" spans="1:24" hidden="1">
      <c r="A189" t="s">
        <v>115</v>
      </c>
      <c r="B189">
        <v>5</v>
      </c>
      <c r="C189">
        <v>1</v>
      </c>
      <c r="D189">
        <v>97.819094184251171</v>
      </c>
      <c r="E189">
        <v>99.163664436438495</v>
      </c>
      <c r="F189">
        <v>99.761966031909409</v>
      </c>
      <c r="G189">
        <v>97.819094184251171</v>
      </c>
      <c r="H189">
        <v>1.962171899125065</v>
      </c>
      <c r="I189">
        <v>0</v>
      </c>
      <c r="J189">
        <v>0</v>
      </c>
      <c r="K189">
        <v>1</v>
      </c>
      <c r="L189">
        <v>1</v>
      </c>
      <c r="M189">
        <v>1</v>
      </c>
      <c r="N189">
        <v>30</v>
      </c>
      <c r="O189">
        <v>75000</v>
      </c>
      <c r="P189">
        <v>5</v>
      </c>
      <c r="Q189">
        <v>4</v>
      </c>
      <c r="R189">
        <v>4</v>
      </c>
      <c r="S189">
        <v>5</v>
      </c>
      <c r="T189" s="123">
        <f t="shared" si="12"/>
        <v>1</v>
      </c>
      <c r="U189">
        <f t="shared" si="13"/>
        <v>1</v>
      </c>
      <c r="V189">
        <f t="shared" si="14"/>
        <v>1</v>
      </c>
      <c r="W189">
        <f t="shared" si="15"/>
        <v>1</v>
      </c>
      <c r="X189">
        <f t="shared" si="16"/>
        <v>1</v>
      </c>
    </row>
    <row r="190" spans="1:24">
      <c r="A190" t="s">
        <v>115</v>
      </c>
      <c r="B190">
        <v>6</v>
      </c>
      <c r="C190">
        <v>1</v>
      </c>
      <c r="D190">
        <v>73.645200486026724</v>
      </c>
      <c r="E190">
        <v>80.328068043742405</v>
      </c>
      <c r="F190">
        <v>99.161603888213847</v>
      </c>
      <c r="G190">
        <v>50</v>
      </c>
      <c r="H190">
        <v>31.227217496962329</v>
      </c>
      <c r="I190">
        <v>0</v>
      </c>
      <c r="J190">
        <v>0</v>
      </c>
      <c r="K190">
        <v>1</v>
      </c>
      <c r="L190">
        <v>1</v>
      </c>
      <c r="M190">
        <v>1</v>
      </c>
      <c r="N190">
        <v>30</v>
      </c>
      <c r="O190">
        <v>75000</v>
      </c>
      <c r="P190">
        <v>5</v>
      </c>
      <c r="Q190">
        <v>4</v>
      </c>
      <c r="R190">
        <v>4</v>
      </c>
      <c r="S190">
        <v>5</v>
      </c>
      <c r="T190" s="123">
        <f t="shared" si="12"/>
        <v>0</v>
      </c>
      <c r="U190">
        <f t="shared" si="13"/>
        <v>1</v>
      </c>
      <c r="V190">
        <f t="shared" si="14"/>
        <v>1</v>
      </c>
      <c r="W190">
        <f t="shared" si="15"/>
        <v>1</v>
      </c>
      <c r="X190">
        <f t="shared" si="16"/>
        <v>1</v>
      </c>
    </row>
    <row r="191" spans="1:24">
      <c r="A191" t="s">
        <v>115</v>
      </c>
      <c r="B191">
        <v>7</v>
      </c>
      <c r="C191">
        <v>1</v>
      </c>
      <c r="D191">
        <v>0.55893074119076624</v>
      </c>
      <c r="E191">
        <v>97.788578371810459</v>
      </c>
      <c r="F191">
        <v>98.469015795868771</v>
      </c>
      <c r="G191">
        <v>14.495747266099629</v>
      </c>
      <c r="H191">
        <v>2.0899149453219912</v>
      </c>
      <c r="I191">
        <v>0</v>
      </c>
      <c r="J191">
        <v>1</v>
      </c>
      <c r="K191">
        <v>0</v>
      </c>
      <c r="L191">
        <v>1</v>
      </c>
      <c r="M191">
        <v>1</v>
      </c>
      <c r="N191">
        <v>30</v>
      </c>
      <c r="O191">
        <v>75000</v>
      </c>
      <c r="P191">
        <v>5</v>
      </c>
      <c r="Q191">
        <v>4</v>
      </c>
      <c r="R191">
        <v>4</v>
      </c>
      <c r="S191">
        <v>5</v>
      </c>
      <c r="T191" s="123">
        <f t="shared" si="12"/>
        <v>0</v>
      </c>
      <c r="U191">
        <f t="shared" si="13"/>
        <v>1</v>
      </c>
      <c r="V191">
        <f t="shared" si="14"/>
        <v>1</v>
      </c>
      <c r="W191">
        <f t="shared" si="15"/>
        <v>1</v>
      </c>
      <c r="X191">
        <f t="shared" si="16"/>
        <v>1</v>
      </c>
    </row>
    <row r="192" spans="1:24">
      <c r="A192" t="s">
        <v>116</v>
      </c>
      <c r="B192">
        <v>1</v>
      </c>
      <c r="C192">
        <v>1</v>
      </c>
      <c r="D192">
        <v>98.787656135194709</v>
      </c>
      <c r="E192">
        <v>98.701934851824632</v>
      </c>
      <c r="F192">
        <v>98.322312025471476</v>
      </c>
      <c r="G192">
        <v>2.963507225079598</v>
      </c>
      <c r="H192">
        <v>50</v>
      </c>
      <c r="I192">
        <v>1</v>
      </c>
      <c r="J192">
        <v>0</v>
      </c>
      <c r="K192">
        <v>1</v>
      </c>
      <c r="L192">
        <v>1</v>
      </c>
      <c r="M192">
        <v>1</v>
      </c>
      <c r="N192">
        <v>27</v>
      </c>
      <c r="O192">
        <v>400000</v>
      </c>
      <c r="P192">
        <v>5</v>
      </c>
      <c r="Q192">
        <v>5</v>
      </c>
      <c r="R192">
        <v>5</v>
      </c>
      <c r="S192">
        <v>5</v>
      </c>
      <c r="T192" s="123">
        <f t="shared" si="12"/>
        <v>0</v>
      </c>
      <c r="U192">
        <f t="shared" si="13"/>
        <v>1</v>
      </c>
      <c r="V192">
        <f t="shared" si="14"/>
        <v>1</v>
      </c>
      <c r="W192">
        <f t="shared" si="15"/>
        <v>1</v>
      </c>
      <c r="X192">
        <f t="shared" si="16"/>
        <v>1</v>
      </c>
    </row>
    <row r="193" spans="1:24">
      <c r="A193" t="s">
        <v>116</v>
      </c>
      <c r="B193">
        <v>2</v>
      </c>
      <c r="C193">
        <v>1</v>
      </c>
      <c r="D193">
        <v>99.191770756796473</v>
      </c>
      <c r="E193">
        <v>98.040656380112651</v>
      </c>
      <c r="F193">
        <v>98.591721773205975</v>
      </c>
      <c r="G193">
        <v>2.4614254224834649</v>
      </c>
      <c r="H193">
        <v>5.1065393093313762</v>
      </c>
      <c r="I193">
        <v>0</v>
      </c>
      <c r="J193">
        <v>0</v>
      </c>
      <c r="K193">
        <v>1</v>
      </c>
      <c r="L193">
        <v>1</v>
      </c>
      <c r="M193">
        <v>1</v>
      </c>
      <c r="N193">
        <v>27</v>
      </c>
      <c r="O193">
        <v>400000</v>
      </c>
      <c r="P193">
        <v>5</v>
      </c>
      <c r="Q193">
        <v>5</v>
      </c>
      <c r="R193">
        <v>5</v>
      </c>
      <c r="S193">
        <v>5</v>
      </c>
      <c r="T193" s="123">
        <f t="shared" si="12"/>
        <v>0</v>
      </c>
      <c r="U193">
        <f t="shared" si="13"/>
        <v>1</v>
      </c>
      <c r="V193">
        <f t="shared" si="14"/>
        <v>1</v>
      </c>
      <c r="W193">
        <f t="shared" si="15"/>
        <v>1</v>
      </c>
      <c r="X193">
        <f t="shared" si="16"/>
        <v>1</v>
      </c>
    </row>
    <row r="194" spans="1:24">
      <c r="A194" t="s">
        <v>116</v>
      </c>
      <c r="B194">
        <v>3</v>
      </c>
      <c r="C194">
        <v>1</v>
      </c>
      <c r="D194">
        <v>99.58363948077394</v>
      </c>
      <c r="E194">
        <v>98.359049718344352</v>
      </c>
      <c r="F194">
        <v>98.579475875581679</v>
      </c>
      <c r="G194">
        <v>0.55106539309331404</v>
      </c>
      <c r="H194">
        <v>1.6531961792799419</v>
      </c>
      <c r="I194">
        <v>0</v>
      </c>
      <c r="J194">
        <v>0</v>
      </c>
      <c r="K194">
        <v>1</v>
      </c>
      <c r="L194">
        <v>1</v>
      </c>
      <c r="M194">
        <v>1</v>
      </c>
      <c r="N194">
        <v>27</v>
      </c>
      <c r="O194">
        <v>400000</v>
      </c>
      <c r="P194">
        <v>5</v>
      </c>
      <c r="Q194">
        <v>5</v>
      </c>
      <c r="R194">
        <v>5</v>
      </c>
      <c r="S194">
        <v>5</v>
      </c>
      <c r="T194" s="123">
        <f t="shared" si="12"/>
        <v>0</v>
      </c>
      <c r="U194">
        <f t="shared" si="13"/>
        <v>1</v>
      </c>
      <c r="V194">
        <f t="shared" si="14"/>
        <v>1</v>
      </c>
      <c r="W194">
        <f t="shared" si="15"/>
        <v>1</v>
      </c>
      <c r="X194">
        <f t="shared" si="16"/>
        <v>1</v>
      </c>
    </row>
    <row r="195" spans="1:24">
      <c r="A195" t="s">
        <v>116</v>
      </c>
      <c r="B195">
        <v>4</v>
      </c>
      <c r="C195">
        <v>1</v>
      </c>
      <c r="D195">
        <v>96.938525593926045</v>
      </c>
      <c r="E195">
        <v>96.938525593926045</v>
      </c>
      <c r="F195">
        <v>97.391623806024967</v>
      </c>
      <c r="G195">
        <v>3.0737203036982632</v>
      </c>
      <c r="H195">
        <v>11.44991427871663</v>
      </c>
      <c r="I195">
        <v>0</v>
      </c>
      <c r="J195">
        <v>0</v>
      </c>
      <c r="K195">
        <v>1</v>
      </c>
      <c r="L195">
        <v>1</v>
      </c>
      <c r="M195">
        <v>1</v>
      </c>
      <c r="N195">
        <v>27</v>
      </c>
      <c r="O195">
        <v>400000</v>
      </c>
      <c r="P195">
        <v>5</v>
      </c>
      <c r="Q195">
        <v>5</v>
      </c>
      <c r="R195">
        <v>5</v>
      </c>
      <c r="S195">
        <v>5</v>
      </c>
      <c r="T195" s="123">
        <f t="shared" si="12"/>
        <v>0</v>
      </c>
      <c r="U195">
        <f t="shared" si="13"/>
        <v>1</v>
      </c>
      <c r="V195">
        <f t="shared" si="14"/>
        <v>1</v>
      </c>
      <c r="W195">
        <f t="shared" si="15"/>
        <v>1</v>
      </c>
      <c r="X195">
        <f t="shared" si="16"/>
        <v>1</v>
      </c>
    </row>
    <row r="196" spans="1:24">
      <c r="A196" t="s">
        <v>116</v>
      </c>
      <c r="B196">
        <v>5</v>
      </c>
      <c r="C196">
        <v>1</v>
      </c>
      <c r="D196">
        <v>97.538574577516528</v>
      </c>
      <c r="E196">
        <v>98.812147930443302</v>
      </c>
      <c r="F196">
        <v>97.563066372765121</v>
      </c>
      <c r="G196">
        <v>17.095273083517021</v>
      </c>
      <c r="H196">
        <v>0.84496693607641338</v>
      </c>
      <c r="I196">
        <v>0</v>
      </c>
      <c r="J196">
        <v>0</v>
      </c>
      <c r="K196">
        <v>1</v>
      </c>
      <c r="L196">
        <v>1</v>
      </c>
      <c r="M196">
        <v>1</v>
      </c>
      <c r="N196">
        <v>27</v>
      </c>
      <c r="O196">
        <v>400000</v>
      </c>
      <c r="P196">
        <v>5</v>
      </c>
      <c r="Q196">
        <v>5</v>
      </c>
      <c r="R196">
        <v>5</v>
      </c>
      <c r="S196">
        <v>5</v>
      </c>
      <c r="T196" s="123">
        <f t="shared" ref="T196:T259" si="17">IF(OR(IF(AVERAGE(E196:F196)-G196&gt;(10),1,0),IF(AVERAGE(E196:F196)-G196&lt;(-10),1,0)),0,1)</f>
        <v>0</v>
      </c>
      <c r="U196">
        <f t="shared" ref="U196:U259" si="18">IF(P196&gt;3,1,0)</f>
        <v>1</v>
      </c>
      <c r="V196">
        <f t="shared" ref="V196:V259" si="19">IF(Q196&gt;3,1,0)</f>
        <v>1</v>
      </c>
      <c r="W196">
        <f t="shared" ref="W196:W259" si="20">IF(R196&gt;3,1,0)</f>
        <v>1</v>
      </c>
      <c r="X196">
        <f t="shared" ref="X196:X259" si="21">IF(S196&gt;3,1,0)</f>
        <v>1</v>
      </c>
    </row>
    <row r="197" spans="1:24">
      <c r="A197" t="s">
        <v>116</v>
      </c>
      <c r="B197">
        <v>6</v>
      </c>
      <c r="C197">
        <v>1</v>
      </c>
      <c r="D197">
        <v>100</v>
      </c>
      <c r="E197">
        <v>98.199853049228508</v>
      </c>
      <c r="F197">
        <v>98.995836394807739</v>
      </c>
      <c r="G197">
        <v>4.1146216017634076</v>
      </c>
      <c r="H197">
        <v>13.86235611070291</v>
      </c>
      <c r="I197">
        <v>0</v>
      </c>
      <c r="J197">
        <v>0</v>
      </c>
      <c r="K197">
        <v>1</v>
      </c>
      <c r="L197">
        <v>1</v>
      </c>
      <c r="M197">
        <v>1</v>
      </c>
      <c r="N197">
        <v>27</v>
      </c>
      <c r="O197">
        <v>400000</v>
      </c>
      <c r="P197">
        <v>5</v>
      </c>
      <c r="Q197">
        <v>5</v>
      </c>
      <c r="R197">
        <v>5</v>
      </c>
      <c r="S197">
        <v>5</v>
      </c>
      <c r="T197" s="123">
        <f t="shared" si="17"/>
        <v>0</v>
      </c>
      <c r="U197">
        <f t="shared" si="18"/>
        <v>1</v>
      </c>
      <c r="V197">
        <f t="shared" si="19"/>
        <v>1</v>
      </c>
      <c r="W197">
        <f t="shared" si="20"/>
        <v>1</v>
      </c>
      <c r="X197">
        <f t="shared" si="21"/>
        <v>1</v>
      </c>
    </row>
    <row r="198" spans="1:24">
      <c r="A198" t="s">
        <v>116</v>
      </c>
      <c r="B198">
        <v>7</v>
      </c>
      <c r="C198">
        <v>1</v>
      </c>
      <c r="D198">
        <v>87.178545187362232</v>
      </c>
      <c r="E198">
        <v>94.685280431055602</v>
      </c>
      <c r="F198">
        <v>98.359049718344352</v>
      </c>
      <c r="G198">
        <v>0.61229488121479214</v>
      </c>
      <c r="H198">
        <v>2.2532451628704382</v>
      </c>
      <c r="I198">
        <v>0</v>
      </c>
      <c r="J198">
        <v>1</v>
      </c>
      <c r="K198">
        <v>1</v>
      </c>
      <c r="L198">
        <v>1</v>
      </c>
      <c r="M198">
        <v>1</v>
      </c>
      <c r="N198">
        <v>27</v>
      </c>
      <c r="O198">
        <v>400000</v>
      </c>
      <c r="P198">
        <v>5</v>
      </c>
      <c r="Q198">
        <v>5</v>
      </c>
      <c r="R198">
        <v>5</v>
      </c>
      <c r="S198">
        <v>5</v>
      </c>
      <c r="T198" s="123">
        <f t="shared" si="17"/>
        <v>0</v>
      </c>
      <c r="U198">
        <f t="shared" si="18"/>
        <v>1</v>
      </c>
      <c r="V198">
        <f t="shared" si="19"/>
        <v>1</v>
      </c>
      <c r="W198">
        <f t="shared" si="20"/>
        <v>1</v>
      </c>
      <c r="X198">
        <f t="shared" si="21"/>
        <v>1</v>
      </c>
    </row>
    <row r="199" spans="1:24">
      <c r="A199" t="s">
        <v>117</v>
      </c>
      <c r="B199">
        <v>1</v>
      </c>
      <c r="C199">
        <v>1</v>
      </c>
      <c r="D199">
        <v>9.9350162459385167</v>
      </c>
      <c r="E199">
        <v>92.876780804798798</v>
      </c>
      <c r="F199">
        <v>92.651837040739821</v>
      </c>
      <c r="G199">
        <v>50</v>
      </c>
      <c r="H199">
        <v>11.584603849037739</v>
      </c>
      <c r="I199">
        <v>1</v>
      </c>
      <c r="J199">
        <v>0</v>
      </c>
      <c r="K199">
        <v>0</v>
      </c>
      <c r="L199">
        <v>1</v>
      </c>
      <c r="M199">
        <v>1</v>
      </c>
      <c r="N199">
        <v>28</v>
      </c>
      <c r="O199">
        <v>-99</v>
      </c>
      <c r="P199">
        <v>1</v>
      </c>
      <c r="Q199">
        <v>1</v>
      </c>
      <c r="R199">
        <v>1</v>
      </c>
      <c r="S199">
        <v>1</v>
      </c>
      <c r="T199" s="123">
        <f t="shared" si="17"/>
        <v>0</v>
      </c>
      <c r="U199">
        <f t="shared" si="18"/>
        <v>0</v>
      </c>
      <c r="V199">
        <f t="shared" si="19"/>
        <v>0</v>
      </c>
      <c r="W199">
        <f t="shared" si="20"/>
        <v>0</v>
      </c>
      <c r="X199">
        <f t="shared" si="21"/>
        <v>0</v>
      </c>
    </row>
    <row r="200" spans="1:24">
      <c r="A200" t="s">
        <v>117</v>
      </c>
      <c r="B200">
        <v>2</v>
      </c>
      <c r="C200">
        <v>1</v>
      </c>
      <c r="D200">
        <v>3.5741064733816552</v>
      </c>
      <c r="E200">
        <v>50</v>
      </c>
      <c r="F200">
        <v>50</v>
      </c>
      <c r="G200">
        <v>68.832791802049485</v>
      </c>
      <c r="H200">
        <v>9.0977255686078511</v>
      </c>
      <c r="I200">
        <v>0</v>
      </c>
      <c r="J200">
        <v>0</v>
      </c>
      <c r="K200">
        <v>0</v>
      </c>
      <c r="L200">
        <v>1</v>
      </c>
      <c r="M200">
        <v>1</v>
      </c>
      <c r="N200">
        <v>28</v>
      </c>
      <c r="O200">
        <v>-99</v>
      </c>
      <c r="P200">
        <v>1</v>
      </c>
      <c r="Q200">
        <v>1</v>
      </c>
      <c r="R200">
        <v>1</v>
      </c>
      <c r="S200">
        <v>1</v>
      </c>
      <c r="T200" s="123">
        <f t="shared" si="17"/>
        <v>0</v>
      </c>
      <c r="U200">
        <f t="shared" si="18"/>
        <v>0</v>
      </c>
      <c r="V200">
        <f t="shared" si="19"/>
        <v>0</v>
      </c>
      <c r="W200">
        <f t="shared" si="20"/>
        <v>0</v>
      </c>
      <c r="X200">
        <f t="shared" si="21"/>
        <v>0</v>
      </c>
    </row>
    <row r="201" spans="1:24">
      <c r="A201" t="s">
        <v>117</v>
      </c>
      <c r="B201">
        <v>3</v>
      </c>
      <c r="C201">
        <v>1</v>
      </c>
      <c r="D201">
        <v>26.79330167458135</v>
      </c>
      <c r="E201">
        <v>20.132466883279179</v>
      </c>
      <c r="F201">
        <v>6.3984003999000283</v>
      </c>
      <c r="G201">
        <v>88.315421144713824</v>
      </c>
      <c r="H201">
        <v>50</v>
      </c>
      <c r="I201">
        <v>0</v>
      </c>
      <c r="J201">
        <v>0</v>
      </c>
      <c r="K201">
        <v>0</v>
      </c>
      <c r="L201">
        <v>1</v>
      </c>
      <c r="M201">
        <v>1</v>
      </c>
      <c r="N201">
        <v>28</v>
      </c>
      <c r="O201">
        <v>-99</v>
      </c>
      <c r="P201">
        <v>1</v>
      </c>
      <c r="Q201">
        <v>1</v>
      </c>
      <c r="R201">
        <v>1</v>
      </c>
      <c r="S201">
        <v>1</v>
      </c>
      <c r="T201" s="123">
        <f t="shared" si="17"/>
        <v>0</v>
      </c>
      <c r="U201">
        <f t="shared" si="18"/>
        <v>0</v>
      </c>
      <c r="V201">
        <f t="shared" si="19"/>
        <v>0</v>
      </c>
      <c r="W201">
        <f t="shared" si="20"/>
        <v>0</v>
      </c>
      <c r="X201">
        <f t="shared" si="21"/>
        <v>0</v>
      </c>
    </row>
    <row r="202" spans="1:24">
      <c r="A202" t="s">
        <v>117</v>
      </c>
      <c r="B202">
        <v>4</v>
      </c>
      <c r="C202">
        <v>1</v>
      </c>
      <c r="D202">
        <v>1.287178205448636</v>
      </c>
      <c r="E202">
        <v>14.308922769307671</v>
      </c>
      <c r="F202">
        <v>35.441139715071238</v>
      </c>
      <c r="G202">
        <v>82.791802049487629</v>
      </c>
      <c r="H202">
        <v>33.266683329167712</v>
      </c>
      <c r="I202">
        <v>0</v>
      </c>
      <c r="J202">
        <v>0</v>
      </c>
      <c r="K202">
        <v>0</v>
      </c>
      <c r="L202">
        <v>1</v>
      </c>
      <c r="M202">
        <v>1</v>
      </c>
      <c r="N202">
        <v>28</v>
      </c>
      <c r="O202">
        <v>-99</v>
      </c>
      <c r="P202">
        <v>1</v>
      </c>
      <c r="Q202">
        <v>1</v>
      </c>
      <c r="R202">
        <v>1</v>
      </c>
      <c r="S202">
        <v>1</v>
      </c>
      <c r="T202" s="123">
        <f t="shared" si="17"/>
        <v>0</v>
      </c>
      <c r="U202">
        <f t="shared" si="18"/>
        <v>0</v>
      </c>
      <c r="V202">
        <f t="shared" si="19"/>
        <v>0</v>
      </c>
      <c r="W202">
        <f t="shared" si="20"/>
        <v>0</v>
      </c>
      <c r="X202">
        <f t="shared" si="21"/>
        <v>0</v>
      </c>
    </row>
    <row r="203" spans="1:24">
      <c r="A203" t="s">
        <v>117</v>
      </c>
      <c r="B203">
        <v>5</v>
      </c>
      <c r="C203">
        <v>1</v>
      </c>
      <c r="D203">
        <v>2.949262684328918</v>
      </c>
      <c r="E203">
        <v>17.120719820044989</v>
      </c>
      <c r="F203">
        <v>1.662084478880282</v>
      </c>
      <c r="G203">
        <v>82.254436390902271</v>
      </c>
      <c r="H203">
        <v>52.849287678080479</v>
      </c>
      <c r="I203">
        <v>0</v>
      </c>
      <c r="J203">
        <v>0</v>
      </c>
      <c r="K203">
        <v>0</v>
      </c>
      <c r="L203">
        <v>1</v>
      </c>
      <c r="M203">
        <v>1</v>
      </c>
      <c r="N203">
        <v>28</v>
      </c>
      <c r="O203">
        <v>-99</v>
      </c>
      <c r="P203">
        <v>1</v>
      </c>
      <c r="Q203">
        <v>1</v>
      </c>
      <c r="R203">
        <v>1</v>
      </c>
      <c r="S203">
        <v>1</v>
      </c>
      <c r="T203" s="123">
        <f t="shared" si="17"/>
        <v>0</v>
      </c>
      <c r="U203">
        <f t="shared" si="18"/>
        <v>0</v>
      </c>
      <c r="V203">
        <f t="shared" si="19"/>
        <v>0</v>
      </c>
      <c r="W203">
        <f t="shared" si="20"/>
        <v>0</v>
      </c>
      <c r="X203">
        <f t="shared" si="21"/>
        <v>0</v>
      </c>
    </row>
    <row r="204" spans="1:24">
      <c r="A204" t="s">
        <v>117</v>
      </c>
      <c r="B204">
        <v>6</v>
      </c>
      <c r="C204">
        <v>1</v>
      </c>
      <c r="D204">
        <v>3.5741064733816552</v>
      </c>
      <c r="E204">
        <v>20.557360659835041</v>
      </c>
      <c r="F204">
        <v>14.80879780054987</v>
      </c>
      <c r="G204">
        <v>85.578605348662833</v>
      </c>
      <c r="H204">
        <v>90.927268182954265</v>
      </c>
      <c r="I204">
        <v>0</v>
      </c>
      <c r="J204">
        <v>0</v>
      </c>
      <c r="K204">
        <v>0</v>
      </c>
      <c r="L204">
        <v>1</v>
      </c>
      <c r="M204">
        <v>1</v>
      </c>
      <c r="N204">
        <v>28</v>
      </c>
      <c r="O204">
        <v>-99</v>
      </c>
      <c r="P204">
        <v>1</v>
      </c>
      <c r="Q204">
        <v>1</v>
      </c>
      <c r="R204">
        <v>1</v>
      </c>
      <c r="S204">
        <v>1</v>
      </c>
      <c r="T204" s="123">
        <f t="shared" si="17"/>
        <v>0</v>
      </c>
      <c r="U204">
        <f t="shared" si="18"/>
        <v>0</v>
      </c>
      <c r="V204">
        <f t="shared" si="19"/>
        <v>0</v>
      </c>
      <c r="W204">
        <f t="shared" si="20"/>
        <v>0</v>
      </c>
      <c r="X204">
        <f t="shared" si="21"/>
        <v>0</v>
      </c>
    </row>
    <row r="205" spans="1:24">
      <c r="A205" t="s">
        <v>117</v>
      </c>
      <c r="B205">
        <v>7</v>
      </c>
      <c r="C205">
        <v>1</v>
      </c>
      <c r="D205">
        <v>10.47238190452387</v>
      </c>
      <c r="E205">
        <v>0</v>
      </c>
      <c r="F205">
        <v>10.47238190452387</v>
      </c>
      <c r="G205">
        <v>96.025993501624598</v>
      </c>
      <c r="H205">
        <v>79.517620594851294</v>
      </c>
      <c r="I205">
        <v>0</v>
      </c>
      <c r="J205">
        <v>1</v>
      </c>
      <c r="K205">
        <v>0</v>
      </c>
      <c r="L205">
        <v>1</v>
      </c>
      <c r="M205">
        <v>1</v>
      </c>
      <c r="N205">
        <v>28</v>
      </c>
      <c r="O205">
        <v>-99</v>
      </c>
      <c r="P205">
        <v>1</v>
      </c>
      <c r="Q205">
        <v>1</v>
      </c>
      <c r="R205">
        <v>1</v>
      </c>
      <c r="S205">
        <v>1</v>
      </c>
      <c r="T205" s="123">
        <f t="shared" si="17"/>
        <v>0</v>
      </c>
      <c r="U205">
        <f t="shared" si="18"/>
        <v>0</v>
      </c>
      <c r="V205">
        <f t="shared" si="19"/>
        <v>0</v>
      </c>
      <c r="W205">
        <f t="shared" si="20"/>
        <v>0</v>
      </c>
      <c r="X205">
        <f t="shared" si="21"/>
        <v>0</v>
      </c>
    </row>
    <row r="206" spans="1:24">
      <c r="A206" t="s">
        <v>118</v>
      </c>
      <c r="B206">
        <v>1</v>
      </c>
      <c r="C206">
        <v>1</v>
      </c>
      <c r="D206">
        <v>9.3510118632240076</v>
      </c>
      <c r="E206">
        <v>18.24842986741103</v>
      </c>
      <c r="F206">
        <v>28.518260060479179</v>
      </c>
      <c r="G206">
        <v>61.188648522912302</v>
      </c>
      <c r="H206">
        <v>0.59316120027913533</v>
      </c>
      <c r="I206">
        <v>1</v>
      </c>
      <c r="J206">
        <v>0</v>
      </c>
      <c r="K206">
        <v>0</v>
      </c>
      <c r="L206">
        <v>1</v>
      </c>
      <c r="M206">
        <v>1</v>
      </c>
      <c r="N206">
        <v>48</v>
      </c>
      <c r="O206">
        <v>5000</v>
      </c>
      <c r="P206">
        <v>1</v>
      </c>
      <c r="Q206">
        <v>1</v>
      </c>
      <c r="R206">
        <v>3</v>
      </c>
      <c r="S206">
        <v>1</v>
      </c>
      <c r="T206" s="123">
        <f t="shared" si="17"/>
        <v>0</v>
      </c>
      <c r="U206">
        <f t="shared" si="18"/>
        <v>0</v>
      </c>
      <c r="V206">
        <f t="shared" si="19"/>
        <v>0</v>
      </c>
      <c r="W206">
        <f t="shared" si="20"/>
        <v>0</v>
      </c>
      <c r="X206">
        <f t="shared" si="21"/>
        <v>0</v>
      </c>
    </row>
    <row r="207" spans="1:24">
      <c r="A207" t="s">
        <v>118</v>
      </c>
      <c r="B207">
        <v>2</v>
      </c>
      <c r="C207">
        <v>1</v>
      </c>
      <c r="D207">
        <v>50</v>
      </c>
      <c r="E207">
        <v>6.6631271568887707</v>
      </c>
      <c r="F207">
        <v>50</v>
      </c>
      <c r="G207">
        <v>79.864613750995488</v>
      </c>
      <c r="H207">
        <v>32.997079904433242</v>
      </c>
      <c r="I207">
        <v>0</v>
      </c>
      <c r="J207">
        <v>0</v>
      </c>
      <c r="K207">
        <v>0</v>
      </c>
      <c r="L207">
        <v>1</v>
      </c>
      <c r="M207">
        <v>1</v>
      </c>
      <c r="N207">
        <v>48</v>
      </c>
      <c r="O207">
        <v>5000</v>
      </c>
      <c r="P207">
        <v>1</v>
      </c>
      <c r="Q207">
        <v>1</v>
      </c>
      <c r="R207">
        <v>3</v>
      </c>
      <c r="S207">
        <v>1</v>
      </c>
      <c r="T207" s="123">
        <f t="shared" si="17"/>
        <v>0</v>
      </c>
      <c r="U207">
        <f t="shared" si="18"/>
        <v>0</v>
      </c>
      <c r="V207">
        <f t="shared" si="19"/>
        <v>0</v>
      </c>
      <c r="W207">
        <f t="shared" si="20"/>
        <v>0</v>
      </c>
      <c r="X207">
        <f t="shared" si="21"/>
        <v>0</v>
      </c>
    </row>
    <row r="208" spans="1:24">
      <c r="A208" t="s">
        <v>118</v>
      </c>
      <c r="B208">
        <v>3</v>
      </c>
      <c r="C208">
        <v>1</v>
      </c>
      <c r="D208">
        <v>0.66365808335545617</v>
      </c>
      <c r="E208">
        <v>4.9110698168303717</v>
      </c>
      <c r="F208">
        <v>18.83461640562782</v>
      </c>
      <c r="G208">
        <v>81.37775418104593</v>
      </c>
      <c r="H208">
        <v>0.43801433501460257</v>
      </c>
      <c r="I208">
        <v>0</v>
      </c>
      <c r="J208">
        <v>0</v>
      </c>
      <c r="K208">
        <v>0</v>
      </c>
      <c r="L208">
        <v>1</v>
      </c>
      <c r="M208">
        <v>1</v>
      </c>
      <c r="N208">
        <v>48</v>
      </c>
      <c r="O208">
        <v>5000</v>
      </c>
      <c r="P208">
        <v>1</v>
      </c>
      <c r="Q208">
        <v>1</v>
      </c>
      <c r="R208">
        <v>3</v>
      </c>
      <c r="S208">
        <v>1</v>
      </c>
      <c r="T208" s="123">
        <f t="shared" si="17"/>
        <v>0</v>
      </c>
      <c r="U208">
        <f t="shared" si="18"/>
        <v>0</v>
      </c>
      <c r="V208">
        <f t="shared" si="19"/>
        <v>0</v>
      </c>
      <c r="W208">
        <f t="shared" si="20"/>
        <v>0</v>
      </c>
      <c r="X208">
        <f t="shared" si="21"/>
        <v>0</v>
      </c>
    </row>
    <row r="209" spans="1:24">
      <c r="A209" t="s">
        <v>118</v>
      </c>
      <c r="B209">
        <v>4</v>
      </c>
      <c r="C209">
        <v>1</v>
      </c>
      <c r="D209">
        <v>4.2208654101406946</v>
      </c>
      <c r="E209">
        <v>1.1282187417042731</v>
      </c>
      <c r="F209">
        <v>5.123440403504115</v>
      </c>
      <c r="G209">
        <v>54.605787098486857</v>
      </c>
      <c r="H209">
        <v>1.340589328378017</v>
      </c>
      <c r="I209">
        <v>0</v>
      </c>
      <c r="J209">
        <v>0</v>
      </c>
      <c r="K209">
        <v>0</v>
      </c>
      <c r="L209">
        <v>1</v>
      </c>
      <c r="M209">
        <v>1</v>
      </c>
      <c r="N209">
        <v>48</v>
      </c>
      <c r="O209">
        <v>5000</v>
      </c>
      <c r="P209">
        <v>1</v>
      </c>
      <c r="Q209">
        <v>1</v>
      </c>
      <c r="R209">
        <v>3</v>
      </c>
      <c r="S209">
        <v>1</v>
      </c>
      <c r="T209" s="123">
        <f t="shared" si="17"/>
        <v>0</v>
      </c>
      <c r="U209">
        <f t="shared" si="18"/>
        <v>0</v>
      </c>
      <c r="V209">
        <f t="shared" si="19"/>
        <v>0</v>
      </c>
      <c r="W209">
        <f t="shared" si="20"/>
        <v>0</v>
      </c>
      <c r="X209">
        <f t="shared" si="21"/>
        <v>0</v>
      </c>
    </row>
    <row r="210" spans="1:24">
      <c r="A210" t="s">
        <v>118</v>
      </c>
      <c r="B210">
        <v>5</v>
      </c>
      <c r="C210">
        <v>1</v>
      </c>
      <c r="D210">
        <v>40.084948234669497</v>
      </c>
      <c r="E210">
        <v>18.170958322272369</v>
      </c>
      <c r="F210">
        <v>38.531988319617732</v>
      </c>
      <c r="G210">
        <v>74.064242102468796</v>
      </c>
      <c r="H210">
        <v>7.3267852402442273</v>
      </c>
      <c r="I210">
        <v>0</v>
      </c>
      <c r="J210">
        <v>0</v>
      </c>
      <c r="K210">
        <v>0</v>
      </c>
      <c r="L210">
        <v>1</v>
      </c>
      <c r="M210">
        <v>1</v>
      </c>
      <c r="N210">
        <v>48</v>
      </c>
      <c r="O210">
        <v>5000</v>
      </c>
      <c r="P210">
        <v>1</v>
      </c>
      <c r="Q210">
        <v>1</v>
      </c>
      <c r="R210">
        <v>3</v>
      </c>
      <c r="S210">
        <v>1</v>
      </c>
      <c r="T210" s="123">
        <f t="shared" si="17"/>
        <v>0</v>
      </c>
      <c r="U210">
        <f t="shared" si="18"/>
        <v>0</v>
      </c>
      <c r="V210">
        <f t="shared" si="19"/>
        <v>0</v>
      </c>
      <c r="W210">
        <f t="shared" si="20"/>
        <v>0</v>
      </c>
      <c r="X210">
        <f t="shared" si="21"/>
        <v>0</v>
      </c>
    </row>
    <row r="211" spans="1:24" hidden="1">
      <c r="A211" t="s">
        <v>118</v>
      </c>
      <c r="B211">
        <v>6</v>
      </c>
      <c r="C211">
        <v>1</v>
      </c>
      <c r="D211">
        <v>30.56809131935227</v>
      </c>
      <c r="E211">
        <v>22.365277409078839</v>
      </c>
      <c r="F211">
        <v>5.3358109901778583</v>
      </c>
      <c r="G211">
        <v>15.529599150517649</v>
      </c>
      <c r="H211">
        <v>3.7563047517918782</v>
      </c>
      <c r="I211">
        <v>0</v>
      </c>
      <c r="J211">
        <v>0</v>
      </c>
      <c r="K211">
        <v>0</v>
      </c>
      <c r="L211">
        <v>1</v>
      </c>
      <c r="M211">
        <v>1</v>
      </c>
      <c r="N211">
        <v>48</v>
      </c>
      <c r="O211">
        <v>5000</v>
      </c>
      <c r="P211">
        <v>1</v>
      </c>
      <c r="Q211">
        <v>1</v>
      </c>
      <c r="R211">
        <v>3</v>
      </c>
      <c r="S211">
        <v>1</v>
      </c>
      <c r="T211" s="123">
        <f t="shared" si="17"/>
        <v>1</v>
      </c>
      <c r="U211">
        <f t="shared" si="18"/>
        <v>0</v>
      </c>
      <c r="V211">
        <f t="shared" si="19"/>
        <v>0</v>
      </c>
      <c r="W211">
        <f t="shared" si="20"/>
        <v>0</v>
      </c>
      <c r="X211">
        <f t="shared" si="21"/>
        <v>0</v>
      </c>
    </row>
    <row r="212" spans="1:24">
      <c r="A212" t="s">
        <v>118</v>
      </c>
      <c r="B212">
        <v>7</v>
      </c>
      <c r="C212">
        <v>1</v>
      </c>
      <c r="D212">
        <v>14.852667905495091</v>
      </c>
      <c r="E212">
        <v>1.778603663392619</v>
      </c>
      <c r="F212">
        <v>0.90257499336341973</v>
      </c>
      <c r="G212">
        <v>100</v>
      </c>
      <c r="H212">
        <v>0</v>
      </c>
      <c r="I212">
        <v>0</v>
      </c>
      <c r="J212">
        <v>1</v>
      </c>
      <c r="K212">
        <v>0</v>
      </c>
      <c r="L212">
        <v>1</v>
      </c>
      <c r="M212">
        <v>1</v>
      </c>
      <c r="N212">
        <v>48</v>
      </c>
      <c r="O212">
        <v>5000</v>
      </c>
      <c r="P212">
        <v>1</v>
      </c>
      <c r="Q212">
        <v>1</v>
      </c>
      <c r="R212">
        <v>3</v>
      </c>
      <c r="S212">
        <v>1</v>
      </c>
      <c r="T212" s="123">
        <f t="shared" si="17"/>
        <v>0</v>
      </c>
      <c r="U212">
        <f t="shared" si="18"/>
        <v>0</v>
      </c>
      <c r="V212">
        <f t="shared" si="19"/>
        <v>0</v>
      </c>
      <c r="W212">
        <f t="shared" si="20"/>
        <v>0</v>
      </c>
      <c r="X212">
        <f t="shared" si="21"/>
        <v>0</v>
      </c>
    </row>
    <row r="213" spans="1:24" hidden="1">
      <c r="A213" t="s">
        <v>119</v>
      </c>
      <c r="B213">
        <v>1</v>
      </c>
      <c r="C213">
        <v>1</v>
      </c>
      <c r="D213">
        <v>97.887723277573002</v>
      </c>
      <c r="E213">
        <v>97.391550893110292</v>
      </c>
      <c r="F213">
        <v>96.937907570172953</v>
      </c>
      <c r="G213">
        <v>97.632548908420745</v>
      </c>
      <c r="H213">
        <v>96.937907570172953</v>
      </c>
      <c r="I213">
        <v>1</v>
      </c>
      <c r="J213">
        <v>0</v>
      </c>
      <c r="K213">
        <v>1</v>
      </c>
      <c r="L213">
        <v>1</v>
      </c>
      <c r="M213">
        <v>1</v>
      </c>
      <c r="N213">
        <v>27</v>
      </c>
      <c r="O213">
        <v>200000</v>
      </c>
      <c r="P213">
        <v>2</v>
      </c>
      <c r="Q213">
        <v>4</v>
      </c>
      <c r="R213">
        <v>2</v>
      </c>
      <c r="S213">
        <v>2</v>
      </c>
      <c r="T213" s="123">
        <f t="shared" si="17"/>
        <v>1</v>
      </c>
      <c r="U213">
        <f t="shared" si="18"/>
        <v>0</v>
      </c>
      <c r="V213">
        <f t="shared" si="19"/>
        <v>1</v>
      </c>
      <c r="W213">
        <f t="shared" si="20"/>
        <v>0</v>
      </c>
      <c r="X213">
        <f t="shared" si="21"/>
        <v>0</v>
      </c>
    </row>
    <row r="214" spans="1:24">
      <c r="A214" t="s">
        <v>119</v>
      </c>
      <c r="B214">
        <v>2</v>
      </c>
      <c r="C214">
        <v>1</v>
      </c>
      <c r="D214">
        <v>91.735185710235328</v>
      </c>
      <c r="E214">
        <v>92.444003402324924</v>
      </c>
      <c r="F214">
        <v>90.558548341366603</v>
      </c>
      <c r="G214">
        <v>8.7468103203855954</v>
      </c>
      <c r="H214">
        <v>17.4794442869294</v>
      </c>
      <c r="I214">
        <v>0</v>
      </c>
      <c r="J214">
        <v>0</v>
      </c>
      <c r="K214">
        <v>1</v>
      </c>
      <c r="L214">
        <v>1</v>
      </c>
      <c r="M214">
        <v>1</v>
      </c>
      <c r="N214">
        <v>27</v>
      </c>
      <c r="O214">
        <v>200000</v>
      </c>
      <c r="P214">
        <v>2</v>
      </c>
      <c r="Q214">
        <v>4</v>
      </c>
      <c r="R214">
        <v>2</v>
      </c>
      <c r="S214">
        <v>2</v>
      </c>
      <c r="T214" s="123">
        <f t="shared" si="17"/>
        <v>0</v>
      </c>
      <c r="U214">
        <f t="shared" si="18"/>
        <v>0</v>
      </c>
      <c r="V214">
        <f t="shared" si="19"/>
        <v>1</v>
      </c>
      <c r="W214">
        <f t="shared" si="20"/>
        <v>0</v>
      </c>
      <c r="X214">
        <f t="shared" si="21"/>
        <v>0</v>
      </c>
    </row>
    <row r="215" spans="1:24" hidden="1">
      <c r="A215" t="s">
        <v>119</v>
      </c>
      <c r="B215">
        <v>3</v>
      </c>
      <c r="C215">
        <v>1</v>
      </c>
      <c r="D215">
        <v>5.4295435214062939</v>
      </c>
      <c r="E215">
        <v>97.873546923731212</v>
      </c>
      <c r="F215">
        <v>93.861638786504102</v>
      </c>
      <c r="G215">
        <v>93.861638786504102</v>
      </c>
      <c r="H215">
        <v>3.0620924298270462</v>
      </c>
      <c r="I215">
        <v>0</v>
      </c>
      <c r="J215">
        <v>0</v>
      </c>
      <c r="K215">
        <v>0</v>
      </c>
      <c r="L215">
        <v>1</v>
      </c>
      <c r="M215">
        <v>1</v>
      </c>
      <c r="N215">
        <v>27</v>
      </c>
      <c r="O215">
        <v>200000</v>
      </c>
      <c r="P215">
        <v>2</v>
      </c>
      <c r="Q215">
        <v>4</v>
      </c>
      <c r="R215">
        <v>2</v>
      </c>
      <c r="S215">
        <v>2</v>
      </c>
      <c r="T215" s="123">
        <f t="shared" si="17"/>
        <v>1</v>
      </c>
      <c r="U215">
        <f t="shared" si="18"/>
        <v>0</v>
      </c>
      <c r="V215">
        <f t="shared" si="19"/>
        <v>1</v>
      </c>
      <c r="W215">
        <f t="shared" si="20"/>
        <v>0</v>
      </c>
      <c r="X215">
        <f t="shared" si="21"/>
        <v>0</v>
      </c>
    </row>
    <row r="216" spans="1:24" hidden="1">
      <c r="A216" t="s">
        <v>119</v>
      </c>
      <c r="B216">
        <v>4</v>
      </c>
      <c r="C216">
        <v>1</v>
      </c>
      <c r="D216">
        <v>73.064927700595405</v>
      </c>
      <c r="E216">
        <v>100</v>
      </c>
      <c r="F216">
        <v>90.090728664587473</v>
      </c>
      <c r="G216">
        <v>97.405727246952097</v>
      </c>
      <c r="H216">
        <v>73.064927700595405</v>
      </c>
      <c r="I216">
        <v>0</v>
      </c>
      <c r="J216">
        <v>0</v>
      </c>
      <c r="K216">
        <v>1</v>
      </c>
      <c r="L216">
        <v>1</v>
      </c>
      <c r="M216">
        <v>1</v>
      </c>
      <c r="N216">
        <v>27</v>
      </c>
      <c r="O216">
        <v>200000</v>
      </c>
      <c r="P216">
        <v>2</v>
      </c>
      <c r="Q216">
        <v>4</v>
      </c>
      <c r="R216">
        <v>2</v>
      </c>
      <c r="S216">
        <v>2</v>
      </c>
      <c r="T216" s="123">
        <f t="shared" si="17"/>
        <v>1</v>
      </c>
      <c r="U216">
        <f t="shared" si="18"/>
        <v>0</v>
      </c>
      <c r="V216">
        <f t="shared" si="19"/>
        <v>1</v>
      </c>
      <c r="W216">
        <f t="shared" si="20"/>
        <v>0</v>
      </c>
      <c r="X216">
        <f t="shared" si="21"/>
        <v>0</v>
      </c>
    </row>
    <row r="217" spans="1:24" hidden="1">
      <c r="A217" t="s">
        <v>119</v>
      </c>
      <c r="B217">
        <v>5</v>
      </c>
      <c r="C217">
        <v>1</v>
      </c>
      <c r="D217">
        <v>50</v>
      </c>
      <c r="E217">
        <v>95.052452509214632</v>
      </c>
      <c r="F217">
        <v>97.887723277573002</v>
      </c>
      <c r="G217">
        <v>97.887723277573002</v>
      </c>
      <c r="H217">
        <v>98.823362631131275</v>
      </c>
      <c r="I217">
        <v>0</v>
      </c>
      <c r="J217">
        <v>0</v>
      </c>
      <c r="K217">
        <v>1</v>
      </c>
      <c r="L217">
        <v>1</v>
      </c>
      <c r="M217">
        <v>1</v>
      </c>
      <c r="N217">
        <v>27</v>
      </c>
      <c r="O217">
        <v>200000</v>
      </c>
      <c r="P217">
        <v>2</v>
      </c>
      <c r="Q217">
        <v>4</v>
      </c>
      <c r="R217">
        <v>2</v>
      </c>
      <c r="S217">
        <v>2</v>
      </c>
      <c r="T217" s="123">
        <f t="shared" si="17"/>
        <v>1</v>
      </c>
      <c r="U217">
        <f t="shared" si="18"/>
        <v>0</v>
      </c>
      <c r="V217">
        <f t="shared" si="19"/>
        <v>1</v>
      </c>
      <c r="W217">
        <f t="shared" si="20"/>
        <v>0</v>
      </c>
      <c r="X217">
        <f t="shared" si="21"/>
        <v>0</v>
      </c>
    </row>
    <row r="218" spans="1:24">
      <c r="A218" t="s">
        <v>119</v>
      </c>
      <c r="B218">
        <v>6</v>
      </c>
      <c r="C218">
        <v>1</v>
      </c>
      <c r="D218">
        <v>97.164729231641616</v>
      </c>
      <c r="E218">
        <v>97.873546923731212</v>
      </c>
      <c r="F218">
        <v>97.646725262262549</v>
      </c>
      <c r="G218">
        <v>63.623476041962007</v>
      </c>
      <c r="H218">
        <v>99.291182307910404</v>
      </c>
      <c r="I218">
        <v>0</v>
      </c>
      <c r="J218">
        <v>0</v>
      </c>
      <c r="K218">
        <v>1</v>
      </c>
      <c r="L218">
        <v>1</v>
      </c>
      <c r="M218">
        <v>1</v>
      </c>
      <c r="N218">
        <v>27</v>
      </c>
      <c r="O218">
        <v>200000</v>
      </c>
      <c r="P218">
        <v>2</v>
      </c>
      <c r="Q218">
        <v>4</v>
      </c>
      <c r="R218">
        <v>2</v>
      </c>
      <c r="S218">
        <v>2</v>
      </c>
      <c r="T218" s="123">
        <f t="shared" si="17"/>
        <v>0</v>
      </c>
      <c r="U218">
        <f t="shared" si="18"/>
        <v>0</v>
      </c>
      <c r="V218">
        <f t="shared" si="19"/>
        <v>1</v>
      </c>
      <c r="W218">
        <f t="shared" si="20"/>
        <v>0</v>
      </c>
      <c r="X218">
        <f t="shared" si="21"/>
        <v>0</v>
      </c>
    </row>
    <row r="219" spans="1:24" hidden="1">
      <c r="A219" t="s">
        <v>119</v>
      </c>
      <c r="B219">
        <v>7</v>
      </c>
      <c r="C219">
        <v>1</v>
      </c>
      <c r="D219">
        <v>93.15282109441452</v>
      </c>
      <c r="E219">
        <v>87.269634250070879</v>
      </c>
      <c r="F219">
        <v>97.405727246952097</v>
      </c>
      <c r="G219">
        <v>97.859370569889421</v>
      </c>
      <c r="H219">
        <v>98.596540969662598</v>
      </c>
      <c r="I219">
        <v>0</v>
      </c>
      <c r="J219">
        <v>1</v>
      </c>
      <c r="K219">
        <v>1</v>
      </c>
      <c r="L219">
        <v>1</v>
      </c>
      <c r="M219">
        <v>1</v>
      </c>
      <c r="N219">
        <v>27</v>
      </c>
      <c r="O219">
        <v>200000</v>
      </c>
      <c r="P219">
        <v>2</v>
      </c>
      <c r="Q219">
        <v>4</v>
      </c>
      <c r="R219">
        <v>2</v>
      </c>
      <c r="S219">
        <v>2</v>
      </c>
      <c r="T219" s="123">
        <f t="shared" si="17"/>
        <v>1</v>
      </c>
      <c r="U219">
        <f t="shared" si="18"/>
        <v>0</v>
      </c>
      <c r="V219">
        <f t="shared" si="19"/>
        <v>1</v>
      </c>
      <c r="W219">
        <f t="shared" si="20"/>
        <v>0</v>
      </c>
      <c r="X219">
        <f t="shared" si="21"/>
        <v>0</v>
      </c>
    </row>
    <row r="220" spans="1:24" hidden="1">
      <c r="A220" t="s">
        <v>120</v>
      </c>
      <c r="B220">
        <v>1</v>
      </c>
      <c r="C220">
        <v>1</v>
      </c>
      <c r="D220">
        <v>50</v>
      </c>
      <c r="E220">
        <v>97.272727272727266</v>
      </c>
      <c r="F220">
        <v>95.349143610013172</v>
      </c>
      <c r="G220">
        <v>88.827404479578405</v>
      </c>
      <c r="H220">
        <v>10.434782608695651</v>
      </c>
      <c r="I220">
        <v>1</v>
      </c>
      <c r="J220">
        <v>0</v>
      </c>
      <c r="K220">
        <v>1</v>
      </c>
      <c r="L220">
        <v>1</v>
      </c>
      <c r="M220">
        <v>0</v>
      </c>
      <c r="N220">
        <v>25</v>
      </c>
      <c r="O220">
        <v>29000</v>
      </c>
      <c r="P220">
        <v>4</v>
      </c>
      <c r="Q220">
        <v>3</v>
      </c>
      <c r="R220">
        <v>4</v>
      </c>
      <c r="S220">
        <v>4</v>
      </c>
      <c r="T220" s="123">
        <f t="shared" si="17"/>
        <v>1</v>
      </c>
      <c r="U220">
        <f t="shared" si="18"/>
        <v>1</v>
      </c>
      <c r="V220">
        <f t="shared" si="19"/>
        <v>0</v>
      </c>
      <c r="W220">
        <f t="shared" si="20"/>
        <v>1</v>
      </c>
      <c r="X220">
        <f t="shared" si="21"/>
        <v>1</v>
      </c>
    </row>
    <row r="221" spans="1:24">
      <c r="A221" t="s">
        <v>120</v>
      </c>
      <c r="B221">
        <v>2</v>
      </c>
      <c r="C221">
        <v>1</v>
      </c>
      <c r="D221">
        <v>8.0105401844532302</v>
      </c>
      <c r="E221">
        <v>6.00790513833992</v>
      </c>
      <c r="F221">
        <v>6.00790513833992</v>
      </c>
      <c r="G221">
        <v>71.963109354413703</v>
      </c>
      <c r="H221">
        <v>84.927536231884062</v>
      </c>
      <c r="I221">
        <v>0</v>
      </c>
      <c r="J221">
        <v>0</v>
      </c>
      <c r="K221">
        <v>0</v>
      </c>
      <c r="L221">
        <v>1</v>
      </c>
      <c r="M221">
        <v>0</v>
      </c>
      <c r="N221">
        <v>25</v>
      </c>
      <c r="O221">
        <v>29000</v>
      </c>
      <c r="P221">
        <v>4</v>
      </c>
      <c r="Q221">
        <v>3</v>
      </c>
      <c r="R221">
        <v>4</v>
      </c>
      <c r="S221">
        <v>4</v>
      </c>
      <c r="T221" s="123">
        <f t="shared" si="17"/>
        <v>0</v>
      </c>
      <c r="U221">
        <f t="shared" si="18"/>
        <v>1</v>
      </c>
      <c r="V221">
        <f t="shared" si="19"/>
        <v>0</v>
      </c>
      <c r="W221">
        <f t="shared" si="20"/>
        <v>1</v>
      </c>
      <c r="X221">
        <f t="shared" si="21"/>
        <v>1</v>
      </c>
    </row>
    <row r="222" spans="1:24">
      <c r="A222" t="s">
        <v>120</v>
      </c>
      <c r="B222">
        <v>3</v>
      </c>
      <c r="C222">
        <v>1</v>
      </c>
      <c r="D222">
        <v>5.9025032938076416</v>
      </c>
      <c r="E222">
        <v>12.2266139657444</v>
      </c>
      <c r="F222">
        <v>8.9591567852437439</v>
      </c>
      <c r="G222">
        <v>93.78129117259553</v>
      </c>
      <c r="H222">
        <v>3.056653491436101</v>
      </c>
      <c r="I222">
        <v>0</v>
      </c>
      <c r="J222">
        <v>0</v>
      </c>
      <c r="K222">
        <v>0</v>
      </c>
      <c r="L222">
        <v>1</v>
      </c>
      <c r="M222">
        <v>0</v>
      </c>
      <c r="N222">
        <v>25</v>
      </c>
      <c r="O222">
        <v>29000</v>
      </c>
      <c r="P222">
        <v>4</v>
      </c>
      <c r="Q222">
        <v>3</v>
      </c>
      <c r="R222">
        <v>4</v>
      </c>
      <c r="S222">
        <v>4</v>
      </c>
      <c r="T222" s="123">
        <f t="shared" si="17"/>
        <v>0</v>
      </c>
      <c r="U222">
        <f t="shared" si="18"/>
        <v>1</v>
      </c>
      <c r="V222">
        <f t="shared" si="19"/>
        <v>0</v>
      </c>
      <c r="W222">
        <f t="shared" si="20"/>
        <v>1</v>
      </c>
      <c r="X222">
        <f t="shared" si="21"/>
        <v>1</v>
      </c>
    </row>
    <row r="223" spans="1:24">
      <c r="A223" t="s">
        <v>120</v>
      </c>
      <c r="B223">
        <v>4</v>
      </c>
      <c r="C223">
        <v>1</v>
      </c>
      <c r="D223">
        <v>5.7048748353096199</v>
      </c>
      <c r="E223">
        <v>6.9433465085638968</v>
      </c>
      <c r="F223">
        <v>8.2213438735177835</v>
      </c>
      <c r="G223">
        <v>92.635046113306984</v>
      </c>
      <c r="H223">
        <v>3.47826086956522</v>
      </c>
      <c r="I223">
        <v>0</v>
      </c>
      <c r="J223">
        <v>0</v>
      </c>
      <c r="K223">
        <v>0</v>
      </c>
      <c r="L223">
        <v>1</v>
      </c>
      <c r="M223">
        <v>0</v>
      </c>
      <c r="N223">
        <v>25</v>
      </c>
      <c r="O223">
        <v>29000</v>
      </c>
      <c r="P223">
        <v>4</v>
      </c>
      <c r="Q223">
        <v>3</v>
      </c>
      <c r="R223">
        <v>4</v>
      </c>
      <c r="S223">
        <v>4</v>
      </c>
      <c r="T223" s="123">
        <f t="shared" si="17"/>
        <v>0</v>
      </c>
      <c r="U223">
        <f t="shared" si="18"/>
        <v>1</v>
      </c>
      <c r="V223">
        <f t="shared" si="19"/>
        <v>0</v>
      </c>
      <c r="W223">
        <f t="shared" si="20"/>
        <v>1</v>
      </c>
      <c r="X223">
        <f t="shared" si="21"/>
        <v>1</v>
      </c>
    </row>
    <row r="224" spans="1:24">
      <c r="A224" t="s">
        <v>120</v>
      </c>
      <c r="B224">
        <v>5</v>
      </c>
      <c r="C224">
        <v>1</v>
      </c>
      <c r="D224">
        <v>4.4268774703557332</v>
      </c>
      <c r="E224">
        <v>2.1080368906455869</v>
      </c>
      <c r="F224">
        <v>3.8998682476943318</v>
      </c>
      <c r="G224">
        <v>82.819499341238469</v>
      </c>
      <c r="H224">
        <v>4.0447957839262196</v>
      </c>
      <c r="I224">
        <v>0</v>
      </c>
      <c r="J224">
        <v>0</v>
      </c>
      <c r="K224">
        <v>0</v>
      </c>
      <c r="L224">
        <v>1</v>
      </c>
      <c r="M224">
        <v>0</v>
      </c>
      <c r="N224">
        <v>25</v>
      </c>
      <c r="O224">
        <v>29000</v>
      </c>
      <c r="P224">
        <v>4</v>
      </c>
      <c r="Q224">
        <v>3</v>
      </c>
      <c r="R224">
        <v>4</v>
      </c>
      <c r="S224">
        <v>4</v>
      </c>
      <c r="T224" s="123">
        <f t="shared" si="17"/>
        <v>0</v>
      </c>
      <c r="U224">
        <f t="shared" si="18"/>
        <v>1</v>
      </c>
      <c r="V224">
        <f t="shared" si="19"/>
        <v>0</v>
      </c>
      <c r="W224">
        <f t="shared" si="20"/>
        <v>1</v>
      </c>
      <c r="X224">
        <f t="shared" si="21"/>
        <v>1</v>
      </c>
    </row>
    <row r="225" spans="1:24" hidden="1">
      <c r="A225" t="s">
        <v>120</v>
      </c>
      <c r="B225">
        <v>6</v>
      </c>
      <c r="C225">
        <v>1</v>
      </c>
      <c r="D225">
        <v>11.48880105401844</v>
      </c>
      <c r="E225">
        <v>6.2187088274044786</v>
      </c>
      <c r="F225">
        <v>4.2160737812911737</v>
      </c>
      <c r="G225">
        <v>7.5494071146245068</v>
      </c>
      <c r="H225">
        <v>8.0105401844532302</v>
      </c>
      <c r="I225">
        <v>0</v>
      </c>
      <c r="J225">
        <v>0</v>
      </c>
      <c r="K225">
        <v>0</v>
      </c>
      <c r="L225">
        <v>1</v>
      </c>
      <c r="M225">
        <v>0</v>
      </c>
      <c r="N225">
        <v>25</v>
      </c>
      <c r="O225">
        <v>29000</v>
      </c>
      <c r="P225">
        <v>4</v>
      </c>
      <c r="Q225">
        <v>3</v>
      </c>
      <c r="R225">
        <v>4</v>
      </c>
      <c r="S225">
        <v>4</v>
      </c>
      <c r="T225" s="123">
        <f t="shared" si="17"/>
        <v>1</v>
      </c>
      <c r="U225">
        <f t="shared" si="18"/>
        <v>1</v>
      </c>
      <c r="V225">
        <f t="shared" si="19"/>
        <v>0</v>
      </c>
      <c r="W225">
        <f t="shared" si="20"/>
        <v>1</v>
      </c>
      <c r="X225">
        <f t="shared" si="21"/>
        <v>1</v>
      </c>
    </row>
    <row r="226" spans="1:24">
      <c r="A226" t="s">
        <v>120</v>
      </c>
      <c r="B226">
        <v>7</v>
      </c>
      <c r="C226">
        <v>1</v>
      </c>
      <c r="D226">
        <v>4.7562582345191062</v>
      </c>
      <c r="E226">
        <v>0</v>
      </c>
      <c r="F226">
        <v>1.1594202898550729</v>
      </c>
      <c r="G226">
        <v>97.891963109354421</v>
      </c>
      <c r="H226">
        <v>2.1080368906455869</v>
      </c>
      <c r="I226">
        <v>0</v>
      </c>
      <c r="J226">
        <v>1</v>
      </c>
      <c r="K226">
        <v>0</v>
      </c>
      <c r="L226">
        <v>1</v>
      </c>
      <c r="M226">
        <v>0</v>
      </c>
      <c r="N226">
        <v>25</v>
      </c>
      <c r="O226">
        <v>29000</v>
      </c>
      <c r="P226">
        <v>4</v>
      </c>
      <c r="Q226">
        <v>3</v>
      </c>
      <c r="R226">
        <v>4</v>
      </c>
      <c r="S226">
        <v>4</v>
      </c>
      <c r="T226" s="123">
        <f t="shared" si="17"/>
        <v>0</v>
      </c>
      <c r="U226">
        <f t="shared" si="18"/>
        <v>1</v>
      </c>
      <c r="V226">
        <f t="shared" si="19"/>
        <v>0</v>
      </c>
      <c r="W226">
        <f t="shared" si="20"/>
        <v>1</v>
      </c>
      <c r="X226">
        <f t="shared" si="21"/>
        <v>1</v>
      </c>
    </row>
    <row r="227" spans="1:24">
      <c r="A227" t="s">
        <v>121</v>
      </c>
      <c r="B227">
        <v>1</v>
      </c>
      <c r="C227">
        <v>1</v>
      </c>
      <c r="D227">
        <v>6.7298797409805724</v>
      </c>
      <c r="E227">
        <v>7.6549491211840914</v>
      </c>
      <c r="F227">
        <v>8.009559050262105</v>
      </c>
      <c r="G227">
        <v>90.857230958988595</v>
      </c>
      <c r="H227">
        <v>0</v>
      </c>
      <c r="I227">
        <v>1</v>
      </c>
      <c r="J227">
        <v>0</v>
      </c>
      <c r="K227">
        <v>0</v>
      </c>
      <c r="L227">
        <v>1</v>
      </c>
      <c r="M227">
        <v>1</v>
      </c>
      <c r="N227">
        <v>62</v>
      </c>
      <c r="O227">
        <v>19000</v>
      </c>
      <c r="P227">
        <v>2</v>
      </c>
      <c r="Q227">
        <v>1</v>
      </c>
      <c r="R227">
        <v>3</v>
      </c>
      <c r="S227">
        <v>3</v>
      </c>
      <c r="T227" s="123">
        <f t="shared" si="17"/>
        <v>0</v>
      </c>
      <c r="U227">
        <f t="shared" si="18"/>
        <v>0</v>
      </c>
      <c r="V227">
        <f t="shared" si="19"/>
        <v>0</v>
      </c>
      <c r="W227">
        <f t="shared" si="20"/>
        <v>0</v>
      </c>
      <c r="X227">
        <f t="shared" si="21"/>
        <v>0</v>
      </c>
    </row>
    <row r="228" spans="1:24">
      <c r="A228" t="s">
        <v>121</v>
      </c>
      <c r="B228">
        <v>2</v>
      </c>
      <c r="C228">
        <v>1</v>
      </c>
      <c r="D228">
        <v>6.8455134135060103</v>
      </c>
      <c r="E228">
        <v>7.4159728646315148</v>
      </c>
      <c r="F228">
        <v>9.1504779525131035</v>
      </c>
      <c r="G228">
        <v>81.46006783842121</v>
      </c>
      <c r="H228">
        <v>89.970706136293558</v>
      </c>
      <c r="I228">
        <v>0</v>
      </c>
      <c r="J228">
        <v>0</v>
      </c>
      <c r="K228">
        <v>0</v>
      </c>
      <c r="L228">
        <v>1</v>
      </c>
      <c r="M228">
        <v>1</v>
      </c>
      <c r="N228">
        <v>62</v>
      </c>
      <c r="O228">
        <v>19000</v>
      </c>
      <c r="P228">
        <v>2</v>
      </c>
      <c r="Q228">
        <v>1</v>
      </c>
      <c r="R228">
        <v>3</v>
      </c>
      <c r="S228">
        <v>3</v>
      </c>
      <c r="T228" s="123">
        <f t="shared" si="17"/>
        <v>0</v>
      </c>
      <c r="U228">
        <f t="shared" si="18"/>
        <v>0</v>
      </c>
      <c r="V228">
        <f t="shared" si="19"/>
        <v>0</v>
      </c>
      <c r="W228">
        <f t="shared" si="20"/>
        <v>0</v>
      </c>
      <c r="X228">
        <f t="shared" si="21"/>
        <v>0</v>
      </c>
    </row>
    <row r="229" spans="1:24">
      <c r="A229" t="s">
        <v>121</v>
      </c>
      <c r="B229">
        <v>3</v>
      </c>
      <c r="C229">
        <v>1</v>
      </c>
      <c r="D229">
        <v>8.695652173913043</v>
      </c>
      <c r="E229">
        <v>10.838729571384521</v>
      </c>
      <c r="F229">
        <v>11.563367252543941</v>
      </c>
      <c r="G229">
        <v>90.194264569842744</v>
      </c>
      <c r="H229">
        <v>84.959913660191177</v>
      </c>
      <c r="I229">
        <v>0</v>
      </c>
      <c r="J229">
        <v>0</v>
      </c>
      <c r="K229">
        <v>0</v>
      </c>
      <c r="L229">
        <v>1</v>
      </c>
      <c r="M229">
        <v>1</v>
      </c>
      <c r="N229">
        <v>62</v>
      </c>
      <c r="O229">
        <v>19000</v>
      </c>
      <c r="P229">
        <v>2</v>
      </c>
      <c r="Q229">
        <v>1</v>
      </c>
      <c r="R229">
        <v>3</v>
      </c>
      <c r="S229">
        <v>3</v>
      </c>
      <c r="T229" s="123">
        <f t="shared" si="17"/>
        <v>0</v>
      </c>
      <c r="U229">
        <f t="shared" si="18"/>
        <v>0</v>
      </c>
      <c r="V229">
        <f t="shared" si="19"/>
        <v>0</v>
      </c>
      <c r="W229">
        <f t="shared" si="20"/>
        <v>0</v>
      </c>
      <c r="X229">
        <f t="shared" si="21"/>
        <v>0</v>
      </c>
    </row>
    <row r="230" spans="1:24">
      <c r="A230" t="s">
        <v>121</v>
      </c>
      <c r="B230">
        <v>4</v>
      </c>
      <c r="C230">
        <v>1</v>
      </c>
      <c r="D230">
        <v>11.10638297872341</v>
      </c>
      <c r="E230">
        <v>21.659574468085111</v>
      </c>
      <c r="F230">
        <v>14.48936170212766</v>
      </c>
      <c r="G230">
        <v>58.59574468085107</v>
      </c>
      <c r="H230">
        <v>50</v>
      </c>
      <c r="I230">
        <v>0</v>
      </c>
      <c r="J230">
        <v>0</v>
      </c>
      <c r="K230">
        <v>0</v>
      </c>
      <c r="L230">
        <v>1</v>
      </c>
      <c r="M230">
        <v>1</v>
      </c>
      <c r="N230">
        <v>62</v>
      </c>
      <c r="O230">
        <v>19000</v>
      </c>
      <c r="P230">
        <v>2</v>
      </c>
      <c r="Q230">
        <v>1</v>
      </c>
      <c r="R230">
        <v>3</v>
      </c>
      <c r="S230">
        <v>3</v>
      </c>
      <c r="T230" s="123">
        <f t="shared" si="17"/>
        <v>0</v>
      </c>
      <c r="U230">
        <f t="shared" si="18"/>
        <v>0</v>
      </c>
      <c r="V230">
        <f t="shared" si="19"/>
        <v>0</v>
      </c>
      <c r="W230">
        <f t="shared" si="20"/>
        <v>0</v>
      </c>
      <c r="X230">
        <f t="shared" si="21"/>
        <v>0</v>
      </c>
    </row>
    <row r="231" spans="1:24">
      <c r="A231" t="s">
        <v>121</v>
      </c>
      <c r="B231">
        <v>5</v>
      </c>
      <c r="C231">
        <v>1</v>
      </c>
      <c r="D231">
        <v>13.414893617021271</v>
      </c>
      <c r="E231">
        <v>100</v>
      </c>
      <c r="F231">
        <v>9.4255319148936145</v>
      </c>
      <c r="G231">
        <v>86.585106382978722</v>
      </c>
      <c r="H231">
        <v>88.563829787234056</v>
      </c>
      <c r="I231">
        <v>0</v>
      </c>
      <c r="J231">
        <v>0</v>
      </c>
      <c r="K231">
        <v>0</v>
      </c>
      <c r="L231">
        <v>1</v>
      </c>
      <c r="M231">
        <v>1</v>
      </c>
      <c r="N231">
        <v>62</v>
      </c>
      <c r="O231">
        <v>19000</v>
      </c>
      <c r="P231">
        <v>2</v>
      </c>
      <c r="Q231">
        <v>1</v>
      </c>
      <c r="R231">
        <v>3</v>
      </c>
      <c r="S231">
        <v>3</v>
      </c>
      <c r="T231" s="123">
        <f t="shared" si="17"/>
        <v>0</v>
      </c>
      <c r="U231">
        <f t="shared" si="18"/>
        <v>0</v>
      </c>
      <c r="V231">
        <f t="shared" si="19"/>
        <v>0</v>
      </c>
      <c r="W231">
        <f t="shared" si="20"/>
        <v>0</v>
      </c>
      <c r="X231">
        <f t="shared" si="21"/>
        <v>0</v>
      </c>
    </row>
    <row r="232" spans="1:24">
      <c r="A232" t="s">
        <v>121</v>
      </c>
      <c r="B232">
        <v>6</v>
      </c>
      <c r="C232">
        <v>1</v>
      </c>
      <c r="D232">
        <v>12.787234042553189</v>
      </c>
      <c r="E232">
        <v>8.4787234042553177</v>
      </c>
      <c r="F232">
        <v>9.7446808510638299</v>
      </c>
      <c r="G232">
        <v>86.851063829787236</v>
      </c>
      <c r="H232">
        <v>87.202127659574472</v>
      </c>
      <c r="I232">
        <v>0</v>
      </c>
      <c r="J232">
        <v>0</v>
      </c>
      <c r="K232">
        <v>0</v>
      </c>
      <c r="L232">
        <v>1</v>
      </c>
      <c r="M232">
        <v>1</v>
      </c>
      <c r="N232">
        <v>62</v>
      </c>
      <c r="O232">
        <v>19000</v>
      </c>
      <c r="P232">
        <v>2</v>
      </c>
      <c r="Q232">
        <v>1</v>
      </c>
      <c r="R232">
        <v>3</v>
      </c>
      <c r="S232">
        <v>3</v>
      </c>
      <c r="T232" s="123">
        <f t="shared" si="17"/>
        <v>0</v>
      </c>
      <c r="U232">
        <f t="shared" si="18"/>
        <v>0</v>
      </c>
      <c r="V232">
        <f t="shared" si="19"/>
        <v>0</v>
      </c>
      <c r="W232">
        <f t="shared" si="20"/>
        <v>0</v>
      </c>
      <c r="X232">
        <f t="shared" si="21"/>
        <v>0</v>
      </c>
    </row>
    <row r="233" spans="1:24">
      <c r="A233" t="s">
        <v>121</v>
      </c>
      <c r="B233">
        <v>7</v>
      </c>
      <c r="C233">
        <v>1</v>
      </c>
      <c r="D233">
        <v>12.39361702127659</v>
      </c>
      <c r="E233">
        <v>10.404255319148939</v>
      </c>
      <c r="F233">
        <v>8.297872340425533</v>
      </c>
      <c r="G233">
        <v>85.308510638297875</v>
      </c>
      <c r="H233">
        <v>13.287234042553189</v>
      </c>
      <c r="I233">
        <v>0</v>
      </c>
      <c r="J233">
        <v>1</v>
      </c>
      <c r="K233">
        <v>0</v>
      </c>
      <c r="L233">
        <v>1</v>
      </c>
      <c r="M233">
        <v>1</v>
      </c>
      <c r="N233">
        <v>62</v>
      </c>
      <c r="O233">
        <v>19000</v>
      </c>
      <c r="P233">
        <v>2</v>
      </c>
      <c r="Q233">
        <v>1</v>
      </c>
      <c r="R233">
        <v>3</v>
      </c>
      <c r="S233">
        <v>3</v>
      </c>
      <c r="T233" s="123">
        <f t="shared" si="17"/>
        <v>0</v>
      </c>
      <c r="U233">
        <f t="shared" si="18"/>
        <v>0</v>
      </c>
      <c r="V233">
        <f t="shared" si="19"/>
        <v>0</v>
      </c>
      <c r="W233">
        <f t="shared" si="20"/>
        <v>0</v>
      </c>
      <c r="X233">
        <f t="shared" si="21"/>
        <v>0</v>
      </c>
    </row>
    <row r="234" spans="1:24">
      <c r="A234" t="s">
        <v>122</v>
      </c>
      <c r="B234">
        <v>1</v>
      </c>
      <c r="C234">
        <v>1</v>
      </c>
      <c r="D234">
        <v>38.77499367248798</v>
      </c>
      <c r="E234">
        <v>80.005062009617816</v>
      </c>
      <c r="F234">
        <v>87.813211845102515</v>
      </c>
      <c r="G234">
        <v>50</v>
      </c>
      <c r="H234">
        <v>50</v>
      </c>
      <c r="I234">
        <v>1</v>
      </c>
      <c r="J234">
        <v>0</v>
      </c>
      <c r="K234">
        <v>0</v>
      </c>
      <c r="L234">
        <v>1</v>
      </c>
      <c r="M234">
        <v>0</v>
      </c>
      <c r="N234">
        <v>62</v>
      </c>
      <c r="O234">
        <v>15000</v>
      </c>
      <c r="P234">
        <v>2</v>
      </c>
      <c r="Q234">
        <v>2</v>
      </c>
      <c r="R234">
        <v>3</v>
      </c>
      <c r="S234">
        <v>3</v>
      </c>
      <c r="T234" s="123">
        <f t="shared" si="17"/>
        <v>0</v>
      </c>
      <c r="U234">
        <f t="shared" si="18"/>
        <v>0</v>
      </c>
      <c r="V234">
        <f t="shared" si="19"/>
        <v>0</v>
      </c>
      <c r="W234">
        <f t="shared" si="20"/>
        <v>0</v>
      </c>
      <c r="X234">
        <f t="shared" si="21"/>
        <v>0</v>
      </c>
    </row>
    <row r="235" spans="1:24">
      <c r="A235" t="s">
        <v>122</v>
      </c>
      <c r="B235">
        <v>2</v>
      </c>
      <c r="C235">
        <v>1</v>
      </c>
      <c r="D235">
        <v>17.10959250822577</v>
      </c>
      <c r="E235">
        <v>90.951657808149832</v>
      </c>
      <c r="F235">
        <v>75.09491268033409</v>
      </c>
      <c r="G235">
        <v>9.3267527208301679</v>
      </c>
      <c r="H235">
        <v>79.195140470766901</v>
      </c>
      <c r="I235">
        <v>0</v>
      </c>
      <c r="J235">
        <v>0</v>
      </c>
      <c r="K235">
        <v>0</v>
      </c>
      <c r="L235">
        <v>1</v>
      </c>
      <c r="M235">
        <v>0</v>
      </c>
      <c r="N235">
        <v>62</v>
      </c>
      <c r="O235">
        <v>15000</v>
      </c>
      <c r="P235">
        <v>2</v>
      </c>
      <c r="Q235">
        <v>2</v>
      </c>
      <c r="R235">
        <v>3</v>
      </c>
      <c r="S235">
        <v>3</v>
      </c>
      <c r="T235" s="123">
        <f t="shared" si="17"/>
        <v>0</v>
      </c>
      <c r="U235">
        <f t="shared" si="18"/>
        <v>0</v>
      </c>
      <c r="V235">
        <f t="shared" si="19"/>
        <v>0</v>
      </c>
      <c r="W235">
        <f t="shared" si="20"/>
        <v>0</v>
      </c>
      <c r="X235">
        <f t="shared" si="21"/>
        <v>0</v>
      </c>
    </row>
    <row r="236" spans="1:24">
      <c r="A236" t="s">
        <v>122</v>
      </c>
      <c r="B236">
        <v>3</v>
      </c>
      <c r="C236">
        <v>1</v>
      </c>
      <c r="D236">
        <v>3.1131359149582369</v>
      </c>
      <c r="E236">
        <v>95.81118704125538</v>
      </c>
      <c r="F236">
        <v>97.582890407491774</v>
      </c>
      <c r="G236">
        <v>2.417109592508226</v>
      </c>
      <c r="H236">
        <v>92.761326246519872</v>
      </c>
      <c r="I236">
        <v>0</v>
      </c>
      <c r="J236">
        <v>0</v>
      </c>
      <c r="K236">
        <v>0</v>
      </c>
      <c r="L236">
        <v>1</v>
      </c>
      <c r="M236">
        <v>0</v>
      </c>
      <c r="N236">
        <v>62</v>
      </c>
      <c r="O236">
        <v>15000</v>
      </c>
      <c r="P236">
        <v>2</v>
      </c>
      <c r="Q236">
        <v>2</v>
      </c>
      <c r="R236">
        <v>3</v>
      </c>
      <c r="S236">
        <v>3</v>
      </c>
      <c r="T236" s="123">
        <f t="shared" si="17"/>
        <v>0</v>
      </c>
      <c r="U236">
        <f t="shared" si="18"/>
        <v>0</v>
      </c>
      <c r="V236">
        <f t="shared" si="19"/>
        <v>0</v>
      </c>
      <c r="W236">
        <f t="shared" si="20"/>
        <v>0</v>
      </c>
      <c r="X236">
        <f t="shared" si="21"/>
        <v>0</v>
      </c>
    </row>
    <row r="237" spans="1:24">
      <c r="A237" t="s">
        <v>122</v>
      </c>
      <c r="B237">
        <v>4</v>
      </c>
      <c r="C237">
        <v>1</v>
      </c>
      <c r="D237">
        <v>13.642115920020251</v>
      </c>
      <c r="E237">
        <v>88.635788407997978</v>
      </c>
      <c r="F237">
        <v>95.380916223740826</v>
      </c>
      <c r="G237">
        <v>0.46823588964818857</v>
      </c>
      <c r="H237">
        <v>83.308023285244246</v>
      </c>
      <c r="I237">
        <v>0</v>
      </c>
      <c r="J237">
        <v>0</v>
      </c>
      <c r="K237">
        <v>0</v>
      </c>
      <c r="L237">
        <v>1</v>
      </c>
      <c r="M237">
        <v>0</v>
      </c>
      <c r="N237">
        <v>62</v>
      </c>
      <c r="O237">
        <v>15000</v>
      </c>
      <c r="P237">
        <v>2</v>
      </c>
      <c r="Q237">
        <v>2</v>
      </c>
      <c r="R237">
        <v>3</v>
      </c>
      <c r="S237">
        <v>3</v>
      </c>
      <c r="T237" s="123">
        <f t="shared" si="17"/>
        <v>0</v>
      </c>
      <c r="U237">
        <f t="shared" si="18"/>
        <v>0</v>
      </c>
      <c r="V237">
        <f t="shared" si="19"/>
        <v>0</v>
      </c>
      <c r="W237">
        <f t="shared" si="20"/>
        <v>0</v>
      </c>
      <c r="X237">
        <f t="shared" si="21"/>
        <v>0</v>
      </c>
    </row>
    <row r="238" spans="1:24">
      <c r="A238" t="s">
        <v>122</v>
      </c>
      <c r="B238">
        <v>5</v>
      </c>
      <c r="C238">
        <v>1</v>
      </c>
      <c r="D238">
        <v>69.919007846114908</v>
      </c>
      <c r="E238">
        <v>0</v>
      </c>
      <c r="F238">
        <v>97.215894710199962</v>
      </c>
      <c r="G238">
        <v>84.940521386990639</v>
      </c>
      <c r="H238">
        <v>91.533788914198936</v>
      </c>
      <c r="I238">
        <v>0</v>
      </c>
      <c r="J238">
        <v>0</v>
      </c>
      <c r="K238">
        <v>1</v>
      </c>
      <c r="L238">
        <v>1</v>
      </c>
      <c r="M238">
        <v>0</v>
      </c>
      <c r="N238">
        <v>62</v>
      </c>
      <c r="O238">
        <v>15000</v>
      </c>
      <c r="P238">
        <v>2</v>
      </c>
      <c r="Q238">
        <v>2</v>
      </c>
      <c r="R238">
        <v>3</v>
      </c>
      <c r="S238">
        <v>3</v>
      </c>
      <c r="T238" s="123">
        <f t="shared" si="17"/>
        <v>0</v>
      </c>
      <c r="U238">
        <f t="shared" si="18"/>
        <v>0</v>
      </c>
      <c r="V238">
        <f t="shared" si="19"/>
        <v>0</v>
      </c>
      <c r="W238">
        <f t="shared" si="20"/>
        <v>0</v>
      </c>
      <c r="X238">
        <f t="shared" si="21"/>
        <v>0</v>
      </c>
    </row>
    <row r="239" spans="1:24">
      <c r="A239" t="s">
        <v>122</v>
      </c>
      <c r="B239">
        <v>6</v>
      </c>
      <c r="C239">
        <v>1</v>
      </c>
      <c r="D239">
        <v>1.278157428499116</v>
      </c>
      <c r="E239">
        <v>97.00075930144267</v>
      </c>
      <c r="F239">
        <v>80.346747658820547</v>
      </c>
      <c r="G239">
        <v>3.4168564920273372</v>
      </c>
      <c r="H239">
        <v>87.762591748924322</v>
      </c>
      <c r="I239">
        <v>0</v>
      </c>
      <c r="J239">
        <v>0</v>
      </c>
      <c r="K239">
        <v>0</v>
      </c>
      <c r="L239">
        <v>1</v>
      </c>
      <c r="M239">
        <v>0</v>
      </c>
      <c r="N239">
        <v>62</v>
      </c>
      <c r="O239">
        <v>15000</v>
      </c>
      <c r="P239">
        <v>2</v>
      </c>
      <c r="Q239">
        <v>2</v>
      </c>
      <c r="R239">
        <v>3</v>
      </c>
      <c r="S239">
        <v>3</v>
      </c>
      <c r="T239" s="123">
        <f t="shared" si="17"/>
        <v>0</v>
      </c>
      <c r="U239">
        <f t="shared" si="18"/>
        <v>0</v>
      </c>
      <c r="V239">
        <f t="shared" si="19"/>
        <v>0</v>
      </c>
      <c r="W239">
        <f t="shared" si="20"/>
        <v>0</v>
      </c>
      <c r="X239">
        <f t="shared" si="21"/>
        <v>0</v>
      </c>
    </row>
    <row r="240" spans="1:24">
      <c r="A240" t="s">
        <v>122</v>
      </c>
      <c r="B240">
        <v>7</v>
      </c>
      <c r="C240">
        <v>1</v>
      </c>
      <c r="D240">
        <v>14.072386737534799</v>
      </c>
      <c r="E240">
        <v>94.608959757023541</v>
      </c>
      <c r="F240">
        <v>93.216907112123522</v>
      </c>
      <c r="G240">
        <v>1.252847380410022</v>
      </c>
      <c r="H240">
        <v>88.724373576309802</v>
      </c>
      <c r="I240">
        <v>0</v>
      </c>
      <c r="J240">
        <v>1</v>
      </c>
      <c r="K240">
        <v>0</v>
      </c>
      <c r="L240">
        <v>1</v>
      </c>
      <c r="M240">
        <v>0</v>
      </c>
      <c r="N240">
        <v>62</v>
      </c>
      <c r="O240">
        <v>15000</v>
      </c>
      <c r="P240">
        <v>2</v>
      </c>
      <c r="Q240">
        <v>2</v>
      </c>
      <c r="R240">
        <v>3</v>
      </c>
      <c r="S240">
        <v>3</v>
      </c>
      <c r="T240" s="123">
        <f t="shared" si="17"/>
        <v>0</v>
      </c>
      <c r="U240">
        <f t="shared" si="18"/>
        <v>0</v>
      </c>
      <c r="V240">
        <f t="shared" si="19"/>
        <v>0</v>
      </c>
      <c r="W240">
        <f t="shared" si="20"/>
        <v>0</v>
      </c>
      <c r="X240">
        <f t="shared" si="21"/>
        <v>0</v>
      </c>
    </row>
    <row r="241" spans="1:24">
      <c r="A241" t="s">
        <v>123</v>
      </c>
      <c r="B241">
        <v>1</v>
      </c>
      <c r="C241">
        <v>1</v>
      </c>
      <c r="D241">
        <v>15.254440710513681</v>
      </c>
      <c r="E241">
        <v>82.993278924627944</v>
      </c>
      <c r="F241">
        <v>92.210753720595292</v>
      </c>
      <c r="G241">
        <v>8.4253480556889073</v>
      </c>
      <c r="H241">
        <v>9.6495439270283256</v>
      </c>
      <c r="I241">
        <v>1</v>
      </c>
      <c r="J241">
        <v>0</v>
      </c>
      <c r="K241">
        <v>0</v>
      </c>
      <c r="L241">
        <v>1</v>
      </c>
      <c r="M241">
        <v>1</v>
      </c>
      <c r="N241">
        <v>47</v>
      </c>
      <c r="O241">
        <v>47000</v>
      </c>
      <c r="P241">
        <v>1</v>
      </c>
      <c r="Q241">
        <v>1</v>
      </c>
      <c r="R241">
        <v>3</v>
      </c>
      <c r="S241">
        <v>5</v>
      </c>
      <c r="T241" s="123">
        <f t="shared" si="17"/>
        <v>0</v>
      </c>
      <c r="U241">
        <f t="shared" si="18"/>
        <v>0</v>
      </c>
      <c r="V241">
        <f t="shared" si="19"/>
        <v>0</v>
      </c>
      <c r="W241">
        <f t="shared" si="20"/>
        <v>0</v>
      </c>
      <c r="X241">
        <f t="shared" si="21"/>
        <v>1</v>
      </c>
    </row>
    <row r="242" spans="1:24" hidden="1">
      <c r="A242" t="s">
        <v>123</v>
      </c>
      <c r="B242">
        <v>2</v>
      </c>
      <c r="C242">
        <v>1</v>
      </c>
      <c r="D242">
        <v>4.7647623619779136</v>
      </c>
      <c r="E242">
        <v>4.8727796447431579</v>
      </c>
      <c r="F242">
        <v>9.4335093614978387</v>
      </c>
      <c r="G242">
        <v>5.7969275084013452</v>
      </c>
      <c r="H242">
        <v>1.860297647623621</v>
      </c>
      <c r="I242">
        <v>0</v>
      </c>
      <c r="J242">
        <v>0</v>
      </c>
      <c r="K242">
        <v>0</v>
      </c>
      <c r="L242">
        <v>1</v>
      </c>
      <c r="M242">
        <v>1</v>
      </c>
      <c r="N242">
        <v>47</v>
      </c>
      <c r="O242">
        <v>47000</v>
      </c>
      <c r="P242">
        <v>1</v>
      </c>
      <c r="Q242">
        <v>1</v>
      </c>
      <c r="R242">
        <v>3</v>
      </c>
      <c r="S242">
        <v>5</v>
      </c>
      <c r="T242" s="123">
        <f t="shared" si="17"/>
        <v>1</v>
      </c>
      <c r="U242">
        <f t="shared" si="18"/>
        <v>0</v>
      </c>
      <c r="V242">
        <f t="shared" si="19"/>
        <v>0</v>
      </c>
      <c r="W242">
        <f t="shared" si="20"/>
        <v>0</v>
      </c>
      <c r="X242">
        <f t="shared" si="21"/>
        <v>1</v>
      </c>
    </row>
    <row r="243" spans="1:24">
      <c r="A243" t="s">
        <v>123</v>
      </c>
      <c r="B243">
        <v>3</v>
      </c>
      <c r="C243">
        <v>1</v>
      </c>
      <c r="D243">
        <v>2.412385981757081</v>
      </c>
      <c r="E243">
        <v>2.9404704752760469</v>
      </c>
      <c r="F243">
        <v>5.0768122899663934</v>
      </c>
      <c r="G243">
        <v>88.226116178588569</v>
      </c>
      <c r="H243">
        <v>7.0691310609697577</v>
      </c>
      <c r="I243">
        <v>0</v>
      </c>
      <c r="J243">
        <v>0</v>
      </c>
      <c r="K243">
        <v>0</v>
      </c>
      <c r="L243">
        <v>1</v>
      </c>
      <c r="M243">
        <v>1</v>
      </c>
      <c r="N243">
        <v>47</v>
      </c>
      <c r="O243">
        <v>47000</v>
      </c>
      <c r="P243">
        <v>1</v>
      </c>
      <c r="Q243">
        <v>1</v>
      </c>
      <c r="R243">
        <v>3</v>
      </c>
      <c r="S243">
        <v>5</v>
      </c>
      <c r="T243" s="123">
        <f t="shared" si="17"/>
        <v>0</v>
      </c>
      <c r="U243">
        <f t="shared" si="18"/>
        <v>0</v>
      </c>
      <c r="V243">
        <f t="shared" si="19"/>
        <v>0</v>
      </c>
      <c r="W243">
        <f t="shared" si="20"/>
        <v>0</v>
      </c>
      <c r="X243">
        <f t="shared" si="21"/>
        <v>1</v>
      </c>
    </row>
    <row r="244" spans="1:24">
      <c r="A244" t="s">
        <v>123</v>
      </c>
      <c r="B244">
        <v>4</v>
      </c>
      <c r="C244">
        <v>1</v>
      </c>
      <c r="D244">
        <v>5.2208353336533841</v>
      </c>
      <c r="E244">
        <v>9.9855976956312986</v>
      </c>
      <c r="F244">
        <v>6.3730196831493053</v>
      </c>
      <c r="G244">
        <v>93.362938070091218</v>
      </c>
      <c r="H244">
        <v>93.987037926068169</v>
      </c>
      <c r="I244">
        <v>0</v>
      </c>
      <c r="J244">
        <v>0</v>
      </c>
      <c r="K244">
        <v>0</v>
      </c>
      <c r="L244">
        <v>1</v>
      </c>
      <c r="M244">
        <v>1</v>
      </c>
      <c r="N244">
        <v>47</v>
      </c>
      <c r="O244">
        <v>47000</v>
      </c>
      <c r="P244">
        <v>1</v>
      </c>
      <c r="Q244">
        <v>1</v>
      </c>
      <c r="R244">
        <v>3</v>
      </c>
      <c r="S244">
        <v>5</v>
      </c>
      <c r="T244" s="123">
        <f t="shared" si="17"/>
        <v>0</v>
      </c>
      <c r="U244">
        <f t="shared" si="18"/>
        <v>0</v>
      </c>
      <c r="V244">
        <f t="shared" si="19"/>
        <v>0</v>
      </c>
      <c r="W244">
        <f t="shared" si="20"/>
        <v>0</v>
      </c>
      <c r="X244">
        <f t="shared" si="21"/>
        <v>1</v>
      </c>
    </row>
    <row r="245" spans="1:24">
      <c r="A245" t="s">
        <v>123</v>
      </c>
      <c r="B245">
        <v>5</v>
      </c>
      <c r="C245">
        <v>1</v>
      </c>
      <c r="D245">
        <v>1.776284205472878</v>
      </c>
      <c r="E245">
        <v>11.16178588574172</v>
      </c>
      <c r="F245">
        <v>14.65434469515122</v>
      </c>
      <c r="G245">
        <v>94.551128180508883</v>
      </c>
      <c r="H245">
        <v>93.00288046087374</v>
      </c>
      <c r="I245">
        <v>0</v>
      </c>
      <c r="J245">
        <v>0</v>
      </c>
      <c r="K245">
        <v>0</v>
      </c>
      <c r="L245">
        <v>1</v>
      </c>
      <c r="M245">
        <v>1</v>
      </c>
      <c r="N245">
        <v>47</v>
      </c>
      <c r="O245">
        <v>47000</v>
      </c>
      <c r="P245">
        <v>1</v>
      </c>
      <c r="Q245">
        <v>1</v>
      </c>
      <c r="R245">
        <v>3</v>
      </c>
      <c r="S245">
        <v>5</v>
      </c>
      <c r="T245" s="123">
        <f t="shared" si="17"/>
        <v>0</v>
      </c>
      <c r="U245">
        <f t="shared" si="18"/>
        <v>0</v>
      </c>
      <c r="V245">
        <f t="shared" si="19"/>
        <v>0</v>
      </c>
      <c r="W245">
        <f t="shared" si="20"/>
        <v>0</v>
      </c>
      <c r="X245">
        <f t="shared" si="21"/>
        <v>1</v>
      </c>
    </row>
    <row r="246" spans="1:24">
      <c r="A246" t="s">
        <v>123</v>
      </c>
      <c r="B246">
        <v>6</v>
      </c>
      <c r="C246">
        <v>1</v>
      </c>
      <c r="D246">
        <v>0</v>
      </c>
      <c r="E246">
        <v>13.77820451272204</v>
      </c>
      <c r="F246">
        <v>6.6850696111377843</v>
      </c>
      <c r="G246">
        <v>93.37493999039846</v>
      </c>
      <c r="H246">
        <v>100</v>
      </c>
      <c r="I246">
        <v>0</v>
      </c>
      <c r="J246">
        <v>0</v>
      </c>
      <c r="K246">
        <v>0</v>
      </c>
      <c r="L246">
        <v>1</v>
      </c>
      <c r="M246">
        <v>1</v>
      </c>
      <c r="N246">
        <v>47</v>
      </c>
      <c r="O246">
        <v>47000</v>
      </c>
      <c r="P246">
        <v>1</v>
      </c>
      <c r="Q246">
        <v>1</v>
      </c>
      <c r="R246">
        <v>3</v>
      </c>
      <c r="S246">
        <v>5</v>
      </c>
      <c r="T246" s="123">
        <f t="shared" si="17"/>
        <v>0</v>
      </c>
      <c r="U246">
        <f t="shared" si="18"/>
        <v>0</v>
      </c>
      <c r="V246">
        <f t="shared" si="19"/>
        <v>0</v>
      </c>
      <c r="W246">
        <f t="shared" si="20"/>
        <v>0</v>
      </c>
      <c r="X246">
        <f t="shared" si="21"/>
        <v>1</v>
      </c>
    </row>
    <row r="247" spans="1:24">
      <c r="A247" t="s">
        <v>123</v>
      </c>
      <c r="B247">
        <v>7</v>
      </c>
      <c r="C247">
        <v>1</v>
      </c>
      <c r="D247">
        <v>50</v>
      </c>
      <c r="E247">
        <v>4.3807009121459402</v>
      </c>
      <c r="F247">
        <v>8.0292846855496869</v>
      </c>
      <c r="G247">
        <v>89.966394623139706</v>
      </c>
      <c r="H247">
        <v>82.717234757561215</v>
      </c>
      <c r="I247">
        <v>0</v>
      </c>
      <c r="J247">
        <v>1</v>
      </c>
      <c r="K247">
        <v>0</v>
      </c>
      <c r="L247">
        <v>1</v>
      </c>
      <c r="M247">
        <v>1</v>
      </c>
      <c r="N247">
        <v>47</v>
      </c>
      <c r="O247">
        <v>47000</v>
      </c>
      <c r="P247">
        <v>1</v>
      </c>
      <c r="Q247">
        <v>1</v>
      </c>
      <c r="R247">
        <v>3</v>
      </c>
      <c r="S247">
        <v>5</v>
      </c>
      <c r="T247" s="123">
        <f t="shared" si="17"/>
        <v>0</v>
      </c>
      <c r="U247">
        <f t="shared" si="18"/>
        <v>0</v>
      </c>
      <c r="V247">
        <f t="shared" si="19"/>
        <v>0</v>
      </c>
      <c r="W247">
        <f t="shared" si="20"/>
        <v>0</v>
      </c>
      <c r="X247">
        <f t="shared" si="21"/>
        <v>1</v>
      </c>
    </row>
    <row r="248" spans="1:24">
      <c r="A248" t="s">
        <v>124</v>
      </c>
      <c r="B248">
        <v>1</v>
      </c>
      <c r="C248">
        <v>1</v>
      </c>
      <c r="D248">
        <v>4.5285359801488836</v>
      </c>
      <c r="E248">
        <v>12.468982630272951</v>
      </c>
      <c r="F248">
        <v>5.4590570719603004</v>
      </c>
      <c r="G248">
        <v>72.075505140021264</v>
      </c>
      <c r="H248">
        <v>69.656150301311598</v>
      </c>
      <c r="I248">
        <v>1</v>
      </c>
      <c r="J248">
        <v>0</v>
      </c>
      <c r="K248">
        <v>0</v>
      </c>
      <c r="L248">
        <v>1</v>
      </c>
      <c r="M248">
        <v>0</v>
      </c>
      <c r="N248">
        <v>30</v>
      </c>
      <c r="O248">
        <v>75000</v>
      </c>
      <c r="P248">
        <v>4</v>
      </c>
      <c r="Q248">
        <v>4</v>
      </c>
      <c r="R248">
        <v>4</v>
      </c>
      <c r="S248">
        <v>3</v>
      </c>
      <c r="T248" s="123">
        <f t="shared" si="17"/>
        <v>0</v>
      </c>
      <c r="U248">
        <f t="shared" si="18"/>
        <v>1</v>
      </c>
      <c r="V248">
        <f t="shared" si="19"/>
        <v>1</v>
      </c>
      <c r="W248">
        <f t="shared" si="20"/>
        <v>1</v>
      </c>
      <c r="X248">
        <f t="shared" si="21"/>
        <v>0</v>
      </c>
    </row>
    <row r="249" spans="1:24" hidden="1">
      <c r="A249" t="s">
        <v>124</v>
      </c>
      <c r="B249">
        <v>2</v>
      </c>
      <c r="C249">
        <v>1</v>
      </c>
      <c r="D249">
        <v>4.8741580999645544</v>
      </c>
      <c r="E249">
        <v>4.0411201701524293</v>
      </c>
      <c r="F249">
        <v>15.668202764976961</v>
      </c>
      <c r="G249">
        <v>10.412974122651541</v>
      </c>
      <c r="H249">
        <v>91.572137539879478</v>
      </c>
      <c r="I249">
        <v>0</v>
      </c>
      <c r="J249">
        <v>0</v>
      </c>
      <c r="K249">
        <v>0</v>
      </c>
      <c r="L249">
        <v>1</v>
      </c>
      <c r="M249">
        <v>0</v>
      </c>
      <c r="N249">
        <v>30</v>
      </c>
      <c r="O249">
        <v>75000</v>
      </c>
      <c r="P249">
        <v>4</v>
      </c>
      <c r="Q249">
        <v>4</v>
      </c>
      <c r="R249">
        <v>4</v>
      </c>
      <c r="S249">
        <v>3</v>
      </c>
      <c r="T249" s="123">
        <f t="shared" si="17"/>
        <v>1</v>
      </c>
      <c r="U249">
        <f t="shared" si="18"/>
        <v>1</v>
      </c>
      <c r="V249">
        <f t="shared" si="19"/>
        <v>1</v>
      </c>
      <c r="W249">
        <f t="shared" si="20"/>
        <v>1</v>
      </c>
      <c r="X249">
        <f t="shared" si="21"/>
        <v>0</v>
      </c>
    </row>
    <row r="250" spans="1:24" hidden="1">
      <c r="A250" t="s">
        <v>124</v>
      </c>
      <c r="B250">
        <v>3</v>
      </c>
      <c r="C250">
        <v>1</v>
      </c>
      <c r="D250">
        <v>15.01240694789082</v>
      </c>
      <c r="E250">
        <v>0</v>
      </c>
      <c r="F250">
        <v>3.385324353066288</v>
      </c>
      <c r="G250">
        <v>3.6777738390641632</v>
      </c>
      <c r="H250">
        <v>96.322226160935841</v>
      </c>
      <c r="I250">
        <v>0</v>
      </c>
      <c r="J250">
        <v>0</v>
      </c>
      <c r="K250">
        <v>0</v>
      </c>
      <c r="L250">
        <v>1</v>
      </c>
      <c r="M250">
        <v>0</v>
      </c>
      <c r="N250">
        <v>30</v>
      </c>
      <c r="O250">
        <v>75000</v>
      </c>
      <c r="P250">
        <v>4</v>
      </c>
      <c r="Q250">
        <v>4</v>
      </c>
      <c r="R250">
        <v>4</v>
      </c>
      <c r="S250">
        <v>3</v>
      </c>
      <c r="T250" s="123">
        <f t="shared" si="17"/>
        <v>1</v>
      </c>
      <c r="U250">
        <f t="shared" si="18"/>
        <v>1</v>
      </c>
      <c r="V250">
        <f t="shared" si="19"/>
        <v>1</v>
      </c>
      <c r="W250">
        <f t="shared" si="20"/>
        <v>1</v>
      </c>
      <c r="X250">
        <f t="shared" si="21"/>
        <v>0</v>
      </c>
    </row>
    <row r="251" spans="1:24" hidden="1">
      <c r="A251" t="s">
        <v>124</v>
      </c>
      <c r="B251">
        <v>4</v>
      </c>
      <c r="C251">
        <v>1</v>
      </c>
      <c r="D251">
        <v>2.738390641616451</v>
      </c>
      <c r="E251">
        <v>3.6866359447004622</v>
      </c>
      <c r="F251">
        <v>13.31974477135768</v>
      </c>
      <c r="G251">
        <v>4.7412265154200659</v>
      </c>
      <c r="H251">
        <v>3.828429634881247</v>
      </c>
      <c r="I251">
        <v>0</v>
      </c>
      <c r="J251">
        <v>0</v>
      </c>
      <c r="K251">
        <v>0</v>
      </c>
      <c r="L251">
        <v>1</v>
      </c>
      <c r="M251">
        <v>0</v>
      </c>
      <c r="N251">
        <v>30</v>
      </c>
      <c r="O251">
        <v>75000</v>
      </c>
      <c r="P251">
        <v>4</v>
      </c>
      <c r="Q251">
        <v>4</v>
      </c>
      <c r="R251">
        <v>4</v>
      </c>
      <c r="S251">
        <v>3</v>
      </c>
      <c r="T251" s="123">
        <f t="shared" si="17"/>
        <v>1</v>
      </c>
      <c r="U251">
        <f t="shared" si="18"/>
        <v>1</v>
      </c>
      <c r="V251">
        <f t="shared" si="19"/>
        <v>1</v>
      </c>
      <c r="W251">
        <f t="shared" si="20"/>
        <v>1</v>
      </c>
      <c r="X251">
        <f t="shared" si="21"/>
        <v>0</v>
      </c>
    </row>
    <row r="252" spans="1:24">
      <c r="A252" t="s">
        <v>124</v>
      </c>
      <c r="B252">
        <v>5</v>
      </c>
      <c r="C252">
        <v>1</v>
      </c>
      <c r="D252">
        <v>50</v>
      </c>
      <c r="E252">
        <v>10.79795871027604</v>
      </c>
      <c r="F252">
        <v>50</v>
      </c>
      <c r="G252">
        <v>83.42611922987706</v>
      </c>
      <c r="H252">
        <v>83.681280445372309</v>
      </c>
      <c r="I252">
        <v>0</v>
      </c>
      <c r="J252">
        <v>0</v>
      </c>
      <c r="K252">
        <v>0</v>
      </c>
      <c r="L252">
        <v>1</v>
      </c>
      <c r="M252">
        <v>0</v>
      </c>
      <c r="N252">
        <v>30</v>
      </c>
      <c r="O252">
        <v>75000</v>
      </c>
      <c r="P252">
        <v>4</v>
      </c>
      <c r="Q252">
        <v>4</v>
      </c>
      <c r="R252">
        <v>4</v>
      </c>
      <c r="S252">
        <v>3</v>
      </c>
      <c r="T252" s="123">
        <f t="shared" si="17"/>
        <v>0</v>
      </c>
      <c r="U252">
        <f t="shared" si="18"/>
        <v>1</v>
      </c>
      <c r="V252">
        <f t="shared" si="19"/>
        <v>1</v>
      </c>
      <c r="W252">
        <f t="shared" si="20"/>
        <v>1</v>
      </c>
      <c r="X252">
        <f t="shared" si="21"/>
        <v>0</v>
      </c>
    </row>
    <row r="253" spans="1:24">
      <c r="A253" t="s">
        <v>124</v>
      </c>
      <c r="B253">
        <v>6</v>
      </c>
      <c r="C253">
        <v>1</v>
      </c>
      <c r="D253">
        <v>6.9357457666434694</v>
      </c>
      <c r="E253">
        <v>3.8854094177684981</v>
      </c>
      <c r="F253">
        <v>7.6896311760612406</v>
      </c>
      <c r="G253">
        <v>44.780793319415437</v>
      </c>
      <c r="H253">
        <v>4.8248666202737152</v>
      </c>
      <c r="I253">
        <v>0</v>
      </c>
      <c r="J253">
        <v>0</v>
      </c>
      <c r="K253">
        <v>0</v>
      </c>
      <c r="L253">
        <v>1</v>
      </c>
      <c r="M253">
        <v>0</v>
      </c>
      <c r="N253">
        <v>30</v>
      </c>
      <c r="O253">
        <v>75000</v>
      </c>
      <c r="P253">
        <v>4</v>
      </c>
      <c r="Q253">
        <v>4</v>
      </c>
      <c r="R253">
        <v>4</v>
      </c>
      <c r="S253">
        <v>3</v>
      </c>
      <c r="T253" s="123">
        <f t="shared" si="17"/>
        <v>0</v>
      </c>
      <c r="U253">
        <f t="shared" si="18"/>
        <v>1</v>
      </c>
      <c r="V253">
        <f t="shared" si="19"/>
        <v>1</v>
      </c>
      <c r="W253">
        <f t="shared" si="20"/>
        <v>1</v>
      </c>
      <c r="X253">
        <f t="shared" si="21"/>
        <v>0</v>
      </c>
    </row>
    <row r="254" spans="1:24">
      <c r="A254" t="s">
        <v>124</v>
      </c>
      <c r="B254">
        <v>7</v>
      </c>
      <c r="C254">
        <v>1</v>
      </c>
      <c r="D254">
        <v>4.6392948271862693</v>
      </c>
      <c r="E254">
        <v>12.236140106703781</v>
      </c>
      <c r="F254">
        <v>30.793319415448849</v>
      </c>
      <c r="G254">
        <v>8.4203201113430772</v>
      </c>
      <c r="H254">
        <v>86.093713755509157</v>
      </c>
      <c r="I254">
        <v>0</v>
      </c>
      <c r="J254">
        <v>1</v>
      </c>
      <c r="K254">
        <v>0</v>
      </c>
      <c r="L254">
        <v>1</v>
      </c>
      <c r="M254">
        <v>0</v>
      </c>
      <c r="N254">
        <v>30</v>
      </c>
      <c r="O254">
        <v>75000</v>
      </c>
      <c r="P254">
        <v>4</v>
      </c>
      <c r="Q254">
        <v>4</v>
      </c>
      <c r="R254">
        <v>4</v>
      </c>
      <c r="S254">
        <v>3</v>
      </c>
      <c r="T254" s="123">
        <f t="shared" si="17"/>
        <v>0</v>
      </c>
      <c r="U254">
        <f t="shared" si="18"/>
        <v>1</v>
      </c>
      <c r="V254">
        <f t="shared" si="19"/>
        <v>1</v>
      </c>
      <c r="W254">
        <f t="shared" si="20"/>
        <v>1</v>
      </c>
      <c r="X254">
        <f t="shared" si="21"/>
        <v>0</v>
      </c>
    </row>
    <row r="255" spans="1:24">
      <c r="A255" t="s">
        <v>125</v>
      </c>
      <c r="B255">
        <v>1</v>
      </c>
      <c r="C255">
        <v>1</v>
      </c>
      <c r="D255">
        <v>100</v>
      </c>
      <c r="E255">
        <v>95.781091155540494</v>
      </c>
      <c r="F255">
        <v>99.898339545916642</v>
      </c>
      <c r="G255">
        <v>1.7451711284310389</v>
      </c>
      <c r="H255">
        <v>0.69467976956963939</v>
      </c>
      <c r="I255">
        <v>1</v>
      </c>
      <c r="J255">
        <v>0</v>
      </c>
      <c r="K255">
        <v>1</v>
      </c>
      <c r="L255">
        <v>1</v>
      </c>
      <c r="M255">
        <v>1</v>
      </c>
      <c r="N255">
        <v>42</v>
      </c>
      <c r="O255">
        <v>-99</v>
      </c>
      <c r="P255">
        <v>1</v>
      </c>
      <c r="Q255">
        <v>3</v>
      </c>
      <c r="R255">
        <v>4</v>
      </c>
      <c r="S255">
        <v>3</v>
      </c>
      <c r="T255" s="123">
        <f t="shared" si="17"/>
        <v>0</v>
      </c>
      <c r="U255">
        <f t="shared" si="18"/>
        <v>0</v>
      </c>
      <c r="V255">
        <f t="shared" si="19"/>
        <v>0</v>
      </c>
      <c r="W255">
        <f t="shared" si="20"/>
        <v>1</v>
      </c>
      <c r="X255">
        <f t="shared" si="21"/>
        <v>0</v>
      </c>
    </row>
    <row r="256" spans="1:24">
      <c r="A256" t="s">
        <v>125</v>
      </c>
      <c r="B256">
        <v>2</v>
      </c>
      <c r="C256">
        <v>1</v>
      </c>
      <c r="D256">
        <v>92.383937648254829</v>
      </c>
      <c r="E256">
        <v>92.917655032192471</v>
      </c>
      <c r="F256">
        <v>99.229074889867846</v>
      </c>
      <c r="G256">
        <v>3.312436462216195</v>
      </c>
      <c r="H256">
        <v>1.804473059979667</v>
      </c>
      <c r="I256">
        <v>0</v>
      </c>
      <c r="J256">
        <v>0</v>
      </c>
      <c r="K256">
        <v>1</v>
      </c>
      <c r="L256">
        <v>1</v>
      </c>
      <c r="M256">
        <v>1</v>
      </c>
      <c r="N256">
        <v>42</v>
      </c>
      <c r="O256">
        <v>-99</v>
      </c>
      <c r="P256">
        <v>1</v>
      </c>
      <c r="Q256">
        <v>3</v>
      </c>
      <c r="R256">
        <v>4</v>
      </c>
      <c r="S256">
        <v>3</v>
      </c>
      <c r="T256" s="123">
        <f t="shared" si="17"/>
        <v>0</v>
      </c>
      <c r="U256">
        <f t="shared" si="18"/>
        <v>0</v>
      </c>
      <c r="V256">
        <f t="shared" si="19"/>
        <v>0</v>
      </c>
      <c r="W256">
        <f t="shared" si="20"/>
        <v>1</v>
      </c>
      <c r="X256">
        <f t="shared" si="21"/>
        <v>0</v>
      </c>
    </row>
    <row r="257" spans="1:24" hidden="1">
      <c r="A257" t="s">
        <v>125</v>
      </c>
      <c r="B257">
        <v>3</v>
      </c>
      <c r="C257">
        <v>1</v>
      </c>
      <c r="D257">
        <v>4.4222297526262278</v>
      </c>
      <c r="E257">
        <v>4.794984750931885</v>
      </c>
      <c r="F257">
        <v>16.98576753642833</v>
      </c>
      <c r="G257">
        <v>7.7600813283632668</v>
      </c>
      <c r="H257">
        <v>2.744832260250762</v>
      </c>
      <c r="I257">
        <v>0</v>
      </c>
      <c r="J257">
        <v>0</v>
      </c>
      <c r="K257">
        <v>0</v>
      </c>
      <c r="L257">
        <v>1</v>
      </c>
      <c r="M257">
        <v>1</v>
      </c>
      <c r="N257">
        <v>42</v>
      </c>
      <c r="O257">
        <v>-99</v>
      </c>
      <c r="P257">
        <v>1</v>
      </c>
      <c r="Q257">
        <v>3</v>
      </c>
      <c r="R257">
        <v>4</v>
      </c>
      <c r="S257">
        <v>3</v>
      </c>
      <c r="T257" s="123">
        <f t="shared" si="17"/>
        <v>1</v>
      </c>
      <c r="U257">
        <f t="shared" si="18"/>
        <v>0</v>
      </c>
      <c r="V257">
        <f t="shared" si="19"/>
        <v>0</v>
      </c>
      <c r="W257">
        <f t="shared" si="20"/>
        <v>1</v>
      </c>
      <c r="X257">
        <f t="shared" si="21"/>
        <v>0</v>
      </c>
    </row>
    <row r="258" spans="1:24">
      <c r="A258" t="s">
        <v>125</v>
      </c>
      <c r="B258">
        <v>4</v>
      </c>
      <c r="C258">
        <v>1</v>
      </c>
      <c r="D258">
        <v>95.31740284817765</v>
      </c>
      <c r="E258">
        <v>92.227854211923727</v>
      </c>
      <c r="F258">
        <v>50</v>
      </c>
      <c r="G258">
        <v>16.920106203234379</v>
      </c>
      <c r="H258">
        <v>9.4255370504465361</v>
      </c>
      <c r="I258">
        <v>0</v>
      </c>
      <c r="J258">
        <v>0</v>
      </c>
      <c r="K258">
        <v>1</v>
      </c>
      <c r="L258">
        <v>1</v>
      </c>
      <c r="M258">
        <v>1</v>
      </c>
      <c r="N258">
        <v>42</v>
      </c>
      <c r="O258">
        <v>-99</v>
      </c>
      <c r="P258">
        <v>1</v>
      </c>
      <c r="Q258">
        <v>3</v>
      </c>
      <c r="R258">
        <v>4</v>
      </c>
      <c r="S258">
        <v>3</v>
      </c>
      <c r="T258" s="123">
        <f t="shared" si="17"/>
        <v>0</v>
      </c>
      <c r="U258">
        <f t="shared" si="18"/>
        <v>0</v>
      </c>
      <c r="V258">
        <f t="shared" si="19"/>
        <v>0</v>
      </c>
      <c r="W258">
        <f t="shared" si="20"/>
        <v>1</v>
      </c>
      <c r="X258">
        <f t="shared" si="21"/>
        <v>0</v>
      </c>
    </row>
    <row r="259" spans="1:24" hidden="1">
      <c r="A259" t="s">
        <v>125</v>
      </c>
      <c r="B259">
        <v>5</v>
      </c>
      <c r="C259">
        <v>1</v>
      </c>
      <c r="D259">
        <v>2.1482017861453042</v>
      </c>
      <c r="E259">
        <v>2.1482017861453042</v>
      </c>
      <c r="F259">
        <v>9.6789765870142439</v>
      </c>
      <c r="G259">
        <v>1.9188993482983361</v>
      </c>
      <c r="H259">
        <v>5.2739560704803292</v>
      </c>
      <c r="I259">
        <v>0</v>
      </c>
      <c r="J259">
        <v>0</v>
      </c>
      <c r="K259">
        <v>0</v>
      </c>
      <c r="L259">
        <v>1</v>
      </c>
      <c r="M259">
        <v>1</v>
      </c>
      <c r="N259">
        <v>42</v>
      </c>
      <c r="O259">
        <v>-99</v>
      </c>
      <c r="P259">
        <v>1</v>
      </c>
      <c r="Q259">
        <v>3</v>
      </c>
      <c r="R259">
        <v>4</v>
      </c>
      <c r="S259">
        <v>3</v>
      </c>
      <c r="T259" s="123">
        <f t="shared" si="17"/>
        <v>1</v>
      </c>
      <c r="U259">
        <f t="shared" si="18"/>
        <v>0</v>
      </c>
      <c r="V259">
        <f t="shared" si="19"/>
        <v>0</v>
      </c>
      <c r="W259">
        <f t="shared" si="20"/>
        <v>1</v>
      </c>
      <c r="X259">
        <f t="shared" si="21"/>
        <v>0</v>
      </c>
    </row>
    <row r="260" spans="1:24" hidden="1">
      <c r="A260" t="s">
        <v>125</v>
      </c>
      <c r="B260">
        <v>6</v>
      </c>
      <c r="C260">
        <v>1</v>
      </c>
      <c r="D260">
        <v>4.3326092203717126</v>
      </c>
      <c r="E260">
        <v>3.9464156408399731</v>
      </c>
      <c r="F260">
        <v>3.8377986965966668</v>
      </c>
      <c r="G260">
        <v>2.9930002413709862</v>
      </c>
      <c r="H260">
        <v>4.6584600531016154</v>
      </c>
      <c r="I260">
        <v>0</v>
      </c>
      <c r="J260">
        <v>0</v>
      </c>
      <c r="K260">
        <v>0</v>
      </c>
      <c r="L260">
        <v>1</v>
      </c>
      <c r="M260">
        <v>1</v>
      </c>
      <c r="N260">
        <v>42</v>
      </c>
      <c r="O260">
        <v>-99</v>
      </c>
      <c r="P260">
        <v>1</v>
      </c>
      <c r="Q260">
        <v>3</v>
      </c>
      <c r="R260">
        <v>4</v>
      </c>
      <c r="S260">
        <v>3</v>
      </c>
      <c r="T260" s="123">
        <f t="shared" ref="T260:T323" si="22">IF(OR(IF(AVERAGE(E260:F260)-G260&gt;(10),1,0),IF(AVERAGE(E260:F260)-G260&lt;(-10),1,0)),0,1)</f>
        <v>1</v>
      </c>
      <c r="U260">
        <f t="shared" ref="U260:U323" si="23">IF(P260&gt;3,1,0)</f>
        <v>0</v>
      </c>
      <c r="V260">
        <f t="shared" ref="V260:V323" si="24">IF(Q260&gt;3,1,0)</f>
        <v>0</v>
      </c>
      <c r="W260">
        <f t="shared" ref="W260:W323" si="25">IF(R260&gt;3,1,0)</f>
        <v>1</v>
      </c>
      <c r="X260">
        <f t="shared" ref="X260:X323" si="26">IF(S260&gt;3,1,0)</f>
        <v>0</v>
      </c>
    </row>
    <row r="261" spans="1:24" hidden="1">
      <c r="A261" t="s">
        <v>125</v>
      </c>
      <c r="B261">
        <v>7</v>
      </c>
      <c r="C261">
        <v>1</v>
      </c>
      <c r="D261">
        <v>1.3878831764421899</v>
      </c>
      <c r="E261">
        <v>10.42722664735699</v>
      </c>
      <c r="F261">
        <v>3.849867245957034</v>
      </c>
      <c r="G261">
        <v>8.7255611875452548</v>
      </c>
      <c r="H261">
        <v>2.5947381124788782</v>
      </c>
      <c r="I261">
        <v>0</v>
      </c>
      <c r="J261">
        <v>1</v>
      </c>
      <c r="K261">
        <v>0</v>
      </c>
      <c r="L261">
        <v>1</v>
      </c>
      <c r="M261">
        <v>1</v>
      </c>
      <c r="N261">
        <v>42</v>
      </c>
      <c r="O261">
        <v>-99</v>
      </c>
      <c r="P261">
        <v>1</v>
      </c>
      <c r="Q261">
        <v>3</v>
      </c>
      <c r="R261">
        <v>4</v>
      </c>
      <c r="S261">
        <v>3</v>
      </c>
      <c r="T261" s="123">
        <f t="shared" si="22"/>
        <v>1</v>
      </c>
      <c r="U261">
        <f t="shared" si="23"/>
        <v>0</v>
      </c>
      <c r="V261">
        <f t="shared" si="24"/>
        <v>0</v>
      </c>
      <c r="W261">
        <f t="shared" si="25"/>
        <v>1</v>
      </c>
      <c r="X261">
        <f t="shared" si="26"/>
        <v>0</v>
      </c>
    </row>
    <row r="262" spans="1:24">
      <c r="A262" t="s">
        <v>126</v>
      </c>
      <c r="B262">
        <v>1</v>
      </c>
      <c r="C262">
        <v>1</v>
      </c>
      <c r="D262">
        <v>87.74379966289429</v>
      </c>
      <c r="E262">
        <v>89.814591861305075</v>
      </c>
      <c r="F262">
        <v>86.828798458945343</v>
      </c>
      <c r="G262">
        <v>12.605345533349389</v>
      </c>
      <c r="H262">
        <v>9.378762340476765</v>
      </c>
      <c r="I262">
        <v>1</v>
      </c>
      <c r="J262">
        <v>0</v>
      </c>
      <c r="K262">
        <v>1</v>
      </c>
      <c r="L262">
        <v>1</v>
      </c>
      <c r="M262">
        <v>1</v>
      </c>
      <c r="N262">
        <v>41</v>
      </c>
      <c r="O262">
        <v>-99</v>
      </c>
      <c r="P262">
        <v>1</v>
      </c>
      <c r="Q262">
        <v>1</v>
      </c>
      <c r="R262">
        <v>3</v>
      </c>
      <c r="S262">
        <v>1</v>
      </c>
      <c r="T262" s="123">
        <f t="shared" si="22"/>
        <v>0</v>
      </c>
      <c r="U262">
        <f t="shared" si="23"/>
        <v>0</v>
      </c>
      <c r="V262">
        <f t="shared" si="24"/>
        <v>0</v>
      </c>
      <c r="W262">
        <f t="shared" si="25"/>
        <v>0</v>
      </c>
      <c r="X262">
        <f t="shared" si="26"/>
        <v>0</v>
      </c>
    </row>
    <row r="263" spans="1:24" hidden="1">
      <c r="A263" t="s">
        <v>126</v>
      </c>
      <c r="B263">
        <v>2</v>
      </c>
      <c r="C263">
        <v>1</v>
      </c>
      <c r="D263">
        <v>15.89212617385023</v>
      </c>
      <c r="E263">
        <v>10.606790272092461</v>
      </c>
      <c r="F263">
        <v>29.31615699494342</v>
      </c>
      <c r="G263">
        <v>11.028172405490009</v>
      </c>
      <c r="H263">
        <v>18.155550204671322</v>
      </c>
      <c r="I263">
        <v>0</v>
      </c>
      <c r="J263">
        <v>0</v>
      </c>
      <c r="K263">
        <v>0</v>
      </c>
      <c r="L263">
        <v>1</v>
      </c>
      <c r="M263">
        <v>1</v>
      </c>
      <c r="N263">
        <v>41</v>
      </c>
      <c r="O263">
        <v>-99</v>
      </c>
      <c r="P263">
        <v>1</v>
      </c>
      <c r="Q263">
        <v>1</v>
      </c>
      <c r="R263">
        <v>3</v>
      </c>
      <c r="S263">
        <v>1</v>
      </c>
      <c r="T263" s="123">
        <f t="shared" si="22"/>
        <v>1</v>
      </c>
      <c r="U263">
        <f t="shared" si="23"/>
        <v>0</v>
      </c>
      <c r="V263">
        <f t="shared" si="24"/>
        <v>0</v>
      </c>
      <c r="W263">
        <f t="shared" si="25"/>
        <v>0</v>
      </c>
      <c r="X263">
        <f t="shared" si="26"/>
        <v>0</v>
      </c>
    </row>
    <row r="264" spans="1:24" hidden="1">
      <c r="A264" t="s">
        <v>126</v>
      </c>
      <c r="B264">
        <v>3</v>
      </c>
      <c r="C264">
        <v>1</v>
      </c>
      <c r="D264">
        <v>2.2513845412954478</v>
      </c>
      <c r="E264">
        <v>1.468817722128579</v>
      </c>
      <c r="F264">
        <v>2.6005297375391261</v>
      </c>
      <c r="G264">
        <v>1.468817722128579</v>
      </c>
      <c r="H264">
        <v>7.1996147363351799</v>
      </c>
      <c r="I264">
        <v>0</v>
      </c>
      <c r="J264">
        <v>0</v>
      </c>
      <c r="K264">
        <v>0</v>
      </c>
      <c r="L264">
        <v>1</v>
      </c>
      <c r="M264">
        <v>1</v>
      </c>
      <c r="N264">
        <v>41</v>
      </c>
      <c r="O264">
        <v>-99</v>
      </c>
      <c r="P264">
        <v>1</v>
      </c>
      <c r="Q264">
        <v>1</v>
      </c>
      <c r="R264">
        <v>3</v>
      </c>
      <c r="S264">
        <v>1</v>
      </c>
      <c r="T264" s="123">
        <f t="shared" si="22"/>
        <v>1</v>
      </c>
      <c r="U264">
        <f t="shared" si="23"/>
        <v>0</v>
      </c>
      <c r="V264">
        <f t="shared" si="24"/>
        <v>0</v>
      </c>
      <c r="W264">
        <f t="shared" si="25"/>
        <v>0</v>
      </c>
      <c r="X264">
        <f t="shared" si="26"/>
        <v>0</v>
      </c>
    </row>
    <row r="265" spans="1:24">
      <c r="A265" t="s">
        <v>126</v>
      </c>
      <c r="B265">
        <v>4</v>
      </c>
      <c r="C265">
        <v>1</v>
      </c>
      <c r="D265">
        <v>19.54009150012039</v>
      </c>
      <c r="E265">
        <v>14.411268962196001</v>
      </c>
      <c r="F265">
        <v>50</v>
      </c>
      <c r="G265">
        <v>20.38285576691549</v>
      </c>
      <c r="H265">
        <v>8.4276426679508791</v>
      </c>
      <c r="I265">
        <v>0</v>
      </c>
      <c r="J265">
        <v>0</v>
      </c>
      <c r="K265">
        <v>0</v>
      </c>
      <c r="L265">
        <v>1</v>
      </c>
      <c r="M265">
        <v>1</v>
      </c>
      <c r="N265">
        <v>41</v>
      </c>
      <c r="O265">
        <v>-99</v>
      </c>
      <c r="P265">
        <v>1</v>
      </c>
      <c r="Q265">
        <v>1</v>
      </c>
      <c r="R265">
        <v>3</v>
      </c>
      <c r="S265">
        <v>1</v>
      </c>
      <c r="T265" s="123">
        <f t="shared" si="22"/>
        <v>0</v>
      </c>
      <c r="U265">
        <f t="shared" si="23"/>
        <v>0</v>
      </c>
      <c r="V265">
        <f t="shared" si="24"/>
        <v>0</v>
      </c>
      <c r="W265">
        <f t="shared" si="25"/>
        <v>0</v>
      </c>
      <c r="X265">
        <f t="shared" si="26"/>
        <v>0</v>
      </c>
    </row>
    <row r="266" spans="1:24" hidden="1">
      <c r="A266" t="s">
        <v>126</v>
      </c>
      <c r="B266">
        <v>5</v>
      </c>
      <c r="C266">
        <v>1</v>
      </c>
      <c r="D266">
        <v>0</v>
      </c>
      <c r="E266">
        <v>9.4991572357332021</v>
      </c>
      <c r="F266">
        <v>1.5410546592824479</v>
      </c>
      <c r="G266">
        <v>0.81868528774379778</v>
      </c>
      <c r="H266">
        <v>2.2513845412954478</v>
      </c>
      <c r="I266">
        <v>0</v>
      </c>
      <c r="J266">
        <v>0</v>
      </c>
      <c r="K266">
        <v>0</v>
      </c>
      <c r="L266">
        <v>1</v>
      </c>
      <c r="M266">
        <v>1</v>
      </c>
      <c r="N266">
        <v>41</v>
      </c>
      <c r="O266">
        <v>-99</v>
      </c>
      <c r="P266">
        <v>1</v>
      </c>
      <c r="Q266">
        <v>1</v>
      </c>
      <c r="R266">
        <v>3</v>
      </c>
      <c r="S266">
        <v>1</v>
      </c>
      <c r="T266" s="123">
        <f t="shared" si="22"/>
        <v>1</v>
      </c>
      <c r="U266">
        <f t="shared" si="23"/>
        <v>0</v>
      </c>
      <c r="V266">
        <f t="shared" si="24"/>
        <v>0</v>
      </c>
      <c r="W266">
        <f t="shared" si="25"/>
        <v>0</v>
      </c>
      <c r="X266">
        <f t="shared" si="26"/>
        <v>0</v>
      </c>
    </row>
    <row r="267" spans="1:24" hidden="1">
      <c r="A267" t="s">
        <v>126</v>
      </c>
      <c r="B267">
        <v>6</v>
      </c>
      <c r="C267">
        <v>1</v>
      </c>
      <c r="D267">
        <v>14.098242234529261</v>
      </c>
      <c r="E267">
        <v>8.9573802070792183</v>
      </c>
      <c r="F267">
        <v>13.92968938117024</v>
      </c>
      <c r="G267">
        <v>13.111004093426439</v>
      </c>
      <c r="H267">
        <v>7.5607994221045027</v>
      </c>
      <c r="I267">
        <v>0</v>
      </c>
      <c r="J267">
        <v>0</v>
      </c>
      <c r="K267">
        <v>0</v>
      </c>
      <c r="L267">
        <v>1</v>
      </c>
      <c r="M267">
        <v>1</v>
      </c>
      <c r="N267">
        <v>41</v>
      </c>
      <c r="O267">
        <v>-99</v>
      </c>
      <c r="P267">
        <v>1</v>
      </c>
      <c r="Q267">
        <v>1</v>
      </c>
      <c r="R267">
        <v>3</v>
      </c>
      <c r="S267">
        <v>1</v>
      </c>
      <c r="T267" s="123">
        <f t="shared" si="22"/>
        <v>1</v>
      </c>
      <c r="U267">
        <f t="shared" si="23"/>
        <v>0</v>
      </c>
      <c r="V267">
        <f t="shared" si="24"/>
        <v>0</v>
      </c>
      <c r="W267">
        <f t="shared" si="25"/>
        <v>0</v>
      </c>
      <c r="X267">
        <f t="shared" si="26"/>
        <v>0</v>
      </c>
    </row>
    <row r="268" spans="1:24" hidden="1">
      <c r="A268" t="s">
        <v>126</v>
      </c>
      <c r="B268">
        <v>7</v>
      </c>
      <c r="C268">
        <v>1</v>
      </c>
      <c r="D268">
        <v>4.2740187816036617</v>
      </c>
      <c r="E268">
        <v>13.83337346496508</v>
      </c>
      <c r="F268">
        <v>2.3958584156031799</v>
      </c>
      <c r="G268">
        <v>3.0219118709366719</v>
      </c>
      <c r="H268">
        <v>3.4673729833855029</v>
      </c>
      <c r="I268">
        <v>0</v>
      </c>
      <c r="J268">
        <v>1</v>
      </c>
      <c r="K268">
        <v>0</v>
      </c>
      <c r="L268">
        <v>1</v>
      </c>
      <c r="M268">
        <v>1</v>
      </c>
      <c r="N268">
        <v>41</v>
      </c>
      <c r="O268">
        <v>-99</v>
      </c>
      <c r="P268">
        <v>1</v>
      </c>
      <c r="Q268">
        <v>1</v>
      </c>
      <c r="R268">
        <v>3</v>
      </c>
      <c r="S268">
        <v>1</v>
      </c>
      <c r="T268" s="123">
        <f t="shared" si="22"/>
        <v>1</v>
      </c>
      <c r="U268">
        <f t="shared" si="23"/>
        <v>0</v>
      </c>
      <c r="V268">
        <f t="shared" si="24"/>
        <v>0</v>
      </c>
      <c r="W268">
        <f t="shared" si="25"/>
        <v>0</v>
      </c>
      <c r="X268">
        <f t="shared" si="26"/>
        <v>0</v>
      </c>
    </row>
    <row r="269" spans="1:24">
      <c r="A269" t="s">
        <v>127</v>
      </c>
      <c r="B269">
        <v>1</v>
      </c>
      <c r="C269">
        <v>1</v>
      </c>
      <c r="D269">
        <v>93.41245644599303</v>
      </c>
      <c r="E269">
        <v>89.514372822299649</v>
      </c>
      <c r="F269">
        <v>91.702961672473876</v>
      </c>
      <c r="G269">
        <v>50</v>
      </c>
      <c r="H269">
        <v>8.1990418118466906</v>
      </c>
      <c r="I269">
        <v>1</v>
      </c>
      <c r="J269">
        <v>0</v>
      </c>
      <c r="K269">
        <v>1</v>
      </c>
      <c r="L269">
        <v>1</v>
      </c>
      <c r="M269">
        <v>0</v>
      </c>
      <c r="N269">
        <v>34</v>
      </c>
      <c r="O269">
        <v>28000</v>
      </c>
      <c r="P269">
        <v>4</v>
      </c>
      <c r="Q269">
        <v>4</v>
      </c>
      <c r="R269">
        <v>4</v>
      </c>
      <c r="S269">
        <v>4</v>
      </c>
      <c r="T269" s="123">
        <f t="shared" si="22"/>
        <v>0</v>
      </c>
      <c r="U269">
        <f t="shared" si="23"/>
        <v>1</v>
      </c>
      <c r="V269">
        <f t="shared" si="24"/>
        <v>1</v>
      </c>
      <c r="W269">
        <f t="shared" si="25"/>
        <v>1</v>
      </c>
      <c r="X269">
        <f t="shared" si="26"/>
        <v>1</v>
      </c>
    </row>
    <row r="270" spans="1:24">
      <c r="A270" t="s">
        <v>127</v>
      </c>
      <c r="B270">
        <v>2</v>
      </c>
      <c r="C270">
        <v>1</v>
      </c>
      <c r="D270">
        <v>90.178571428571431</v>
      </c>
      <c r="E270">
        <v>95.317944250871079</v>
      </c>
      <c r="F270">
        <v>92.770034843205579</v>
      </c>
      <c r="G270">
        <v>9.5165505226480818</v>
      </c>
      <c r="H270">
        <v>19.196428571428569</v>
      </c>
      <c r="I270">
        <v>0</v>
      </c>
      <c r="J270">
        <v>0</v>
      </c>
      <c r="K270">
        <v>1</v>
      </c>
      <c r="L270">
        <v>1</v>
      </c>
      <c r="M270">
        <v>0</v>
      </c>
      <c r="N270">
        <v>34</v>
      </c>
      <c r="O270">
        <v>28000</v>
      </c>
      <c r="P270">
        <v>4</v>
      </c>
      <c r="Q270">
        <v>4</v>
      </c>
      <c r="R270">
        <v>4</v>
      </c>
      <c r="S270">
        <v>4</v>
      </c>
      <c r="T270" s="123">
        <f t="shared" si="22"/>
        <v>0</v>
      </c>
      <c r="U270">
        <f t="shared" si="23"/>
        <v>1</v>
      </c>
      <c r="V270">
        <f t="shared" si="24"/>
        <v>1</v>
      </c>
      <c r="W270">
        <f t="shared" si="25"/>
        <v>1</v>
      </c>
      <c r="X270">
        <f t="shared" si="26"/>
        <v>1</v>
      </c>
    </row>
    <row r="271" spans="1:24">
      <c r="A271" t="s">
        <v>127</v>
      </c>
      <c r="B271">
        <v>3</v>
      </c>
      <c r="C271">
        <v>1</v>
      </c>
      <c r="D271">
        <v>14.89547038327526</v>
      </c>
      <c r="E271">
        <v>7.01219512195122</v>
      </c>
      <c r="F271">
        <v>4.8344947735191646</v>
      </c>
      <c r="G271">
        <v>91.528745644599297</v>
      </c>
      <c r="H271">
        <v>4.5731707317073154</v>
      </c>
      <c r="I271">
        <v>0</v>
      </c>
      <c r="J271">
        <v>0</v>
      </c>
      <c r="K271">
        <v>0</v>
      </c>
      <c r="L271">
        <v>1</v>
      </c>
      <c r="M271">
        <v>0</v>
      </c>
      <c r="N271">
        <v>34</v>
      </c>
      <c r="O271">
        <v>28000</v>
      </c>
      <c r="P271">
        <v>4</v>
      </c>
      <c r="Q271">
        <v>4</v>
      </c>
      <c r="R271">
        <v>4</v>
      </c>
      <c r="S271">
        <v>4</v>
      </c>
      <c r="T271" s="123">
        <f t="shared" si="22"/>
        <v>0</v>
      </c>
      <c r="U271">
        <f t="shared" si="23"/>
        <v>1</v>
      </c>
      <c r="V271">
        <f t="shared" si="24"/>
        <v>1</v>
      </c>
      <c r="W271">
        <f t="shared" si="25"/>
        <v>1</v>
      </c>
      <c r="X271">
        <f t="shared" si="26"/>
        <v>1</v>
      </c>
    </row>
    <row r="272" spans="1:24">
      <c r="A272" t="s">
        <v>127</v>
      </c>
      <c r="B272">
        <v>4</v>
      </c>
      <c r="C272">
        <v>1</v>
      </c>
      <c r="D272">
        <v>0</v>
      </c>
      <c r="E272">
        <v>0.75130662020905792</v>
      </c>
      <c r="F272">
        <v>0</v>
      </c>
      <c r="G272">
        <v>94.316202090592327</v>
      </c>
      <c r="H272">
        <v>86.030052264808361</v>
      </c>
      <c r="I272">
        <v>0</v>
      </c>
      <c r="J272">
        <v>0</v>
      </c>
      <c r="K272">
        <v>0</v>
      </c>
      <c r="L272">
        <v>1</v>
      </c>
      <c r="M272">
        <v>0</v>
      </c>
      <c r="N272">
        <v>34</v>
      </c>
      <c r="O272">
        <v>28000</v>
      </c>
      <c r="P272">
        <v>4</v>
      </c>
      <c r="Q272">
        <v>4</v>
      </c>
      <c r="R272">
        <v>4</v>
      </c>
      <c r="S272">
        <v>4</v>
      </c>
      <c r="T272" s="123">
        <f t="shared" si="22"/>
        <v>0</v>
      </c>
      <c r="U272">
        <f t="shared" si="23"/>
        <v>1</v>
      </c>
      <c r="V272">
        <f t="shared" si="24"/>
        <v>1</v>
      </c>
      <c r="W272">
        <f t="shared" si="25"/>
        <v>1</v>
      </c>
      <c r="X272">
        <f t="shared" si="26"/>
        <v>1</v>
      </c>
    </row>
    <row r="273" spans="1:24" hidden="1">
      <c r="A273" t="s">
        <v>127</v>
      </c>
      <c r="B273">
        <v>5</v>
      </c>
      <c r="C273">
        <v>1</v>
      </c>
      <c r="D273">
        <v>14.64503484320557</v>
      </c>
      <c r="E273">
        <v>9.734320557491289</v>
      </c>
      <c r="F273">
        <v>5.5966898954703854</v>
      </c>
      <c r="G273">
        <v>13.05531358885017</v>
      </c>
      <c r="H273">
        <v>95.590156794425084</v>
      </c>
      <c r="I273">
        <v>0</v>
      </c>
      <c r="J273">
        <v>0</v>
      </c>
      <c r="K273">
        <v>0</v>
      </c>
      <c r="L273">
        <v>1</v>
      </c>
      <c r="M273">
        <v>0</v>
      </c>
      <c r="N273">
        <v>34</v>
      </c>
      <c r="O273">
        <v>28000</v>
      </c>
      <c r="P273">
        <v>4</v>
      </c>
      <c r="Q273">
        <v>4</v>
      </c>
      <c r="R273">
        <v>4</v>
      </c>
      <c r="S273">
        <v>4</v>
      </c>
      <c r="T273" s="123">
        <f t="shared" si="22"/>
        <v>1</v>
      </c>
      <c r="U273">
        <f t="shared" si="23"/>
        <v>1</v>
      </c>
      <c r="V273">
        <f t="shared" si="24"/>
        <v>1</v>
      </c>
      <c r="W273">
        <f t="shared" si="25"/>
        <v>1</v>
      </c>
      <c r="X273">
        <f t="shared" si="26"/>
        <v>1</v>
      </c>
    </row>
    <row r="274" spans="1:24">
      <c r="A274" t="s">
        <v>127</v>
      </c>
      <c r="B274">
        <v>6</v>
      </c>
      <c r="C274">
        <v>1</v>
      </c>
      <c r="D274">
        <v>5.8253484320557494</v>
      </c>
      <c r="E274">
        <v>12.380226480836241</v>
      </c>
      <c r="F274">
        <v>21.25435540069687</v>
      </c>
      <c r="G274">
        <v>84.984756097560975</v>
      </c>
      <c r="H274">
        <v>92.62848432055749</v>
      </c>
      <c r="I274">
        <v>0</v>
      </c>
      <c r="J274">
        <v>0</v>
      </c>
      <c r="K274">
        <v>0</v>
      </c>
      <c r="L274">
        <v>1</v>
      </c>
      <c r="M274">
        <v>0</v>
      </c>
      <c r="N274">
        <v>34</v>
      </c>
      <c r="O274">
        <v>28000</v>
      </c>
      <c r="P274">
        <v>4</v>
      </c>
      <c r="Q274">
        <v>4</v>
      </c>
      <c r="R274">
        <v>4</v>
      </c>
      <c r="S274">
        <v>4</v>
      </c>
      <c r="T274" s="123">
        <f t="shared" si="22"/>
        <v>0</v>
      </c>
      <c r="U274">
        <f t="shared" si="23"/>
        <v>1</v>
      </c>
      <c r="V274">
        <f t="shared" si="24"/>
        <v>1</v>
      </c>
      <c r="W274">
        <f t="shared" si="25"/>
        <v>1</v>
      </c>
      <c r="X274">
        <f t="shared" si="26"/>
        <v>1</v>
      </c>
    </row>
    <row r="275" spans="1:24" hidden="1">
      <c r="A275" t="s">
        <v>127</v>
      </c>
      <c r="B275">
        <v>7</v>
      </c>
      <c r="C275">
        <v>1</v>
      </c>
      <c r="D275">
        <v>94.751742160278752</v>
      </c>
      <c r="E275">
        <v>10.387630662020911</v>
      </c>
      <c r="F275">
        <v>9.505662020905925</v>
      </c>
      <c r="G275">
        <v>16.713850174216031</v>
      </c>
      <c r="H275">
        <v>89.416376306620208</v>
      </c>
      <c r="I275">
        <v>0</v>
      </c>
      <c r="J275">
        <v>1</v>
      </c>
      <c r="K275">
        <v>1</v>
      </c>
      <c r="L275">
        <v>1</v>
      </c>
      <c r="M275">
        <v>0</v>
      </c>
      <c r="N275">
        <v>34</v>
      </c>
      <c r="O275">
        <v>28000</v>
      </c>
      <c r="P275">
        <v>4</v>
      </c>
      <c r="Q275">
        <v>4</v>
      </c>
      <c r="R275">
        <v>4</v>
      </c>
      <c r="S275">
        <v>4</v>
      </c>
      <c r="T275" s="123">
        <f t="shared" si="22"/>
        <v>1</v>
      </c>
      <c r="U275">
        <f t="shared" si="23"/>
        <v>1</v>
      </c>
      <c r="V275">
        <f t="shared" si="24"/>
        <v>1</v>
      </c>
      <c r="W275">
        <f t="shared" si="25"/>
        <v>1</v>
      </c>
      <c r="X275">
        <f t="shared" si="26"/>
        <v>1</v>
      </c>
    </row>
    <row r="276" spans="1:24">
      <c r="A276" t="s">
        <v>128</v>
      </c>
      <c r="B276">
        <v>1</v>
      </c>
      <c r="C276">
        <v>1</v>
      </c>
      <c r="D276">
        <v>94.735498366013076</v>
      </c>
      <c r="E276">
        <v>2.8696895424836608</v>
      </c>
      <c r="F276">
        <v>99.397467320261441</v>
      </c>
      <c r="G276">
        <v>4.3709150326797399</v>
      </c>
      <c r="H276">
        <v>96.599264705882362</v>
      </c>
      <c r="I276">
        <v>1</v>
      </c>
      <c r="J276">
        <v>0</v>
      </c>
      <c r="K276">
        <v>1</v>
      </c>
      <c r="L276">
        <v>1</v>
      </c>
      <c r="M276">
        <v>0</v>
      </c>
      <c r="N276">
        <v>35</v>
      </c>
      <c r="O276">
        <v>-99</v>
      </c>
      <c r="P276">
        <v>2</v>
      </c>
      <c r="Q276">
        <v>2</v>
      </c>
      <c r="R276">
        <v>5</v>
      </c>
      <c r="S276">
        <v>2</v>
      </c>
      <c r="T276" s="123">
        <f t="shared" si="22"/>
        <v>0</v>
      </c>
      <c r="U276">
        <f t="shared" si="23"/>
        <v>0</v>
      </c>
      <c r="V276">
        <f t="shared" si="24"/>
        <v>0</v>
      </c>
      <c r="W276">
        <f t="shared" si="25"/>
        <v>1</v>
      </c>
      <c r="X276">
        <f t="shared" si="26"/>
        <v>0</v>
      </c>
    </row>
    <row r="277" spans="1:24">
      <c r="A277" t="s">
        <v>128</v>
      </c>
      <c r="B277">
        <v>2</v>
      </c>
      <c r="C277">
        <v>1</v>
      </c>
      <c r="D277">
        <v>97.375408496732035</v>
      </c>
      <c r="E277">
        <v>94.888684640522868</v>
      </c>
      <c r="F277">
        <v>5.5095996732026142</v>
      </c>
      <c r="G277">
        <v>2.0884395424836608</v>
      </c>
      <c r="H277">
        <v>0</v>
      </c>
      <c r="I277">
        <v>0</v>
      </c>
      <c r="J277">
        <v>0</v>
      </c>
      <c r="K277">
        <v>1</v>
      </c>
      <c r="L277">
        <v>1</v>
      </c>
      <c r="M277">
        <v>0</v>
      </c>
      <c r="N277">
        <v>35</v>
      </c>
      <c r="O277">
        <v>-99</v>
      </c>
      <c r="P277">
        <v>2</v>
      </c>
      <c r="Q277">
        <v>2</v>
      </c>
      <c r="R277">
        <v>5</v>
      </c>
      <c r="S277">
        <v>2</v>
      </c>
      <c r="T277" s="123">
        <f t="shared" si="22"/>
        <v>0</v>
      </c>
      <c r="U277">
        <f t="shared" si="23"/>
        <v>0</v>
      </c>
      <c r="V277">
        <f t="shared" si="24"/>
        <v>0</v>
      </c>
      <c r="W277">
        <f t="shared" si="25"/>
        <v>1</v>
      </c>
      <c r="X277">
        <f t="shared" si="26"/>
        <v>0</v>
      </c>
    </row>
    <row r="278" spans="1:24">
      <c r="A278" t="s">
        <v>128</v>
      </c>
      <c r="B278">
        <v>3</v>
      </c>
      <c r="C278">
        <v>1</v>
      </c>
      <c r="D278">
        <v>99.259599673202615</v>
      </c>
      <c r="E278">
        <v>98.069852941176478</v>
      </c>
      <c r="F278">
        <v>98.069852941176478</v>
      </c>
      <c r="G278">
        <v>2.7318218954248348</v>
      </c>
      <c r="H278">
        <v>2.0322712418300641</v>
      </c>
      <c r="I278">
        <v>0</v>
      </c>
      <c r="J278">
        <v>0</v>
      </c>
      <c r="K278">
        <v>1</v>
      </c>
      <c r="L278">
        <v>1</v>
      </c>
      <c r="M278">
        <v>0</v>
      </c>
      <c r="N278">
        <v>35</v>
      </c>
      <c r="O278">
        <v>-99</v>
      </c>
      <c r="P278">
        <v>2</v>
      </c>
      <c r="Q278">
        <v>2</v>
      </c>
      <c r="R278">
        <v>5</v>
      </c>
      <c r="S278">
        <v>2</v>
      </c>
      <c r="T278" s="123">
        <f t="shared" si="22"/>
        <v>0</v>
      </c>
      <c r="U278">
        <f t="shared" si="23"/>
        <v>0</v>
      </c>
      <c r="V278">
        <f t="shared" si="24"/>
        <v>0</v>
      </c>
      <c r="W278">
        <f t="shared" si="25"/>
        <v>1</v>
      </c>
      <c r="X278">
        <f t="shared" si="26"/>
        <v>0</v>
      </c>
    </row>
    <row r="279" spans="1:24">
      <c r="A279" t="s">
        <v>128</v>
      </c>
      <c r="B279">
        <v>4</v>
      </c>
      <c r="C279">
        <v>1</v>
      </c>
      <c r="D279">
        <v>81.147875816993462</v>
      </c>
      <c r="E279">
        <v>97.834967320261441</v>
      </c>
      <c r="F279">
        <v>95.424836601307177</v>
      </c>
      <c r="G279">
        <v>15.61989379084967</v>
      </c>
      <c r="H279">
        <v>8.2209967320261423</v>
      </c>
      <c r="I279">
        <v>0</v>
      </c>
      <c r="J279">
        <v>0</v>
      </c>
      <c r="K279">
        <v>1</v>
      </c>
      <c r="L279">
        <v>1</v>
      </c>
      <c r="M279">
        <v>0</v>
      </c>
      <c r="N279">
        <v>35</v>
      </c>
      <c r="O279">
        <v>-99</v>
      </c>
      <c r="P279">
        <v>2</v>
      </c>
      <c r="Q279">
        <v>2</v>
      </c>
      <c r="R279">
        <v>5</v>
      </c>
      <c r="S279">
        <v>2</v>
      </c>
      <c r="T279" s="123">
        <f t="shared" si="22"/>
        <v>0</v>
      </c>
      <c r="U279">
        <f t="shared" si="23"/>
        <v>0</v>
      </c>
      <c r="V279">
        <f t="shared" si="24"/>
        <v>0</v>
      </c>
      <c r="W279">
        <f t="shared" si="25"/>
        <v>1</v>
      </c>
      <c r="X279">
        <f t="shared" si="26"/>
        <v>0</v>
      </c>
    </row>
    <row r="280" spans="1:24">
      <c r="A280" t="s">
        <v>128</v>
      </c>
      <c r="B280">
        <v>5</v>
      </c>
      <c r="C280">
        <v>1</v>
      </c>
      <c r="D280">
        <v>97.635825163398692</v>
      </c>
      <c r="E280">
        <v>93.474264705882362</v>
      </c>
      <c r="F280">
        <v>96.900531045751634</v>
      </c>
      <c r="G280">
        <v>0.70465686274509554</v>
      </c>
      <c r="H280">
        <v>1.031454248366015</v>
      </c>
      <c r="I280">
        <v>0</v>
      </c>
      <c r="J280">
        <v>0</v>
      </c>
      <c r="K280">
        <v>1</v>
      </c>
      <c r="L280">
        <v>1</v>
      </c>
      <c r="M280">
        <v>0</v>
      </c>
      <c r="N280">
        <v>35</v>
      </c>
      <c r="O280">
        <v>-99</v>
      </c>
      <c r="P280">
        <v>2</v>
      </c>
      <c r="Q280">
        <v>2</v>
      </c>
      <c r="R280">
        <v>5</v>
      </c>
      <c r="S280">
        <v>2</v>
      </c>
      <c r="T280" s="123">
        <f t="shared" si="22"/>
        <v>0</v>
      </c>
      <c r="U280">
        <f t="shared" si="23"/>
        <v>0</v>
      </c>
      <c r="V280">
        <f t="shared" si="24"/>
        <v>0</v>
      </c>
      <c r="W280">
        <f t="shared" si="25"/>
        <v>1</v>
      </c>
      <c r="X280">
        <f t="shared" si="26"/>
        <v>0</v>
      </c>
    </row>
    <row r="281" spans="1:24">
      <c r="A281" t="s">
        <v>128</v>
      </c>
      <c r="B281">
        <v>6</v>
      </c>
      <c r="C281">
        <v>1</v>
      </c>
      <c r="D281">
        <v>56.060252218589447</v>
      </c>
      <c r="E281">
        <v>50</v>
      </c>
      <c r="F281">
        <v>50</v>
      </c>
      <c r="G281">
        <v>32.928538066324151</v>
      </c>
      <c r="H281">
        <v>14.29238673517048</v>
      </c>
      <c r="I281">
        <v>0</v>
      </c>
      <c r="J281">
        <v>0</v>
      </c>
      <c r="K281">
        <v>1</v>
      </c>
      <c r="L281">
        <v>1</v>
      </c>
      <c r="M281">
        <v>0</v>
      </c>
      <c r="N281">
        <v>35</v>
      </c>
      <c r="O281">
        <v>-99</v>
      </c>
      <c r="P281">
        <v>2</v>
      </c>
      <c r="Q281">
        <v>2</v>
      </c>
      <c r="R281">
        <v>5</v>
      </c>
      <c r="S281">
        <v>2</v>
      </c>
      <c r="T281" s="123">
        <f t="shared" si="22"/>
        <v>0</v>
      </c>
      <c r="U281">
        <f t="shared" si="23"/>
        <v>0</v>
      </c>
      <c r="V281">
        <f t="shared" si="24"/>
        <v>0</v>
      </c>
      <c r="W281">
        <f t="shared" si="25"/>
        <v>1</v>
      </c>
      <c r="X281">
        <f t="shared" si="26"/>
        <v>0</v>
      </c>
    </row>
    <row r="282" spans="1:24" hidden="1">
      <c r="A282" t="s">
        <v>128</v>
      </c>
      <c r="B282">
        <v>7</v>
      </c>
      <c r="C282">
        <v>1</v>
      </c>
      <c r="D282">
        <v>4.5539467538533387</v>
      </c>
      <c r="E282">
        <v>94.219990658570765</v>
      </c>
      <c r="F282">
        <v>84.493227463801972</v>
      </c>
      <c r="G282">
        <v>98.108360579168604</v>
      </c>
      <c r="H282">
        <v>95.831387202241942</v>
      </c>
      <c r="I282">
        <v>0</v>
      </c>
      <c r="J282">
        <v>1</v>
      </c>
      <c r="K282">
        <v>0</v>
      </c>
      <c r="L282">
        <v>1</v>
      </c>
      <c r="M282">
        <v>0</v>
      </c>
      <c r="N282">
        <v>35</v>
      </c>
      <c r="O282">
        <v>-99</v>
      </c>
      <c r="P282">
        <v>2</v>
      </c>
      <c r="Q282">
        <v>2</v>
      </c>
      <c r="R282">
        <v>5</v>
      </c>
      <c r="S282">
        <v>2</v>
      </c>
      <c r="T282" s="123">
        <f t="shared" si="22"/>
        <v>1</v>
      </c>
      <c r="U282">
        <f t="shared" si="23"/>
        <v>0</v>
      </c>
      <c r="V282">
        <f t="shared" si="24"/>
        <v>0</v>
      </c>
      <c r="W282">
        <f t="shared" si="25"/>
        <v>1</v>
      </c>
      <c r="X282">
        <f t="shared" si="26"/>
        <v>0</v>
      </c>
    </row>
    <row r="283" spans="1:24">
      <c r="A283" t="s">
        <v>129</v>
      </c>
      <c r="B283">
        <v>1</v>
      </c>
      <c r="C283">
        <v>1</v>
      </c>
      <c r="D283">
        <v>91.754680748919824</v>
      </c>
      <c r="E283">
        <v>91.322611617858868</v>
      </c>
      <c r="F283">
        <v>50</v>
      </c>
      <c r="G283">
        <v>5.6769083053288538</v>
      </c>
      <c r="H283">
        <v>2.988478156505042</v>
      </c>
      <c r="I283">
        <v>1</v>
      </c>
      <c r="J283">
        <v>0</v>
      </c>
      <c r="K283">
        <v>1</v>
      </c>
      <c r="L283">
        <v>1</v>
      </c>
      <c r="M283">
        <v>0</v>
      </c>
      <c r="N283">
        <v>42</v>
      </c>
      <c r="O283">
        <v>75000</v>
      </c>
      <c r="P283">
        <v>1</v>
      </c>
      <c r="Q283">
        <v>1</v>
      </c>
      <c r="R283">
        <v>3</v>
      </c>
      <c r="S283">
        <v>3</v>
      </c>
      <c r="T283" s="123">
        <f t="shared" si="22"/>
        <v>0</v>
      </c>
      <c r="U283">
        <f t="shared" si="23"/>
        <v>0</v>
      </c>
      <c r="V283">
        <f t="shared" si="24"/>
        <v>0</v>
      </c>
      <c r="W283">
        <f t="shared" si="25"/>
        <v>0</v>
      </c>
      <c r="X283">
        <f t="shared" si="26"/>
        <v>0</v>
      </c>
    </row>
    <row r="284" spans="1:24">
      <c r="A284" t="s">
        <v>129</v>
      </c>
      <c r="B284">
        <v>2</v>
      </c>
      <c r="C284">
        <v>1</v>
      </c>
      <c r="D284">
        <v>15.350456072971671</v>
      </c>
      <c r="E284">
        <v>20.331253000480071</v>
      </c>
      <c r="F284">
        <v>3.1685069611137759</v>
      </c>
      <c r="G284">
        <v>84.43350936149784</v>
      </c>
      <c r="H284">
        <v>9.6015362457993252</v>
      </c>
      <c r="I284">
        <v>0</v>
      </c>
      <c r="J284">
        <v>0</v>
      </c>
      <c r="K284">
        <v>0</v>
      </c>
      <c r="L284">
        <v>1</v>
      </c>
      <c r="M284">
        <v>0</v>
      </c>
      <c r="N284">
        <v>42</v>
      </c>
      <c r="O284">
        <v>75000</v>
      </c>
      <c r="P284">
        <v>1</v>
      </c>
      <c r="Q284">
        <v>1</v>
      </c>
      <c r="R284">
        <v>3</v>
      </c>
      <c r="S284">
        <v>3</v>
      </c>
      <c r="T284" s="123">
        <f t="shared" si="22"/>
        <v>0</v>
      </c>
      <c r="U284">
        <f t="shared" si="23"/>
        <v>0</v>
      </c>
      <c r="V284">
        <f t="shared" si="24"/>
        <v>0</v>
      </c>
      <c r="W284">
        <f t="shared" si="25"/>
        <v>0</v>
      </c>
      <c r="X284">
        <f t="shared" si="26"/>
        <v>0</v>
      </c>
    </row>
    <row r="285" spans="1:24">
      <c r="A285" t="s">
        <v>129</v>
      </c>
      <c r="B285">
        <v>3</v>
      </c>
      <c r="C285">
        <v>1</v>
      </c>
      <c r="D285">
        <v>6.5530484877580397</v>
      </c>
      <c r="E285">
        <v>13.466154584733561</v>
      </c>
      <c r="F285">
        <v>0.57609217474796082</v>
      </c>
      <c r="G285">
        <v>83.137301968314929</v>
      </c>
      <c r="H285">
        <v>4.320691310609698</v>
      </c>
      <c r="I285">
        <v>0</v>
      </c>
      <c r="J285">
        <v>0</v>
      </c>
      <c r="K285">
        <v>0</v>
      </c>
      <c r="L285">
        <v>1</v>
      </c>
      <c r="M285">
        <v>0</v>
      </c>
      <c r="N285">
        <v>42</v>
      </c>
      <c r="O285">
        <v>75000</v>
      </c>
      <c r="P285">
        <v>1</v>
      </c>
      <c r="Q285">
        <v>1</v>
      </c>
      <c r="R285">
        <v>3</v>
      </c>
      <c r="S285">
        <v>3</v>
      </c>
      <c r="T285" s="123">
        <f t="shared" si="22"/>
        <v>0</v>
      </c>
      <c r="U285">
        <f t="shared" si="23"/>
        <v>0</v>
      </c>
      <c r="V285">
        <f t="shared" si="24"/>
        <v>0</v>
      </c>
      <c r="W285">
        <f t="shared" si="25"/>
        <v>0</v>
      </c>
      <c r="X285">
        <f t="shared" si="26"/>
        <v>0</v>
      </c>
    </row>
    <row r="286" spans="1:24">
      <c r="A286" t="s">
        <v>129</v>
      </c>
      <c r="B286">
        <v>4</v>
      </c>
      <c r="C286">
        <v>1</v>
      </c>
      <c r="D286">
        <v>12.578012481997121</v>
      </c>
      <c r="E286">
        <v>5.3168506961113753</v>
      </c>
      <c r="F286">
        <v>5.8929428708593354</v>
      </c>
      <c r="G286">
        <v>90.842534805568903</v>
      </c>
      <c r="H286">
        <v>17.114738358137309</v>
      </c>
      <c r="I286">
        <v>0</v>
      </c>
      <c r="J286">
        <v>0</v>
      </c>
      <c r="K286">
        <v>0</v>
      </c>
      <c r="L286">
        <v>1</v>
      </c>
      <c r="M286">
        <v>0</v>
      </c>
      <c r="N286">
        <v>42</v>
      </c>
      <c r="O286">
        <v>75000</v>
      </c>
      <c r="P286">
        <v>1</v>
      </c>
      <c r="Q286">
        <v>1</v>
      </c>
      <c r="R286">
        <v>3</v>
      </c>
      <c r="S286">
        <v>3</v>
      </c>
      <c r="T286" s="123">
        <f t="shared" si="22"/>
        <v>0</v>
      </c>
      <c r="U286">
        <f t="shared" si="23"/>
        <v>0</v>
      </c>
      <c r="V286">
        <f t="shared" si="24"/>
        <v>0</v>
      </c>
      <c r="W286">
        <f t="shared" si="25"/>
        <v>0</v>
      </c>
      <c r="X286">
        <f t="shared" si="26"/>
        <v>0</v>
      </c>
    </row>
    <row r="287" spans="1:24">
      <c r="A287" t="s">
        <v>129</v>
      </c>
      <c r="B287">
        <v>5</v>
      </c>
      <c r="C287">
        <v>1</v>
      </c>
      <c r="D287">
        <v>4.0086413826212199</v>
      </c>
      <c r="E287">
        <v>14.702352376380221</v>
      </c>
      <c r="F287">
        <v>3.312530004800768</v>
      </c>
      <c r="G287">
        <v>94.419107057129153</v>
      </c>
      <c r="H287">
        <v>5.2928468554968786</v>
      </c>
      <c r="I287">
        <v>0</v>
      </c>
      <c r="J287">
        <v>0</v>
      </c>
      <c r="K287">
        <v>0</v>
      </c>
      <c r="L287">
        <v>1</v>
      </c>
      <c r="M287">
        <v>0</v>
      </c>
      <c r="N287">
        <v>42</v>
      </c>
      <c r="O287">
        <v>75000</v>
      </c>
      <c r="P287">
        <v>1</v>
      </c>
      <c r="Q287">
        <v>1</v>
      </c>
      <c r="R287">
        <v>3</v>
      </c>
      <c r="S287">
        <v>3</v>
      </c>
      <c r="T287" s="123">
        <f t="shared" si="22"/>
        <v>0</v>
      </c>
      <c r="U287">
        <f t="shared" si="23"/>
        <v>0</v>
      </c>
      <c r="V287">
        <f t="shared" si="24"/>
        <v>0</v>
      </c>
      <c r="W287">
        <f t="shared" si="25"/>
        <v>0</v>
      </c>
      <c r="X287">
        <f t="shared" si="26"/>
        <v>0</v>
      </c>
    </row>
    <row r="288" spans="1:24" hidden="1">
      <c r="A288" t="s">
        <v>129</v>
      </c>
      <c r="B288">
        <v>6</v>
      </c>
      <c r="C288">
        <v>1</v>
      </c>
      <c r="D288">
        <v>4.3927028324531934</v>
      </c>
      <c r="E288">
        <v>2.3643783005280858</v>
      </c>
      <c r="F288">
        <v>0.97215554488718214</v>
      </c>
      <c r="G288">
        <v>5.1608257321171358</v>
      </c>
      <c r="H288">
        <v>13.046087373979841</v>
      </c>
      <c r="I288">
        <v>0</v>
      </c>
      <c r="J288">
        <v>0</v>
      </c>
      <c r="K288">
        <v>0</v>
      </c>
      <c r="L288">
        <v>1</v>
      </c>
      <c r="M288">
        <v>0</v>
      </c>
      <c r="N288">
        <v>42</v>
      </c>
      <c r="O288">
        <v>75000</v>
      </c>
      <c r="P288">
        <v>1</v>
      </c>
      <c r="Q288">
        <v>1</v>
      </c>
      <c r="R288">
        <v>3</v>
      </c>
      <c r="S288">
        <v>3</v>
      </c>
      <c r="T288" s="123">
        <f t="shared" si="22"/>
        <v>1</v>
      </c>
      <c r="U288">
        <f t="shared" si="23"/>
        <v>0</v>
      </c>
      <c r="V288">
        <f t="shared" si="24"/>
        <v>0</v>
      </c>
      <c r="W288">
        <f t="shared" si="25"/>
        <v>0</v>
      </c>
      <c r="X288">
        <f t="shared" si="26"/>
        <v>0</v>
      </c>
    </row>
    <row r="289" spans="1:24">
      <c r="A289" t="s">
        <v>129</v>
      </c>
      <c r="B289">
        <v>7</v>
      </c>
      <c r="C289">
        <v>1</v>
      </c>
      <c r="D289">
        <v>1.7522803648583769</v>
      </c>
      <c r="E289">
        <v>15.61449831973116</v>
      </c>
      <c r="F289">
        <v>0</v>
      </c>
      <c r="G289">
        <v>87.566010561689865</v>
      </c>
      <c r="H289">
        <v>0</v>
      </c>
      <c r="I289">
        <v>0</v>
      </c>
      <c r="J289">
        <v>1</v>
      </c>
      <c r="K289">
        <v>0</v>
      </c>
      <c r="L289">
        <v>1</v>
      </c>
      <c r="M289">
        <v>0</v>
      </c>
      <c r="N289">
        <v>42</v>
      </c>
      <c r="O289">
        <v>75000</v>
      </c>
      <c r="P289">
        <v>1</v>
      </c>
      <c r="Q289">
        <v>1</v>
      </c>
      <c r="R289">
        <v>3</v>
      </c>
      <c r="S289">
        <v>3</v>
      </c>
      <c r="T289" s="123">
        <f t="shared" si="22"/>
        <v>0</v>
      </c>
      <c r="U289">
        <f t="shared" si="23"/>
        <v>0</v>
      </c>
      <c r="V289">
        <f t="shared" si="24"/>
        <v>0</v>
      </c>
      <c r="W289">
        <f t="shared" si="25"/>
        <v>0</v>
      </c>
      <c r="X289">
        <f t="shared" si="26"/>
        <v>0</v>
      </c>
    </row>
    <row r="290" spans="1:24">
      <c r="A290" t="s">
        <v>130</v>
      </c>
      <c r="B290">
        <v>1</v>
      </c>
      <c r="C290">
        <v>1</v>
      </c>
      <c r="D290">
        <v>97.797854319593441</v>
      </c>
      <c r="E290">
        <v>91.332580463015248</v>
      </c>
      <c r="F290">
        <v>100</v>
      </c>
      <c r="G290">
        <v>50</v>
      </c>
      <c r="H290">
        <v>3.3314511575381118</v>
      </c>
      <c r="I290">
        <v>1</v>
      </c>
      <c r="J290">
        <v>0</v>
      </c>
      <c r="K290">
        <v>1</v>
      </c>
      <c r="L290">
        <v>1</v>
      </c>
      <c r="M290">
        <v>1</v>
      </c>
      <c r="N290">
        <v>65</v>
      </c>
      <c r="O290">
        <v>75000</v>
      </c>
      <c r="P290">
        <v>4</v>
      </c>
      <c r="Q290">
        <v>3</v>
      </c>
      <c r="R290">
        <v>5</v>
      </c>
      <c r="S290">
        <v>4</v>
      </c>
      <c r="T290" s="123">
        <f t="shared" si="22"/>
        <v>0</v>
      </c>
      <c r="U290">
        <f t="shared" si="23"/>
        <v>1</v>
      </c>
      <c r="V290">
        <f t="shared" si="24"/>
        <v>0</v>
      </c>
      <c r="W290">
        <f t="shared" si="25"/>
        <v>1</v>
      </c>
      <c r="X290">
        <f t="shared" si="26"/>
        <v>1</v>
      </c>
    </row>
    <row r="291" spans="1:24">
      <c r="A291" t="s">
        <v>130</v>
      </c>
      <c r="B291">
        <v>2</v>
      </c>
      <c r="C291">
        <v>1</v>
      </c>
      <c r="D291">
        <v>86.024844720496901</v>
      </c>
      <c r="E291">
        <v>98.88481084133258</v>
      </c>
      <c r="F291">
        <v>84.937888198757761</v>
      </c>
      <c r="G291">
        <v>18.73235460191982</v>
      </c>
      <c r="H291">
        <v>7.8204404291360827</v>
      </c>
      <c r="I291">
        <v>0</v>
      </c>
      <c r="J291">
        <v>0</v>
      </c>
      <c r="K291">
        <v>1</v>
      </c>
      <c r="L291">
        <v>1</v>
      </c>
      <c r="M291">
        <v>1</v>
      </c>
      <c r="N291">
        <v>65</v>
      </c>
      <c r="O291">
        <v>75000</v>
      </c>
      <c r="P291">
        <v>4</v>
      </c>
      <c r="Q291">
        <v>3</v>
      </c>
      <c r="R291">
        <v>5</v>
      </c>
      <c r="S291">
        <v>4</v>
      </c>
      <c r="T291" s="123">
        <f t="shared" si="22"/>
        <v>0</v>
      </c>
      <c r="U291">
        <f t="shared" si="23"/>
        <v>1</v>
      </c>
      <c r="V291">
        <f t="shared" si="24"/>
        <v>0</v>
      </c>
      <c r="W291">
        <f t="shared" si="25"/>
        <v>1</v>
      </c>
      <c r="X291">
        <f t="shared" si="26"/>
        <v>1</v>
      </c>
    </row>
    <row r="292" spans="1:24">
      <c r="A292" t="s">
        <v>130</v>
      </c>
      <c r="B292">
        <v>3</v>
      </c>
      <c r="C292">
        <v>1</v>
      </c>
      <c r="D292">
        <v>2.3997741389045761</v>
      </c>
      <c r="E292">
        <v>26.2987012987013</v>
      </c>
      <c r="F292">
        <v>34.994353472614343</v>
      </c>
      <c r="G292">
        <v>80.406549971767362</v>
      </c>
      <c r="H292">
        <v>31.197063805759459</v>
      </c>
      <c r="I292">
        <v>0</v>
      </c>
      <c r="J292">
        <v>0</v>
      </c>
      <c r="K292">
        <v>0</v>
      </c>
      <c r="L292">
        <v>1</v>
      </c>
      <c r="M292">
        <v>1</v>
      </c>
      <c r="N292">
        <v>65</v>
      </c>
      <c r="O292">
        <v>75000</v>
      </c>
      <c r="P292">
        <v>4</v>
      </c>
      <c r="Q292">
        <v>3</v>
      </c>
      <c r="R292">
        <v>5</v>
      </c>
      <c r="S292">
        <v>4</v>
      </c>
      <c r="T292" s="123">
        <f t="shared" si="22"/>
        <v>0</v>
      </c>
      <c r="U292">
        <f t="shared" si="23"/>
        <v>1</v>
      </c>
      <c r="V292">
        <f t="shared" si="24"/>
        <v>0</v>
      </c>
      <c r="W292">
        <f t="shared" si="25"/>
        <v>1</v>
      </c>
      <c r="X292">
        <f t="shared" si="26"/>
        <v>1</v>
      </c>
    </row>
    <row r="293" spans="1:24">
      <c r="A293" t="s">
        <v>130</v>
      </c>
      <c r="B293">
        <v>4</v>
      </c>
      <c r="C293">
        <v>1</v>
      </c>
      <c r="D293">
        <v>32.905138339920953</v>
      </c>
      <c r="E293">
        <v>12.77526821005082</v>
      </c>
      <c r="F293">
        <v>17.03839638622248</v>
      </c>
      <c r="G293">
        <v>27.07509881422925</v>
      </c>
      <c r="H293">
        <v>86.928289102202143</v>
      </c>
      <c r="I293">
        <v>0</v>
      </c>
      <c r="J293">
        <v>0</v>
      </c>
      <c r="K293">
        <v>0</v>
      </c>
      <c r="L293">
        <v>1</v>
      </c>
      <c r="M293">
        <v>1</v>
      </c>
      <c r="N293">
        <v>65</v>
      </c>
      <c r="O293">
        <v>75000</v>
      </c>
      <c r="P293">
        <v>4</v>
      </c>
      <c r="Q293">
        <v>3</v>
      </c>
      <c r="R293">
        <v>5</v>
      </c>
      <c r="S293">
        <v>4</v>
      </c>
      <c r="T293" s="123">
        <f t="shared" si="22"/>
        <v>0</v>
      </c>
      <c r="U293">
        <f t="shared" si="23"/>
        <v>1</v>
      </c>
      <c r="V293">
        <f t="shared" si="24"/>
        <v>0</v>
      </c>
      <c r="W293">
        <f t="shared" si="25"/>
        <v>1</v>
      </c>
      <c r="X293">
        <f t="shared" si="26"/>
        <v>1</v>
      </c>
    </row>
    <row r="294" spans="1:24">
      <c r="A294" t="s">
        <v>130</v>
      </c>
      <c r="B294">
        <v>5</v>
      </c>
      <c r="C294">
        <v>1</v>
      </c>
      <c r="D294">
        <v>12.464709203839639</v>
      </c>
      <c r="E294">
        <v>4.1501976284584963</v>
      </c>
      <c r="F294">
        <v>2.0750988142292481</v>
      </c>
      <c r="G294">
        <v>95.8498023715415</v>
      </c>
      <c r="H294">
        <v>90.697346132128743</v>
      </c>
      <c r="I294">
        <v>0</v>
      </c>
      <c r="J294">
        <v>0</v>
      </c>
      <c r="K294">
        <v>0</v>
      </c>
      <c r="L294">
        <v>1</v>
      </c>
      <c r="M294">
        <v>1</v>
      </c>
      <c r="N294">
        <v>65</v>
      </c>
      <c r="O294">
        <v>75000</v>
      </c>
      <c r="P294">
        <v>4</v>
      </c>
      <c r="Q294">
        <v>3</v>
      </c>
      <c r="R294">
        <v>5</v>
      </c>
      <c r="S294">
        <v>4</v>
      </c>
      <c r="T294" s="123">
        <f t="shared" si="22"/>
        <v>0</v>
      </c>
      <c r="U294">
        <f t="shared" si="23"/>
        <v>1</v>
      </c>
      <c r="V294">
        <f t="shared" si="24"/>
        <v>0</v>
      </c>
      <c r="W294">
        <f t="shared" si="25"/>
        <v>1</v>
      </c>
      <c r="X294">
        <f t="shared" si="26"/>
        <v>1</v>
      </c>
    </row>
    <row r="295" spans="1:24" hidden="1">
      <c r="A295" t="s">
        <v>130</v>
      </c>
      <c r="B295">
        <v>6</v>
      </c>
      <c r="C295">
        <v>1</v>
      </c>
      <c r="D295">
        <v>13.763410502540941</v>
      </c>
      <c r="E295">
        <v>34.726143421795598</v>
      </c>
      <c r="F295">
        <v>21.880293619424052</v>
      </c>
      <c r="G295">
        <v>35.813099943534723</v>
      </c>
      <c r="H295">
        <v>3.6420101637492932</v>
      </c>
      <c r="I295">
        <v>0</v>
      </c>
      <c r="J295">
        <v>0</v>
      </c>
      <c r="K295">
        <v>0</v>
      </c>
      <c r="L295">
        <v>1</v>
      </c>
      <c r="M295">
        <v>1</v>
      </c>
      <c r="N295">
        <v>65</v>
      </c>
      <c r="O295">
        <v>75000</v>
      </c>
      <c r="P295">
        <v>4</v>
      </c>
      <c r="Q295">
        <v>3</v>
      </c>
      <c r="R295">
        <v>5</v>
      </c>
      <c r="S295">
        <v>4</v>
      </c>
      <c r="T295" s="123">
        <f t="shared" si="22"/>
        <v>1</v>
      </c>
      <c r="U295">
        <f t="shared" si="23"/>
        <v>1</v>
      </c>
      <c r="V295">
        <f t="shared" si="24"/>
        <v>0</v>
      </c>
      <c r="W295">
        <f t="shared" si="25"/>
        <v>1</v>
      </c>
      <c r="X295">
        <f t="shared" si="26"/>
        <v>1</v>
      </c>
    </row>
    <row r="296" spans="1:24">
      <c r="A296" t="s">
        <v>130</v>
      </c>
      <c r="B296">
        <v>7</v>
      </c>
      <c r="C296">
        <v>1</v>
      </c>
      <c r="D296">
        <v>22.51552795031056</v>
      </c>
      <c r="E296">
        <v>9.0203274985883652</v>
      </c>
      <c r="F296">
        <v>4.8983625070581569</v>
      </c>
      <c r="G296">
        <v>90.584415584415595</v>
      </c>
      <c r="H296">
        <v>96.160361377752679</v>
      </c>
      <c r="I296">
        <v>0</v>
      </c>
      <c r="J296">
        <v>1</v>
      </c>
      <c r="K296">
        <v>0</v>
      </c>
      <c r="L296">
        <v>1</v>
      </c>
      <c r="M296">
        <v>1</v>
      </c>
      <c r="N296">
        <v>65</v>
      </c>
      <c r="O296">
        <v>75000</v>
      </c>
      <c r="P296">
        <v>4</v>
      </c>
      <c r="Q296">
        <v>3</v>
      </c>
      <c r="R296">
        <v>5</v>
      </c>
      <c r="S296">
        <v>4</v>
      </c>
      <c r="T296" s="123">
        <f t="shared" si="22"/>
        <v>0</v>
      </c>
      <c r="U296">
        <f t="shared" si="23"/>
        <v>1</v>
      </c>
      <c r="V296">
        <f t="shared" si="24"/>
        <v>0</v>
      </c>
      <c r="W296">
        <f t="shared" si="25"/>
        <v>1</v>
      </c>
      <c r="X296">
        <f t="shared" si="26"/>
        <v>1</v>
      </c>
    </row>
    <row r="297" spans="1:24">
      <c r="A297" t="s">
        <v>131</v>
      </c>
      <c r="B297">
        <v>1</v>
      </c>
      <c r="C297">
        <v>1</v>
      </c>
      <c r="D297">
        <v>91.961091234347052</v>
      </c>
      <c r="E297">
        <v>98.501788908765647</v>
      </c>
      <c r="F297">
        <v>96.064400715563508</v>
      </c>
      <c r="G297">
        <v>9.134615384615385</v>
      </c>
      <c r="H297">
        <v>13.964669051878349</v>
      </c>
      <c r="I297">
        <v>1</v>
      </c>
      <c r="J297">
        <v>0</v>
      </c>
      <c r="K297">
        <v>1</v>
      </c>
      <c r="L297">
        <v>1</v>
      </c>
      <c r="M297">
        <v>0</v>
      </c>
      <c r="N297">
        <v>35</v>
      </c>
      <c r="O297">
        <v>60000</v>
      </c>
      <c r="P297">
        <v>5</v>
      </c>
      <c r="Q297">
        <v>4</v>
      </c>
      <c r="R297">
        <v>5</v>
      </c>
      <c r="S297">
        <v>4</v>
      </c>
      <c r="T297" s="123">
        <f t="shared" si="22"/>
        <v>0</v>
      </c>
      <c r="U297">
        <f t="shared" si="23"/>
        <v>1</v>
      </c>
      <c r="V297">
        <f t="shared" si="24"/>
        <v>1</v>
      </c>
      <c r="W297">
        <f t="shared" si="25"/>
        <v>1</v>
      </c>
      <c r="X297">
        <f t="shared" si="26"/>
        <v>1</v>
      </c>
    </row>
    <row r="298" spans="1:24" hidden="1">
      <c r="A298" t="s">
        <v>131</v>
      </c>
      <c r="B298">
        <v>2</v>
      </c>
      <c r="C298">
        <v>1</v>
      </c>
      <c r="D298">
        <v>92.743738819320214</v>
      </c>
      <c r="E298">
        <v>98.703041144901604</v>
      </c>
      <c r="F298">
        <v>99.262075134168157</v>
      </c>
      <c r="G298">
        <v>99.228533094812164</v>
      </c>
      <c r="H298">
        <v>10.07379248658318</v>
      </c>
      <c r="I298">
        <v>0</v>
      </c>
      <c r="J298">
        <v>0</v>
      </c>
      <c r="K298">
        <v>1</v>
      </c>
      <c r="L298">
        <v>1</v>
      </c>
      <c r="M298">
        <v>0</v>
      </c>
      <c r="N298">
        <v>35</v>
      </c>
      <c r="O298">
        <v>60000</v>
      </c>
      <c r="P298">
        <v>5</v>
      </c>
      <c r="Q298">
        <v>4</v>
      </c>
      <c r="R298">
        <v>5</v>
      </c>
      <c r="S298">
        <v>4</v>
      </c>
      <c r="T298" s="123">
        <f t="shared" si="22"/>
        <v>1</v>
      </c>
      <c r="U298">
        <f t="shared" si="23"/>
        <v>1</v>
      </c>
      <c r="V298">
        <f t="shared" si="24"/>
        <v>1</v>
      </c>
      <c r="W298">
        <f t="shared" si="25"/>
        <v>1</v>
      </c>
      <c r="X298">
        <f t="shared" si="26"/>
        <v>1</v>
      </c>
    </row>
    <row r="299" spans="1:24" hidden="1">
      <c r="A299" t="s">
        <v>131</v>
      </c>
      <c r="B299">
        <v>3</v>
      </c>
      <c r="C299">
        <v>1</v>
      </c>
      <c r="D299">
        <v>99.98881932021466</v>
      </c>
      <c r="E299">
        <v>98.322898032200357</v>
      </c>
      <c r="F299">
        <v>94.946332737030417</v>
      </c>
      <c r="G299">
        <v>98.725402504472271</v>
      </c>
      <c r="H299">
        <v>100</v>
      </c>
      <c r="I299">
        <v>0</v>
      </c>
      <c r="J299">
        <v>0</v>
      </c>
      <c r="K299">
        <v>1</v>
      </c>
      <c r="L299">
        <v>1</v>
      </c>
      <c r="M299">
        <v>0</v>
      </c>
      <c r="N299">
        <v>35</v>
      </c>
      <c r="O299">
        <v>60000</v>
      </c>
      <c r="P299">
        <v>5</v>
      </c>
      <c r="Q299">
        <v>4</v>
      </c>
      <c r="R299">
        <v>5</v>
      </c>
      <c r="S299">
        <v>4</v>
      </c>
      <c r="T299" s="123">
        <f t="shared" si="22"/>
        <v>1</v>
      </c>
      <c r="U299">
        <f t="shared" si="23"/>
        <v>1</v>
      </c>
      <c r="V299">
        <f t="shared" si="24"/>
        <v>1</v>
      </c>
      <c r="W299">
        <f t="shared" si="25"/>
        <v>1</v>
      </c>
      <c r="X299">
        <f t="shared" si="26"/>
        <v>1</v>
      </c>
    </row>
    <row r="300" spans="1:24" hidden="1">
      <c r="A300" t="s">
        <v>131</v>
      </c>
      <c r="B300">
        <v>4</v>
      </c>
      <c r="C300">
        <v>1</v>
      </c>
      <c r="D300">
        <v>98.356440071556349</v>
      </c>
      <c r="E300">
        <v>98.132826475849726</v>
      </c>
      <c r="F300">
        <v>99.250894454382816</v>
      </c>
      <c r="G300">
        <v>98.870751341681569</v>
      </c>
      <c r="H300">
        <v>6.719588550983902</v>
      </c>
      <c r="I300">
        <v>0</v>
      </c>
      <c r="J300">
        <v>0</v>
      </c>
      <c r="K300">
        <v>1</v>
      </c>
      <c r="L300">
        <v>1</v>
      </c>
      <c r="M300">
        <v>0</v>
      </c>
      <c r="N300">
        <v>35</v>
      </c>
      <c r="O300">
        <v>60000</v>
      </c>
      <c r="P300">
        <v>5</v>
      </c>
      <c r="Q300">
        <v>4</v>
      </c>
      <c r="R300">
        <v>5</v>
      </c>
      <c r="S300">
        <v>4</v>
      </c>
      <c r="T300" s="123">
        <f t="shared" si="22"/>
        <v>1</v>
      </c>
      <c r="U300">
        <f t="shared" si="23"/>
        <v>1</v>
      </c>
      <c r="V300">
        <f t="shared" si="24"/>
        <v>1</v>
      </c>
      <c r="W300">
        <f t="shared" si="25"/>
        <v>1</v>
      </c>
      <c r="X300">
        <f t="shared" si="26"/>
        <v>1</v>
      </c>
    </row>
    <row r="301" spans="1:24">
      <c r="A301" t="s">
        <v>131</v>
      </c>
      <c r="B301">
        <v>5</v>
      </c>
      <c r="C301">
        <v>1</v>
      </c>
      <c r="D301">
        <v>90.854203935599287</v>
      </c>
      <c r="E301">
        <v>93.436940966010738</v>
      </c>
      <c r="F301">
        <v>98.322898032200357</v>
      </c>
      <c r="G301">
        <v>5.8139534883720927</v>
      </c>
      <c r="H301">
        <v>6.2723613595706604</v>
      </c>
      <c r="I301">
        <v>0</v>
      </c>
      <c r="J301">
        <v>0</v>
      </c>
      <c r="K301">
        <v>1</v>
      </c>
      <c r="L301">
        <v>1</v>
      </c>
      <c r="M301">
        <v>0</v>
      </c>
      <c r="N301">
        <v>35</v>
      </c>
      <c r="O301">
        <v>60000</v>
      </c>
      <c r="P301">
        <v>5</v>
      </c>
      <c r="Q301">
        <v>4</v>
      </c>
      <c r="R301">
        <v>5</v>
      </c>
      <c r="S301">
        <v>4</v>
      </c>
      <c r="T301" s="123">
        <f t="shared" si="22"/>
        <v>0</v>
      </c>
      <c r="U301">
        <f t="shared" si="23"/>
        <v>1</v>
      </c>
      <c r="V301">
        <f t="shared" si="24"/>
        <v>1</v>
      </c>
      <c r="W301">
        <f t="shared" si="25"/>
        <v>1</v>
      </c>
      <c r="X301">
        <f t="shared" si="26"/>
        <v>1</v>
      </c>
    </row>
    <row r="302" spans="1:24" hidden="1">
      <c r="A302" t="s">
        <v>131</v>
      </c>
      <c r="B302">
        <v>6</v>
      </c>
      <c r="C302">
        <v>1</v>
      </c>
      <c r="D302">
        <v>96.891771019678004</v>
      </c>
      <c r="E302">
        <v>98.937835420393554</v>
      </c>
      <c r="F302">
        <v>98.624776386404307</v>
      </c>
      <c r="G302">
        <v>97.965116279069761</v>
      </c>
      <c r="H302">
        <v>50</v>
      </c>
      <c r="I302">
        <v>0</v>
      </c>
      <c r="J302">
        <v>0</v>
      </c>
      <c r="K302">
        <v>1</v>
      </c>
      <c r="L302">
        <v>1</v>
      </c>
      <c r="M302">
        <v>0</v>
      </c>
      <c r="N302">
        <v>35</v>
      </c>
      <c r="O302">
        <v>60000</v>
      </c>
      <c r="P302">
        <v>5</v>
      </c>
      <c r="Q302">
        <v>4</v>
      </c>
      <c r="R302">
        <v>5</v>
      </c>
      <c r="S302">
        <v>4</v>
      </c>
      <c r="T302" s="123">
        <f t="shared" si="22"/>
        <v>1</v>
      </c>
      <c r="U302">
        <f t="shared" si="23"/>
        <v>1</v>
      </c>
      <c r="V302">
        <f t="shared" si="24"/>
        <v>1</v>
      </c>
      <c r="W302">
        <f t="shared" si="25"/>
        <v>1</v>
      </c>
      <c r="X302">
        <f t="shared" si="26"/>
        <v>1</v>
      </c>
    </row>
    <row r="303" spans="1:24">
      <c r="A303" t="s">
        <v>131</v>
      </c>
      <c r="B303">
        <v>7</v>
      </c>
      <c r="C303">
        <v>1</v>
      </c>
      <c r="D303">
        <v>94.163685152057241</v>
      </c>
      <c r="E303">
        <v>89.009391771019679</v>
      </c>
      <c r="F303">
        <v>92.933810375670831</v>
      </c>
      <c r="G303">
        <v>6.8872987477638654</v>
      </c>
      <c r="H303">
        <v>5.8363148479427531</v>
      </c>
      <c r="I303">
        <v>0</v>
      </c>
      <c r="J303">
        <v>1</v>
      </c>
      <c r="K303">
        <v>1</v>
      </c>
      <c r="L303">
        <v>1</v>
      </c>
      <c r="M303">
        <v>0</v>
      </c>
      <c r="N303">
        <v>35</v>
      </c>
      <c r="O303">
        <v>60000</v>
      </c>
      <c r="P303">
        <v>5</v>
      </c>
      <c r="Q303">
        <v>4</v>
      </c>
      <c r="R303">
        <v>5</v>
      </c>
      <c r="S303">
        <v>4</v>
      </c>
      <c r="T303" s="123">
        <f t="shared" si="22"/>
        <v>0</v>
      </c>
      <c r="U303">
        <f t="shared" si="23"/>
        <v>1</v>
      </c>
      <c r="V303">
        <f t="shared" si="24"/>
        <v>1</v>
      </c>
      <c r="W303">
        <f t="shared" si="25"/>
        <v>1</v>
      </c>
      <c r="X303">
        <f t="shared" si="26"/>
        <v>1</v>
      </c>
    </row>
    <row r="304" spans="1:24">
      <c r="A304" t="s">
        <v>132</v>
      </c>
      <c r="B304">
        <v>1</v>
      </c>
      <c r="C304">
        <v>1</v>
      </c>
      <c r="D304">
        <v>10.39119804400978</v>
      </c>
      <c r="E304">
        <v>1.044676594798843</v>
      </c>
      <c r="F304">
        <v>5.101133585241163</v>
      </c>
      <c r="G304">
        <v>99.711046899310958</v>
      </c>
      <c r="H304">
        <v>99.711046899310958</v>
      </c>
      <c r="I304">
        <v>1</v>
      </c>
      <c r="J304">
        <v>0</v>
      </c>
      <c r="K304">
        <v>0</v>
      </c>
      <c r="L304">
        <v>1</v>
      </c>
      <c r="M304">
        <v>0</v>
      </c>
      <c r="N304">
        <v>43</v>
      </c>
      <c r="O304">
        <v>14500</v>
      </c>
      <c r="P304">
        <v>1</v>
      </c>
      <c r="Q304">
        <v>1</v>
      </c>
      <c r="R304">
        <v>3</v>
      </c>
      <c r="S304">
        <v>3</v>
      </c>
      <c r="T304" s="123">
        <f t="shared" si="22"/>
        <v>0</v>
      </c>
      <c r="U304">
        <f t="shared" si="23"/>
        <v>0</v>
      </c>
      <c r="V304">
        <f t="shared" si="24"/>
        <v>0</v>
      </c>
      <c r="W304">
        <f t="shared" si="25"/>
        <v>0</v>
      </c>
      <c r="X304">
        <f t="shared" si="26"/>
        <v>0</v>
      </c>
    </row>
    <row r="305" spans="1:24">
      <c r="A305" t="s">
        <v>132</v>
      </c>
      <c r="B305">
        <v>2</v>
      </c>
      <c r="C305">
        <v>1</v>
      </c>
      <c r="D305">
        <v>8.6019115358968676</v>
      </c>
      <c r="E305">
        <v>19.91553678595244</v>
      </c>
      <c r="F305">
        <v>0.95576794843298396</v>
      </c>
      <c r="G305">
        <v>97.1215825739053</v>
      </c>
      <c r="H305">
        <v>100</v>
      </c>
      <c r="I305">
        <v>0</v>
      </c>
      <c r="J305">
        <v>0</v>
      </c>
      <c r="K305">
        <v>0</v>
      </c>
      <c r="L305">
        <v>1</v>
      </c>
      <c r="M305">
        <v>0</v>
      </c>
      <c r="N305">
        <v>43</v>
      </c>
      <c r="O305">
        <v>14500</v>
      </c>
      <c r="P305">
        <v>1</v>
      </c>
      <c r="Q305">
        <v>1</v>
      </c>
      <c r="R305">
        <v>3</v>
      </c>
      <c r="S305">
        <v>3</v>
      </c>
      <c r="T305" s="123">
        <f t="shared" si="22"/>
        <v>0</v>
      </c>
      <c r="U305">
        <f t="shared" si="23"/>
        <v>0</v>
      </c>
      <c r="V305">
        <f t="shared" si="24"/>
        <v>0</v>
      </c>
      <c r="W305">
        <f t="shared" si="25"/>
        <v>0</v>
      </c>
      <c r="X305">
        <f t="shared" si="26"/>
        <v>0</v>
      </c>
    </row>
    <row r="306" spans="1:24">
      <c r="A306" t="s">
        <v>132</v>
      </c>
      <c r="B306">
        <v>3</v>
      </c>
      <c r="C306">
        <v>1</v>
      </c>
      <c r="D306">
        <v>1.733718604134254</v>
      </c>
      <c r="E306">
        <v>0.80017781729272985</v>
      </c>
      <c r="F306">
        <v>23.41631473660814</v>
      </c>
      <c r="G306">
        <v>98.044009779951097</v>
      </c>
      <c r="H306">
        <v>89.342076016892634</v>
      </c>
      <c r="I306">
        <v>0</v>
      </c>
      <c r="J306">
        <v>0</v>
      </c>
      <c r="K306">
        <v>0</v>
      </c>
      <c r="L306">
        <v>1</v>
      </c>
      <c r="M306">
        <v>0</v>
      </c>
      <c r="N306">
        <v>43</v>
      </c>
      <c r="O306">
        <v>14500</v>
      </c>
      <c r="P306">
        <v>1</v>
      </c>
      <c r="Q306">
        <v>1</v>
      </c>
      <c r="R306">
        <v>3</v>
      </c>
      <c r="S306">
        <v>3</v>
      </c>
      <c r="T306" s="123">
        <f t="shared" si="22"/>
        <v>0</v>
      </c>
      <c r="U306">
        <f t="shared" si="23"/>
        <v>0</v>
      </c>
      <c r="V306">
        <f t="shared" si="24"/>
        <v>0</v>
      </c>
      <c r="W306">
        <f t="shared" si="25"/>
        <v>0</v>
      </c>
      <c r="X306">
        <f t="shared" si="26"/>
        <v>0</v>
      </c>
    </row>
    <row r="307" spans="1:24">
      <c r="A307" t="s">
        <v>132</v>
      </c>
      <c r="B307">
        <v>4</v>
      </c>
      <c r="C307">
        <v>1</v>
      </c>
      <c r="D307">
        <v>1.1335852411647029</v>
      </c>
      <c r="E307">
        <v>0.9446543676372543</v>
      </c>
      <c r="F307">
        <v>0.8446321404756596</v>
      </c>
      <c r="G307">
        <v>94.998888641920431</v>
      </c>
      <c r="H307">
        <v>90.364525450100018</v>
      </c>
      <c r="I307">
        <v>0</v>
      </c>
      <c r="J307">
        <v>0</v>
      </c>
      <c r="K307">
        <v>0</v>
      </c>
      <c r="L307">
        <v>1</v>
      </c>
      <c r="M307">
        <v>0</v>
      </c>
      <c r="N307">
        <v>43</v>
      </c>
      <c r="O307">
        <v>14500</v>
      </c>
      <c r="P307">
        <v>1</v>
      </c>
      <c r="Q307">
        <v>1</v>
      </c>
      <c r="R307">
        <v>3</v>
      </c>
      <c r="S307">
        <v>3</v>
      </c>
      <c r="T307" s="123">
        <f t="shared" si="22"/>
        <v>0</v>
      </c>
      <c r="U307">
        <f t="shared" si="23"/>
        <v>0</v>
      </c>
      <c r="V307">
        <f t="shared" si="24"/>
        <v>0</v>
      </c>
      <c r="W307">
        <f t="shared" si="25"/>
        <v>0</v>
      </c>
      <c r="X307">
        <f t="shared" si="26"/>
        <v>0</v>
      </c>
    </row>
    <row r="308" spans="1:24">
      <c r="A308" t="s">
        <v>132</v>
      </c>
      <c r="B308">
        <v>5</v>
      </c>
      <c r="C308">
        <v>1</v>
      </c>
      <c r="D308">
        <v>1.767059346521449</v>
      </c>
      <c r="E308">
        <v>0.58901978217381634</v>
      </c>
      <c r="F308">
        <v>1.867081573683038</v>
      </c>
      <c r="G308">
        <v>77.239386530340084</v>
      </c>
      <c r="H308">
        <v>98.344076461435876</v>
      </c>
      <c r="I308">
        <v>0</v>
      </c>
      <c r="J308">
        <v>0</v>
      </c>
      <c r="K308">
        <v>0</v>
      </c>
      <c r="L308">
        <v>1</v>
      </c>
      <c r="M308">
        <v>0</v>
      </c>
      <c r="N308">
        <v>43</v>
      </c>
      <c r="O308">
        <v>14500</v>
      </c>
      <c r="P308">
        <v>1</v>
      </c>
      <c r="Q308">
        <v>1</v>
      </c>
      <c r="R308">
        <v>3</v>
      </c>
      <c r="S308">
        <v>3</v>
      </c>
      <c r="T308" s="123">
        <f t="shared" si="22"/>
        <v>0</v>
      </c>
      <c r="U308">
        <f t="shared" si="23"/>
        <v>0</v>
      </c>
      <c r="V308">
        <f t="shared" si="24"/>
        <v>0</v>
      </c>
      <c r="W308">
        <f t="shared" si="25"/>
        <v>0</v>
      </c>
      <c r="X308">
        <f t="shared" si="26"/>
        <v>0</v>
      </c>
    </row>
    <row r="309" spans="1:24">
      <c r="A309" t="s">
        <v>132</v>
      </c>
      <c r="B309">
        <v>6</v>
      </c>
      <c r="C309">
        <v>1</v>
      </c>
      <c r="D309">
        <v>4.8344076461435908</v>
      </c>
      <c r="E309">
        <v>1.9559902200488981</v>
      </c>
      <c r="F309">
        <v>5.5012224938875312</v>
      </c>
      <c r="G309">
        <v>86.019115358968662</v>
      </c>
      <c r="H309">
        <v>98.966436985996893</v>
      </c>
      <c r="I309">
        <v>0</v>
      </c>
      <c r="J309">
        <v>0</v>
      </c>
      <c r="K309">
        <v>0</v>
      </c>
      <c r="L309">
        <v>1</v>
      </c>
      <c r="M309">
        <v>0</v>
      </c>
      <c r="N309">
        <v>43</v>
      </c>
      <c r="O309">
        <v>14500</v>
      </c>
      <c r="P309">
        <v>1</v>
      </c>
      <c r="Q309">
        <v>1</v>
      </c>
      <c r="R309">
        <v>3</v>
      </c>
      <c r="S309">
        <v>3</v>
      </c>
      <c r="T309" s="123">
        <f t="shared" si="22"/>
        <v>0</v>
      </c>
      <c r="U309">
        <f t="shared" si="23"/>
        <v>0</v>
      </c>
      <c r="V309">
        <f t="shared" si="24"/>
        <v>0</v>
      </c>
      <c r="W309">
        <f t="shared" si="25"/>
        <v>0</v>
      </c>
      <c r="X309">
        <f t="shared" si="26"/>
        <v>0</v>
      </c>
    </row>
    <row r="310" spans="1:24">
      <c r="A310" t="s">
        <v>132</v>
      </c>
      <c r="B310">
        <v>7</v>
      </c>
      <c r="C310">
        <v>1</v>
      </c>
      <c r="D310">
        <v>41.218681585988811</v>
      </c>
      <c r="E310">
        <v>22.464120651909511</v>
      </c>
      <c r="F310">
        <v>9.9367550474337154</v>
      </c>
      <c r="G310">
        <v>50</v>
      </c>
      <c r="H310">
        <v>8.2096813427389943</v>
      </c>
      <c r="I310">
        <v>0</v>
      </c>
      <c r="J310">
        <v>1</v>
      </c>
      <c r="K310">
        <v>0</v>
      </c>
      <c r="L310">
        <v>1</v>
      </c>
      <c r="M310">
        <v>0</v>
      </c>
      <c r="N310">
        <v>43</v>
      </c>
      <c r="O310">
        <v>14500</v>
      </c>
      <c r="P310">
        <v>1</v>
      </c>
      <c r="Q310">
        <v>1</v>
      </c>
      <c r="R310">
        <v>3</v>
      </c>
      <c r="S310">
        <v>3</v>
      </c>
      <c r="T310" s="123">
        <f t="shared" si="22"/>
        <v>0</v>
      </c>
      <c r="U310">
        <f t="shared" si="23"/>
        <v>0</v>
      </c>
      <c r="V310">
        <f t="shared" si="24"/>
        <v>0</v>
      </c>
      <c r="W310">
        <f t="shared" si="25"/>
        <v>0</v>
      </c>
      <c r="X310">
        <f t="shared" si="26"/>
        <v>0</v>
      </c>
    </row>
    <row r="311" spans="1:24">
      <c r="A311" t="s">
        <v>133</v>
      </c>
      <c r="B311">
        <v>1</v>
      </c>
      <c r="C311">
        <v>1</v>
      </c>
      <c r="D311">
        <v>2.704503064215297</v>
      </c>
      <c r="E311">
        <v>4.010125233146816</v>
      </c>
      <c r="F311">
        <v>8.0735411670663453</v>
      </c>
      <c r="G311">
        <v>50</v>
      </c>
      <c r="H311">
        <v>85.504929389821484</v>
      </c>
      <c r="I311">
        <v>1</v>
      </c>
      <c r="J311">
        <v>0</v>
      </c>
      <c r="K311">
        <v>0</v>
      </c>
      <c r="L311">
        <v>1</v>
      </c>
      <c r="M311">
        <v>0</v>
      </c>
      <c r="N311">
        <v>52</v>
      </c>
      <c r="O311">
        <v>73000</v>
      </c>
      <c r="P311">
        <v>5</v>
      </c>
      <c r="Q311">
        <v>1</v>
      </c>
      <c r="R311">
        <v>3</v>
      </c>
      <c r="S311">
        <v>2</v>
      </c>
      <c r="T311" s="123">
        <f t="shared" si="22"/>
        <v>0</v>
      </c>
      <c r="U311">
        <f t="shared" si="23"/>
        <v>1</v>
      </c>
      <c r="V311">
        <f t="shared" si="24"/>
        <v>0</v>
      </c>
      <c r="W311">
        <f t="shared" si="25"/>
        <v>0</v>
      </c>
      <c r="X311">
        <f t="shared" si="26"/>
        <v>0</v>
      </c>
    </row>
    <row r="312" spans="1:24">
      <c r="A312" t="s">
        <v>133</v>
      </c>
      <c r="B312">
        <v>2</v>
      </c>
      <c r="C312">
        <v>1</v>
      </c>
      <c r="D312">
        <v>12.66986410871303</v>
      </c>
      <c r="E312">
        <v>49.387156941113773</v>
      </c>
      <c r="F312">
        <v>5.9952038369304574</v>
      </c>
      <c r="G312">
        <v>58.393285371702632</v>
      </c>
      <c r="H312">
        <v>66.173727684519051</v>
      </c>
      <c r="I312">
        <v>0</v>
      </c>
      <c r="J312">
        <v>0</v>
      </c>
      <c r="K312">
        <v>0</v>
      </c>
      <c r="L312">
        <v>1</v>
      </c>
      <c r="M312">
        <v>0</v>
      </c>
      <c r="N312">
        <v>52</v>
      </c>
      <c r="O312">
        <v>73000</v>
      </c>
      <c r="P312">
        <v>5</v>
      </c>
      <c r="Q312">
        <v>1</v>
      </c>
      <c r="R312">
        <v>3</v>
      </c>
      <c r="S312">
        <v>2</v>
      </c>
      <c r="T312" s="123">
        <f t="shared" si="22"/>
        <v>0</v>
      </c>
      <c r="U312">
        <f t="shared" si="23"/>
        <v>1</v>
      </c>
      <c r="V312">
        <f t="shared" si="24"/>
        <v>0</v>
      </c>
      <c r="W312">
        <f t="shared" si="25"/>
        <v>0</v>
      </c>
      <c r="X312">
        <f t="shared" si="26"/>
        <v>0</v>
      </c>
    </row>
    <row r="313" spans="1:24">
      <c r="A313" t="s">
        <v>133</v>
      </c>
      <c r="B313">
        <v>3</v>
      </c>
      <c r="C313">
        <v>1</v>
      </c>
      <c r="D313">
        <v>50</v>
      </c>
      <c r="E313">
        <v>2.2915001332267542</v>
      </c>
      <c r="F313">
        <v>50</v>
      </c>
      <c r="G313">
        <v>50</v>
      </c>
      <c r="H313">
        <v>50</v>
      </c>
      <c r="I313">
        <v>0</v>
      </c>
      <c r="J313">
        <v>0</v>
      </c>
      <c r="K313">
        <v>0</v>
      </c>
      <c r="L313">
        <v>1</v>
      </c>
      <c r="M313">
        <v>0</v>
      </c>
      <c r="N313">
        <v>52</v>
      </c>
      <c r="O313">
        <v>73000</v>
      </c>
      <c r="P313">
        <v>5</v>
      </c>
      <c r="Q313">
        <v>1</v>
      </c>
      <c r="R313">
        <v>3</v>
      </c>
      <c r="S313">
        <v>2</v>
      </c>
      <c r="T313" s="123">
        <f t="shared" si="22"/>
        <v>0</v>
      </c>
      <c r="U313">
        <f t="shared" si="23"/>
        <v>1</v>
      </c>
      <c r="V313">
        <f t="shared" si="24"/>
        <v>0</v>
      </c>
      <c r="W313">
        <f t="shared" si="25"/>
        <v>0</v>
      </c>
      <c r="X313">
        <f t="shared" si="26"/>
        <v>0</v>
      </c>
    </row>
    <row r="314" spans="1:24">
      <c r="A314" t="s">
        <v>133</v>
      </c>
      <c r="B314">
        <v>4</v>
      </c>
      <c r="C314">
        <v>1</v>
      </c>
      <c r="D314">
        <v>0</v>
      </c>
      <c r="E314">
        <v>3.610444977351452</v>
      </c>
      <c r="F314">
        <v>22.035704769517722</v>
      </c>
      <c r="G314">
        <v>50</v>
      </c>
      <c r="H314">
        <v>89.72821742605916</v>
      </c>
      <c r="I314">
        <v>0</v>
      </c>
      <c r="J314">
        <v>0</v>
      </c>
      <c r="K314">
        <v>0</v>
      </c>
      <c r="L314">
        <v>1</v>
      </c>
      <c r="M314">
        <v>0</v>
      </c>
      <c r="N314">
        <v>52</v>
      </c>
      <c r="O314">
        <v>73000</v>
      </c>
      <c r="P314">
        <v>5</v>
      </c>
      <c r="Q314">
        <v>1</v>
      </c>
      <c r="R314">
        <v>3</v>
      </c>
      <c r="S314">
        <v>2</v>
      </c>
      <c r="T314" s="123">
        <f t="shared" si="22"/>
        <v>0</v>
      </c>
      <c r="U314">
        <f t="shared" si="23"/>
        <v>1</v>
      </c>
      <c r="V314">
        <f t="shared" si="24"/>
        <v>0</v>
      </c>
      <c r="W314">
        <f t="shared" si="25"/>
        <v>0</v>
      </c>
      <c r="X314">
        <f t="shared" si="26"/>
        <v>0</v>
      </c>
    </row>
    <row r="315" spans="1:24">
      <c r="A315" t="s">
        <v>133</v>
      </c>
      <c r="B315">
        <v>5</v>
      </c>
      <c r="C315">
        <v>1</v>
      </c>
      <c r="D315">
        <v>50</v>
      </c>
      <c r="E315">
        <v>11.763922195576869</v>
      </c>
      <c r="F315">
        <v>7.1276312283506504</v>
      </c>
      <c r="G315">
        <v>75.486277644551024</v>
      </c>
      <c r="H315">
        <v>88.369304556354919</v>
      </c>
      <c r="I315">
        <v>0</v>
      </c>
      <c r="J315">
        <v>0</v>
      </c>
      <c r="K315">
        <v>0</v>
      </c>
      <c r="L315">
        <v>1</v>
      </c>
      <c r="M315">
        <v>0</v>
      </c>
      <c r="N315">
        <v>52</v>
      </c>
      <c r="O315">
        <v>73000</v>
      </c>
      <c r="P315">
        <v>5</v>
      </c>
      <c r="Q315">
        <v>1</v>
      </c>
      <c r="R315">
        <v>3</v>
      </c>
      <c r="S315">
        <v>2</v>
      </c>
      <c r="T315" s="123">
        <f t="shared" si="22"/>
        <v>0</v>
      </c>
      <c r="U315">
        <f t="shared" si="23"/>
        <v>1</v>
      </c>
      <c r="V315">
        <f t="shared" si="24"/>
        <v>0</v>
      </c>
      <c r="W315">
        <f t="shared" si="25"/>
        <v>0</v>
      </c>
      <c r="X315">
        <f t="shared" si="26"/>
        <v>0</v>
      </c>
    </row>
    <row r="316" spans="1:24">
      <c r="A316" t="s">
        <v>133</v>
      </c>
      <c r="B316">
        <v>6</v>
      </c>
      <c r="C316">
        <v>1</v>
      </c>
      <c r="D316">
        <v>15.14788169464428</v>
      </c>
      <c r="E316">
        <v>7.8070876632027719</v>
      </c>
      <c r="F316">
        <v>30.961897148947511</v>
      </c>
      <c r="G316">
        <v>51.345590194511061</v>
      </c>
      <c r="H316">
        <v>56.621369571009858</v>
      </c>
      <c r="I316">
        <v>0</v>
      </c>
      <c r="J316">
        <v>0</v>
      </c>
      <c r="K316">
        <v>0</v>
      </c>
      <c r="L316">
        <v>1</v>
      </c>
      <c r="M316">
        <v>0</v>
      </c>
      <c r="N316">
        <v>52</v>
      </c>
      <c r="O316">
        <v>73000</v>
      </c>
      <c r="P316">
        <v>5</v>
      </c>
      <c r="Q316">
        <v>1</v>
      </c>
      <c r="R316">
        <v>3</v>
      </c>
      <c r="S316">
        <v>2</v>
      </c>
      <c r="T316" s="123">
        <f t="shared" si="22"/>
        <v>0</v>
      </c>
      <c r="U316">
        <f t="shared" si="23"/>
        <v>1</v>
      </c>
      <c r="V316">
        <f t="shared" si="24"/>
        <v>0</v>
      </c>
      <c r="W316">
        <f t="shared" si="25"/>
        <v>0</v>
      </c>
      <c r="X316">
        <f t="shared" si="26"/>
        <v>0</v>
      </c>
    </row>
    <row r="317" spans="1:24">
      <c r="A317" t="s">
        <v>133</v>
      </c>
      <c r="B317">
        <v>7</v>
      </c>
      <c r="C317">
        <v>1</v>
      </c>
      <c r="D317">
        <v>1.3722355448974159</v>
      </c>
      <c r="E317">
        <v>15.84066080468958</v>
      </c>
      <c r="F317">
        <v>29.176658673061549</v>
      </c>
      <c r="G317">
        <v>97.721822541966418</v>
      </c>
      <c r="H317">
        <v>97.721822541966418</v>
      </c>
      <c r="I317">
        <v>0</v>
      </c>
      <c r="J317">
        <v>1</v>
      </c>
      <c r="K317">
        <v>0</v>
      </c>
      <c r="L317">
        <v>1</v>
      </c>
      <c r="M317">
        <v>0</v>
      </c>
      <c r="N317">
        <v>52</v>
      </c>
      <c r="O317">
        <v>73000</v>
      </c>
      <c r="P317">
        <v>5</v>
      </c>
      <c r="Q317">
        <v>1</v>
      </c>
      <c r="R317">
        <v>3</v>
      </c>
      <c r="S317">
        <v>2</v>
      </c>
      <c r="T317" s="123">
        <f t="shared" si="22"/>
        <v>0</v>
      </c>
      <c r="U317">
        <f t="shared" si="23"/>
        <v>1</v>
      </c>
      <c r="V317">
        <f t="shared" si="24"/>
        <v>0</v>
      </c>
      <c r="W317">
        <f t="shared" si="25"/>
        <v>0</v>
      </c>
      <c r="X317">
        <f t="shared" si="26"/>
        <v>0</v>
      </c>
    </row>
    <row r="318" spans="1:24" hidden="1">
      <c r="A318" t="s">
        <v>134</v>
      </c>
      <c r="B318">
        <v>1</v>
      </c>
      <c r="C318">
        <v>1</v>
      </c>
      <c r="D318">
        <v>20.678948457876221</v>
      </c>
      <c r="E318">
        <v>5.2059614986545206</v>
      </c>
      <c r="F318">
        <v>2.7841026702546068</v>
      </c>
      <c r="G318">
        <v>2.5978058373007649</v>
      </c>
      <c r="H318">
        <v>2.1113641068101821</v>
      </c>
      <c r="I318">
        <v>1</v>
      </c>
      <c r="J318">
        <v>0</v>
      </c>
      <c r="K318">
        <v>0</v>
      </c>
      <c r="L318">
        <v>1</v>
      </c>
      <c r="M318">
        <v>1</v>
      </c>
      <c r="N318">
        <v>30</v>
      </c>
      <c r="O318">
        <v>350000</v>
      </c>
      <c r="P318">
        <v>1</v>
      </c>
      <c r="Q318">
        <v>1</v>
      </c>
      <c r="R318">
        <v>3</v>
      </c>
      <c r="S318">
        <v>4</v>
      </c>
      <c r="T318" s="123">
        <f t="shared" si="22"/>
        <v>1</v>
      </c>
      <c r="U318">
        <f t="shared" si="23"/>
        <v>0</v>
      </c>
      <c r="V318">
        <f t="shared" si="24"/>
        <v>0</v>
      </c>
      <c r="W318">
        <f t="shared" si="25"/>
        <v>0</v>
      </c>
      <c r="X318">
        <f t="shared" si="26"/>
        <v>1</v>
      </c>
    </row>
    <row r="319" spans="1:24">
      <c r="A319" t="s">
        <v>134</v>
      </c>
      <c r="B319">
        <v>2</v>
      </c>
      <c r="C319">
        <v>1</v>
      </c>
      <c r="D319">
        <v>1.6870213206375499</v>
      </c>
      <c r="E319">
        <v>5.961498654522873</v>
      </c>
      <c r="F319">
        <v>4.0260815566135371</v>
      </c>
      <c r="G319">
        <v>82.270751397226249</v>
      </c>
      <c r="H319">
        <v>3.7983854274477311</v>
      </c>
      <c r="I319">
        <v>0</v>
      </c>
      <c r="J319">
        <v>0</v>
      </c>
      <c r="K319">
        <v>0</v>
      </c>
      <c r="L319">
        <v>1</v>
      </c>
      <c r="M319">
        <v>1</v>
      </c>
      <c r="N319">
        <v>30</v>
      </c>
      <c r="O319">
        <v>350000</v>
      </c>
      <c r="P319">
        <v>1</v>
      </c>
      <c r="Q319">
        <v>1</v>
      </c>
      <c r="R319">
        <v>3</v>
      </c>
      <c r="S319">
        <v>4</v>
      </c>
      <c r="T319" s="123">
        <f t="shared" si="22"/>
        <v>0</v>
      </c>
      <c r="U319">
        <f t="shared" si="23"/>
        <v>0</v>
      </c>
      <c r="V319">
        <f t="shared" si="24"/>
        <v>0</v>
      </c>
      <c r="W319">
        <f t="shared" si="25"/>
        <v>0</v>
      </c>
      <c r="X319">
        <f t="shared" si="26"/>
        <v>1</v>
      </c>
    </row>
    <row r="320" spans="1:24">
      <c r="A320" t="s">
        <v>134</v>
      </c>
      <c r="B320">
        <v>3</v>
      </c>
      <c r="C320">
        <v>1</v>
      </c>
      <c r="D320">
        <v>9.9561403508771953</v>
      </c>
      <c r="E320">
        <v>8.6951754385964914</v>
      </c>
      <c r="F320">
        <v>91.732456140350877</v>
      </c>
      <c r="G320">
        <v>88.75</v>
      </c>
      <c r="H320">
        <v>50</v>
      </c>
      <c r="I320">
        <v>0</v>
      </c>
      <c r="J320">
        <v>0</v>
      </c>
      <c r="K320">
        <v>0</v>
      </c>
      <c r="L320">
        <v>1</v>
      </c>
      <c r="M320">
        <v>1</v>
      </c>
      <c r="N320">
        <v>30</v>
      </c>
      <c r="O320">
        <v>350000</v>
      </c>
      <c r="P320">
        <v>1</v>
      </c>
      <c r="Q320">
        <v>1</v>
      </c>
      <c r="R320">
        <v>3</v>
      </c>
      <c r="S320">
        <v>4</v>
      </c>
      <c r="T320" s="123">
        <f t="shared" si="22"/>
        <v>0</v>
      </c>
      <c r="U320">
        <f t="shared" si="23"/>
        <v>0</v>
      </c>
      <c r="V320">
        <f t="shared" si="24"/>
        <v>0</v>
      </c>
      <c r="W320">
        <f t="shared" si="25"/>
        <v>0</v>
      </c>
      <c r="X320">
        <f t="shared" si="26"/>
        <v>1</v>
      </c>
    </row>
    <row r="321" spans="1:24" hidden="1">
      <c r="A321" t="s">
        <v>134</v>
      </c>
      <c r="B321">
        <v>4</v>
      </c>
      <c r="C321">
        <v>1</v>
      </c>
      <c r="D321">
        <v>1.4912280701754379</v>
      </c>
      <c r="E321">
        <v>8.1359649122807021</v>
      </c>
      <c r="F321">
        <v>0</v>
      </c>
      <c r="G321">
        <v>1.4912280701754379</v>
      </c>
      <c r="H321">
        <v>7.9605263157894726</v>
      </c>
      <c r="I321">
        <v>0</v>
      </c>
      <c r="J321">
        <v>0</v>
      </c>
      <c r="K321">
        <v>0</v>
      </c>
      <c r="L321">
        <v>1</v>
      </c>
      <c r="M321">
        <v>1</v>
      </c>
      <c r="N321">
        <v>30</v>
      </c>
      <c r="O321">
        <v>350000</v>
      </c>
      <c r="P321">
        <v>1</v>
      </c>
      <c r="Q321">
        <v>1</v>
      </c>
      <c r="R321">
        <v>3</v>
      </c>
      <c r="S321">
        <v>4</v>
      </c>
      <c r="T321" s="123">
        <f t="shared" si="22"/>
        <v>1</v>
      </c>
      <c r="U321">
        <f t="shared" si="23"/>
        <v>0</v>
      </c>
      <c r="V321">
        <f t="shared" si="24"/>
        <v>0</v>
      </c>
      <c r="W321">
        <f t="shared" si="25"/>
        <v>0</v>
      </c>
      <c r="X321">
        <f t="shared" si="26"/>
        <v>1</v>
      </c>
    </row>
    <row r="322" spans="1:24" hidden="1">
      <c r="A322" t="s">
        <v>134</v>
      </c>
      <c r="B322">
        <v>5</v>
      </c>
      <c r="C322">
        <v>1</v>
      </c>
      <c r="D322">
        <v>15.6140350877193</v>
      </c>
      <c r="E322">
        <v>5.2521929824561386</v>
      </c>
      <c r="F322">
        <v>9.1995614035087705</v>
      </c>
      <c r="G322">
        <v>7.192982456140351</v>
      </c>
      <c r="H322">
        <v>4.5833333333333339</v>
      </c>
      <c r="I322">
        <v>0</v>
      </c>
      <c r="J322">
        <v>0</v>
      </c>
      <c r="K322">
        <v>0</v>
      </c>
      <c r="L322">
        <v>1</v>
      </c>
      <c r="M322">
        <v>1</v>
      </c>
      <c r="N322">
        <v>30</v>
      </c>
      <c r="O322">
        <v>350000</v>
      </c>
      <c r="P322">
        <v>1</v>
      </c>
      <c r="Q322">
        <v>1</v>
      </c>
      <c r="R322">
        <v>3</v>
      </c>
      <c r="S322">
        <v>4</v>
      </c>
      <c r="T322" s="123">
        <f t="shared" si="22"/>
        <v>1</v>
      </c>
      <c r="U322">
        <f t="shared" si="23"/>
        <v>0</v>
      </c>
      <c r="V322">
        <f t="shared" si="24"/>
        <v>0</v>
      </c>
      <c r="W322">
        <f t="shared" si="25"/>
        <v>0</v>
      </c>
      <c r="X322">
        <f t="shared" si="26"/>
        <v>1</v>
      </c>
    </row>
    <row r="323" spans="1:24">
      <c r="A323" t="s">
        <v>134</v>
      </c>
      <c r="B323">
        <v>6</v>
      </c>
      <c r="C323">
        <v>1</v>
      </c>
      <c r="D323">
        <v>13.65131578947368</v>
      </c>
      <c r="E323">
        <v>4.0460526315789451</v>
      </c>
      <c r="F323">
        <v>9.3092105263157912</v>
      </c>
      <c r="G323">
        <v>92.26973684210526</v>
      </c>
      <c r="H323">
        <v>5.4166666666666696</v>
      </c>
      <c r="I323">
        <v>0</v>
      </c>
      <c r="J323">
        <v>0</v>
      </c>
      <c r="K323">
        <v>0</v>
      </c>
      <c r="L323">
        <v>1</v>
      </c>
      <c r="M323">
        <v>1</v>
      </c>
      <c r="N323">
        <v>30</v>
      </c>
      <c r="O323">
        <v>350000</v>
      </c>
      <c r="P323">
        <v>1</v>
      </c>
      <c r="Q323">
        <v>1</v>
      </c>
      <c r="R323">
        <v>3</v>
      </c>
      <c r="S323">
        <v>4</v>
      </c>
      <c r="T323" s="123">
        <f t="shared" si="22"/>
        <v>0</v>
      </c>
      <c r="U323">
        <f t="shared" si="23"/>
        <v>0</v>
      </c>
      <c r="V323">
        <f t="shared" si="24"/>
        <v>0</v>
      </c>
      <c r="W323">
        <f t="shared" si="25"/>
        <v>0</v>
      </c>
      <c r="X323">
        <f t="shared" si="26"/>
        <v>1</v>
      </c>
    </row>
    <row r="324" spans="1:24" hidden="1">
      <c r="A324" t="s">
        <v>134</v>
      </c>
      <c r="B324">
        <v>7</v>
      </c>
      <c r="C324">
        <v>1</v>
      </c>
      <c r="D324">
        <v>8.497807017543856</v>
      </c>
      <c r="E324">
        <v>9.7697368421052637</v>
      </c>
      <c r="F324">
        <v>7.0833333333333304</v>
      </c>
      <c r="G324">
        <v>5.5482456140350864</v>
      </c>
      <c r="H324">
        <v>9.6600877192982431</v>
      </c>
      <c r="I324">
        <v>0</v>
      </c>
      <c r="J324">
        <v>1</v>
      </c>
      <c r="K324">
        <v>0</v>
      </c>
      <c r="L324">
        <v>1</v>
      </c>
      <c r="M324">
        <v>1</v>
      </c>
      <c r="N324">
        <v>30</v>
      </c>
      <c r="O324">
        <v>350000</v>
      </c>
      <c r="P324">
        <v>1</v>
      </c>
      <c r="Q324">
        <v>1</v>
      </c>
      <c r="R324">
        <v>3</v>
      </c>
      <c r="S324">
        <v>4</v>
      </c>
      <c r="T324" s="123">
        <f t="shared" ref="T324:T387" si="27">IF(OR(IF(AVERAGE(E324:F324)-G324&gt;(10),1,0),IF(AVERAGE(E324:F324)-G324&lt;(-10),1,0)),0,1)</f>
        <v>1</v>
      </c>
      <c r="U324">
        <f t="shared" ref="U324:U387" si="28">IF(P324&gt;3,1,0)</f>
        <v>0</v>
      </c>
      <c r="V324">
        <f t="shared" ref="V324:V387" si="29">IF(Q324&gt;3,1,0)</f>
        <v>0</v>
      </c>
      <c r="W324">
        <f t="shared" ref="W324:W387" si="30">IF(R324&gt;3,1,0)</f>
        <v>0</v>
      </c>
      <c r="X324">
        <f t="shared" ref="X324:X387" si="31">IF(S324&gt;3,1,0)</f>
        <v>1</v>
      </c>
    </row>
    <row r="325" spans="1:24">
      <c r="A325" t="s">
        <v>135</v>
      </c>
      <c r="B325">
        <v>1</v>
      </c>
      <c r="C325">
        <v>1</v>
      </c>
      <c r="D325">
        <v>79.210992907801426</v>
      </c>
      <c r="E325">
        <v>21.93515704154002</v>
      </c>
      <c r="F325">
        <v>93.465045592705167</v>
      </c>
      <c r="G325">
        <v>4.6542553191489366</v>
      </c>
      <c r="H325">
        <v>8.6499493414387008</v>
      </c>
      <c r="I325">
        <v>1</v>
      </c>
      <c r="J325">
        <v>0</v>
      </c>
      <c r="K325">
        <v>1</v>
      </c>
      <c r="L325">
        <v>1</v>
      </c>
      <c r="M325">
        <v>1</v>
      </c>
      <c r="N325">
        <v>42</v>
      </c>
      <c r="O325">
        <v>-99</v>
      </c>
      <c r="P325">
        <v>2</v>
      </c>
      <c r="Q325">
        <v>1</v>
      </c>
      <c r="R325">
        <v>3</v>
      </c>
      <c r="S325">
        <v>3</v>
      </c>
      <c r="T325" s="123">
        <f t="shared" si="27"/>
        <v>0</v>
      </c>
      <c r="U325">
        <f t="shared" si="28"/>
        <v>0</v>
      </c>
      <c r="V325">
        <f t="shared" si="29"/>
        <v>0</v>
      </c>
      <c r="W325">
        <f t="shared" si="30"/>
        <v>0</v>
      </c>
      <c r="X325">
        <f t="shared" si="31"/>
        <v>0</v>
      </c>
    </row>
    <row r="326" spans="1:24" hidden="1">
      <c r="A326" t="s">
        <v>135</v>
      </c>
      <c r="B326">
        <v>2</v>
      </c>
      <c r="C326">
        <v>1</v>
      </c>
      <c r="D326">
        <v>0.31028368794326361</v>
      </c>
      <c r="E326">
        <v>0</v>
      </c>
      <c r="F326">
        <v>0.9435157041540021</v>
      </c>
      <c r="G326">
        <v>4.6415906788247199</v>
      </c>
      <c r="H326">
        <v>2.43161094224924</v>
      </c>
      <c r="I326">
        <v>0</v>
      </c>
      <c r="J326">
        <v>0</v>
      </c>
      <c r="K326">
        <v>0</v>
      </c>
      <c r="L326">
        <v>1</v>
      </c>
      <c r="M326">
        <v>1</v>
      </c>
      <c r="N326">
        <v>42</v>
      </c>
      <c r="O326">
        <v>-99</v>
      </c>
      <c r="P326">
        <v>2</v>
      </c>
      <c r="Q326">
        <v>1</v>
      </c>
      <c r="R326">
        <v>3</v>
      </c>
      <c r="S326">
        <v>3</v>
      </c>
      <c r="T326" s="123">
        <f t="shared" si="27"/>
        <v>1</v>
      </c>
      <c r="U326">
        <f t="shared" si="28"/>
        <v>0</v>
      </c>
      <c r="V326">
        <f t="shared" si="29"/>
        <v>0</v>
      </c>
      <c r="W326">
        <f t="shared" si="30"/>
        <v>0</v>
      </c>
      <c r="X326">
        <f t="shared" si="31"/>
        <v>0</v>
      </c>
    </row>
    <row r="327" spans="1:24">
      <c r="A327" t="s">
        <v>135</v>
      </c>
      <c r="B327">
        <v>3</v>
      </c>
      <c r="C327">
        <v>1</v>
      </c>
      <c r="D327">
        <v>6.7474895909870209</v>
      </c>
      <c r="E327">
        <v>50</v>
      </c>
      <c r="F327">
        <v>16.715650257163851</v>
      </c>
      <c r="G327">
        <v>93.681116825863327</v>
      </c>
      <c r="H327">
        <v>8.1680137154053423</v>
      </c>
      <c r="I327">
        <v>0</v>
      </c>
      <c r="J327">
        <v>0</v>
      </c>
      <c r="K327">
        <v>0</v>
      </c>
      <c r="L327">
        <v>1</v>
      </c>
      <c r="M327">
        <v>1</v>
      </c>
      <c r="N327">
        <v>42</v>
      </c>
      <c r="O327">
        <v>-99</v>
      </c>
      <c r="P327">
        <v>2</v>
      </c>
      <c r="Q327">
        <v>1</v>
      </c>
      <c r="R327">
        <v>3</v>
      </c>
      <c r="S327">
        <v>3</v>
      </c>
      <c r="T327" s="123">
        <f t="shared" si="27"/>
        <v>0</v>
      </c>
      <c r="U327">
        <f t="shared" si="28"/>
        <v>0</v>
      </c>
      <c r="V327">
        <f t="shared" si="29"/>
        <v>0</v>
      </c>
      <c r="W327">
        <f t="shared" si="30"/>
        <v>0</v>
      </c>
      <c r="X327">
        <f t="shared" si="31"/>
        <v>0</v>
      </c>
    </row>
    <row r="328" spans="1:24">
      <c r="A328" t="s">
        <v>135</v>
      </c>
      <c r="B328">
        <v>4</v>
      </c>
      <c r="C328">
        <v>1</v>
      </c>
      <c r="D328">
        <v>50</v>
      </c>
      <c r="E328">
        <v>50</v>
      </c>
      <c r="F328">
        <v>20.389419544452611</v>
      </c>
      <c r="G328">
        <v>11.63360274308107</v>
      </c>
      <c r="H328">
        <v>50</v>
      </c>
      <c r="I328">
        <v>0</v>
      </c>
      <c r="J328">
        <v>0</v>
      </c>
      <c r="K328">
        <v>1</v>
      </c>
      <c r="L328">
        <v>1</v>
      </c>
      <c r="M328">
        <v>1</v>
      </c>
      <c r="N328">
        <v>42</v>
      </c>
      <c r="O328">
        <v>-99</v>
      </c>
      <c r="P328">
        <v>2</v>
      </c>
      <c r="Q328">
        <v>1</v>
      </c>
      <c r="R328">
        <v>3</v>
      </c>
      <c r="S328">
        <v>3</v>
      </c>
      <c r="T328" s="123">
        <f t="shared" si="27"/>
        <v>0</v>
      </c>
      <c r="U328">
        <f t="shared" si="28"/>
        <v>0</v>
      </c>
      <c r="V328">
        <f t="shared" si="29"/>
        <v>0</v>
      </c>
      <c r="W328">
        <f t="shared" si="30"/>
        <v>0</v>
      </c>
      <c r="X328">
        <f t="shared" si="31"/>
        <v>0</v>
      </c>
    </row>
    <row r="329" spans="1:24">
      <c r="A329" t="s">
        <v>135</v>
      </c>
      <c r="B329">
        <v>5</v>
      </c>
      <c r="C329">
        <v>1</v>
      </c>
      <c r="D329">
        <v>41.048248836639729</v>
      </c>
      <c r="E329">
        <v>4.4819985304922874</v>
      </c>
      <c r="F329">
        <v>5.5106539309331399</v>
      </c>
      <c r="G329">
        <v>85.513103110458005</v>
      </c>
      <c r="H329">
        <v>13.87460200832721</v>
      </c>
      <c r="I329">
        <v>0</v>
      </c>
      <c r="J329">
        <v>0</v>
      </c>
      <c r="K329">
        <v>0</v>
      </c>
      <c r="L329">
        <v>1</v>
      </c>
      <c r="M329">
        <v>1</v>
      </c>
      <c r="N329">
        <v>42</v>
      </c>
      <c r="O329">
        <v>-99</v>
      </c>
      <c r="P329">
        <v>2</v>
      </c>
      <c r="Q329">
        <v>1</v>
      </c>
      <c r="R329">
        <v>3</v>
      </c>
      <c r="S329">
        <v>3</v>
      </c>
      <c r="T329" s="123">
        <f t="shared" si="27"/>
        <v>0</v>
      </c>
      <c r="U329">
        <f t="shared" si="28"/>
        <v>0</v>
      </c>
      <c r="V329">
        <f t="shared" si="29"/>
        <v>0</v>
      </c>
      <c r="W329">
        <f t="shared" si="30"/>
        <v>0</v>
      </c>
      <c r="X329">
        <f t="shared" si="31"/>
        <v>0</v>
      </c>
    </row>
    <row r="330" spans="1:24" hidden="1">
      <c r="A330" t="s">
        <v>135</v>
      </c>
      <c r="B330">
        <v>6</v>
      </c>
      <c r="C330">
        <v>1</v>
      </c>
      <c r="D330">
        <v>5.5106539309331399</v>
      </c>
      <c r="E330">
        <v>6.5270634337496913</v>
      </c>
      <c r="F330">
        <v>6.5270634337496913</v>
      </c>
      <c r="G330">
        <v>15.919666911584621</v>
      </c>
      <c r="H330">
        <v>10.617193240264511</v>
      </c>
      <c r="I330">
        <v>0</v>
      </c>
      <c r="J330">
        <v>0</v>
      </c>
      <c r="K330">
        <v>0</v>
      </c>
      <c r="L330">
        <v>1</v>
      </c>
      <c r="M330">
        <v>1</v>
      </c>
      <c r="N330">
        <v>42</v>
      </c>
      <c r="O330">
        <v>-99</v>
      </c>
      <c r="P330">
        <v>2</v>
      </c>
      <c r="Q330">
        <v>1</v>
      </c>
      <c r="R330">
        <v>3</v>
      </c>
      <c r="S330">
        <v>3</v>
      </c>
      <c r="T330" s="123">
        <f t="shared" si="27"/>
        <v>1</v>
      </c>
      <c r="U330">
        <f t="shared" si="28"/>
        <v>0</v>
      </c>
      <c r="V330">
        <f t="shared" si="29"/>
        <v>0</v>
      </c>
      <c r="W330">
        <f t="shared" si="30"/>
        <v>0</v>
      </c>
      <c r="X330">
        <f t="shared" si="31"/>
        <v>0</v>
      </c>
    </row>
    <row r="331" spans="1:24">
      <c r="A331" t="s">
        <v>135</v>
      </c>
      <c r="B331">
        <v>7</v>
      </c>
      <c r="C331">
        <v>1</v>
      </c>
      <c r="D331">
        <v>12.637766348273329</v>
      </c>
      <c r="E331">
        <v>8.5598824393828039</v>
      </c>
      <c r="F331">
        <v>1.6409502816556449</v>
      </c>
      <c r="G331">
        <v>44.893460690668633</v>
      </c>
      <c r="H331">
        <v>3.269654665686994</v>
      </c>
      <c r="I331">
        <v>0</v>
      </c>
      <c r="J331">
        <v>1</v>
      </c>
      <c r="K331">
        <v>0</v>
      </c>
      <c r="L331">
        <v>1</v>
      </c>
      <c r="M331">
        <v>1</v>
      </c>
      <c r="N331">
        <v>42</v>
      </c>
      <c r="O331">
        <v>-99</v>
      </c>
      <c r="P331">
        <v>2</v>
      </c>
      <c r="Q331">
        <v>1</v>
      </c>
      <c r="R331">
        <v>3</v>
      </c>
      <c r="S331">
        <v>3</v>
      </c>
      <c r="T331" s="123">
        <f t="shared" si="27"/>
        <v>0</v>
      </c>
      <c r="U331">
        <f t="shared" si="28"/>
        <v>0</v>
      </c>
      <c r="V331">
        <f t="shared" si="29"/>
        <v>0</v>
      </c>
      <c r="W331">
        <f t="shared" si="30"/>
        <v>0</v>
      </c>
      <c r="X331">
        <f t="shared" si="31"/>
        <v>0</v>
      </c>
    </row>
    <row r="332" spans="1:24">
      <c r="A332" t="s">
        <v>136</v>
      </c>
      <c r="B332">
        <v>1</v>
      </c>
      <c r="C332">
        <v>1</v>
      </c>
      <c r="D332">
        <v>100</v>
      </c>
      <c r="E332">
        <v>89.891468955073194</v>
      </c>
      <c r="F332">
        <v>98.447753659767784</v>
      </c>
      <c r="G332">
        <v>6.2342251388187773</v>
      </c>
      <c r="H332">
        <v>5.8934881373043924</v>
      </c>
      <c r="I332">
        <v>1</v>
      </c>
      <c r="J332">
        <v>0</v>
      </c>
      <c r="K332">
        <v>1</v>
      </c>
      <c r="L332">
        <v>1</v>
      </c>
      <c r="M332">
        <v>1</v>
      </c>
      <c r="N332">
        <v>66</v>
      </c>
      <c r="O332">
        <v>42000</v>
      </c>
      <c r="P332">
        <v>1</v>
      </c>
      <c r="Q332">
        <v>4</v>
      </c>
      <c r="R332">
        <v>5</v>
      </c>
      <c r="S332">
        <v>4</v>
      </c>
      <c r="T332" s="123">
        <f t="shared" si="27"/>
        <v>0</v>
      </c>
      <c r="U332">
        <f t="shared" si="28"/>
        <v>0</v>
      </c>
      <c r="V332">
        <f t="shared" si="29"/>
        <v>1</v>
      </c>
      <c r="W332">
        <f t="shared" si="30"/>
        <v>1</v>
      </c>
      <c r="X332">
        <f t="shared" si="31"/>
        <v>1</v>
      </c>
    </row>
    <row r="333" spans="1:24">
      <c r="A333" t="s">
        <v>136</v>
      </c>
      <c r="B333">
        <v>2</v>
      </c>
      <c r="C333">
        <v>1</v>
      </c>
      <c r="D333">
        <v>96.920747097425547</v>
      </c>
      <c r="E333">
        <v>98.561332660272583</v>
      </c>
      <c r="F333">
        <v>95.368500757193345</v>
      </c>
      <c r="G333">
        <v>8.2029278142352329</v>
      </c>
      <c r="H333">
        <v>1.4386673397274119</v>
      </c>
      <c r="I333">
        <v>0</v>
      </c>
      <c r="J333">
        <v>0</v>
      </c>
      <c r="K333">
        <v>1</v>
      </c>
      <c r="L333">
        <v>1</v>
      </c>
      <c r="M333">
        <v>1</v>
      </c>
      <c r="N333">
        <v>66</v>
      </c>
      <c r="O333">
        <v>42000</v>
      </c>
      <c r="P333">
        <v>1</v>
      </c>
      <c r="Q333">
        <v>4</v>
      </c>
      <c r="R333">
        <v>5</v>
      </c>
      <c r="S333">
        <v>4</v>
      </c>
      <c r="T333" s="123">
        <f t="shared" si="27"/>
        <v>0</v>
      </c>
      <c r="U333">
        <f t="shared" si="28"/>
        <v>0</v>
      </c>
      <c r="V333">
        <f t="shared" si="29"/>
        <v>1</v>
      </c>
      <c r="W333">
        <f t="shared" si="30"/>
        <v>1</v>
      </c>
      <c r="X333">
        <f t="shared" si="31"/>
        <v>1</v>
      </c>
    </row>
    <row r="334" spans="1:24">
      <c r="A334" t="s">
        <v>136</v>
      </c>
      <c r="B334">
        <v>3</v>
      </c>
      <c r="C334">
        <v>1</v>
      </c>
      <c r="D334">
        <v>94.851085310449264</v>
      </c>
      <c r="E334">
        <v>97.576981322564365</v>
      </c>
      <c r="F334">
        <v>95.911155981827363</v>
      </c>
      <c r="G334">
        <v>10.222110045431601</v>
      </c>
      <c r="H334">
        <v>18.437657748611809</v>
      </c>
      <c r="I334">
        <v>0</v>
      </c>
      <c r="J334">
        <v>0</v>
      </c>
      <c r="K334">
        <v>1</v>
      </c>
      <c r="L334">
        <v>1</v>
      </c>
      <c r="M334">
        <v>1</v>
      </c>
      <c r="N334">
        <v>66</v>
      </c>
      <c r="O334">
        <v>42000</v>
      </c>
      <c r="P334">
        <v>1</v>
      </c>
      <c r="Q334">
        <v>4</v>
      </c>
      <c r="R334">
        <v>5</v>
      </c>
      <c r="S334">
        <v>4</v>
      </c>
      <c r="T334" s="123">
        <f t="shared" si="27"/>
        <v>0</v>
      </c>
      <c r="U334">
        <f t="shared" si="28"/>
        <v>0</v>
      </c>
      <c r="V334">
        <f t="shared" si="29"/>
        <v>1</v>
      </c>
      <c r="W334">
        <f t="shared" si="30"/>
        <v>1</v>
      </c>
      <c r="X334">
        <f t="shared" si="31"/>
        <v>1</v>
      </c>
    </row>
    <row r="335" spans="1:24">
      <c r="A335" t="s">
        <v>136</v>
      </c>
      <c r="B335">
        <v>4</v>
      </c>
      <c r="C335">
        <v>1</v>
      </c>
      <c r="D335">
        <v>4.3033821302372548</v>
      </c>
      <c r="E335">
        <v>21.706208985360931</v>
      </c>
      <c r="F335">
        <v>10.007571933366989</v>
      </c>
      <c r="G335">
        <v>2.7385159010600679</v>
      </c>
      <c r="H335">
        <v>8.3291267036850076</v>
      </c>
      <c r="I335">
        <v>0</v>
      </c>
      <c r="J335">
        <v>0</v>
      </c>
      <c r="K335">
        <v>0</v>
      </c>
      <c r="L335">
        <v>1</v>
      </c>
      <c r="M335">
        <v>1</v>
      </c>
      <c r="N335">
        <v>66</v>
      </c>
      <c r="O335">
        <v>42000</v>
      </c>
      <c r="P335">
        <v>1</v>
      </c>
      <c r="Q335">
        <v>4</v>
      </c>
      <c r="R335">
        <v>5</v>
      </c>
      <c r="S335">
        <v>4</v>
      </c>
      <c r="T335" s="123">
        <f t="shared" si="27"/>
        <v>0</v>
      </c>
      <c r="U335">
        <f t="shared" si="28"/>
        <v>0</v>
      </c>
      <c r="V335">
        <f t="shared" si="29"/>
        <v>1</v>
      </c>
      <c r="W335">
        <f t="shared" si="30"/>
        <v>1</v>
      </c>
      <c r="X335">
        <f t="shared" si="31"/>
        <v>1</v>
      </c>
    </row>
    <row r="336" spans="1:24" hidden="1">
      <c r="A336" t="s">
        <v>136</v>
      </c>
      <c r="B336">
        <v>5</v>
      </c>
      <c r="C336">
        <v>1</v>
      </c>
      <c r="D336">
        <v>2.8394750126198911</v>
      </c>
      <c r="E336">
        <v>16.03987884906612</v>
      </c>
      <c r="F336">
        <v>2.7258960121150921</v>
      </c>
      <c r="G336">
        <v>1.476527006562345</v>
      </c>
      <c r="H336">
        <v>0.83291267036850192</v>
      </c>
      <c r="I336">
        <v>0</v>
      </c>
      <c r="J336">
        <v>0</v>
      </c>
      <c r="K336">
        <v>0</v>
      </c>
      <c r="L336">
        <v>1</v>
      </c>
      <c r="M336">
        <v>1</v>
      </c>
      <c r="N336">
        <v>66</v>
      </c>
      <c r="O336">
        <v>42000</v>
      </c>
      <c r="P336">
        <v>1</v>
      </c>
      <c r="Q336">
        <v>4</v>
      </c>
      <c r="R336">
        <v>5</v>
      </c>
      <c r="S336">
        <v>4</v>
      </c>
      <c r="T336" s="123">
        <f t="shared" si="27"/>
        <v>1</v>
      </c>
      <c r="U336">
        <f t="shared" si="28"/>
        <v>0</v>
      </c>
      <c r="V336">
        <f t="shared" si="29"/>
        <v>1</v>
      </c>
      <c r="W336">
        <f t="shared" si="30"/>
        <v>1</v>
      </c>
      <c r="X336">
        <f t="shared" si="31"/>
        <v>1</v>
      </c>
    </row>
    <row r="337" spans="1:24" hidden="1">
      <c r="A337" t="s">
        <v>136</v>
      </c>
      <c r="B337">
        <v>6</v>
      </c>
      <c r="C337">
        <v>1</v>
      </c>
      <c r="D337">
        <v>20.87329631499243</v>
      </c>
      <c r="E337">
        <v>0.61837455830388577</v>
      </c>
      <c r="F337">
        <v>2.0444220090863219</v>
      </c>
      <c r="G337">
        <v>0.2397778899545677</v>
      </c>
      <c r="H337">
        <v>5.0479555779909147</v>
      </c>
      <c r="I337">
        <v>0</v>
      </c>
      <c r="J337">
        <v>0</v>
      </c>
      <c r="K337">
        <v>0</v>
      </c>
      <c r="L337">
        <v>1</v>
      </c>
      <c r="M337">
        <v>1</v>
      </c>
      <c r="N337">
        <v>66</v>
      </c>
      <c r="O337">
        <v>42000</v>
      </c>
      <c r="P337">
        <v>1</v>
      </c>
      <c r="Q337">
        <v>4</v>
      </c>
      <c r="R337">
        <v>5</v>
      </c>
      <c r="S337">
        <v>4</v>
      </c>
      <c r="T337" s="123">
        <f t="shared" si="27"/>
        <v>1</v>
      </c>
      <c r="U337">
        <f t="shared" si="28"/>
        <v>0</v>
      </c>
      <c r="V337">
        <f t="shared" si="29"/>
        <v>1</v>
      </c>
      <c r="W337">
        <f t="shared" si="30"/>
        <v>1</v>
      </c>
      <c r="X337">
        <f t="shared" si="31"/>
        <v>1</v>
      </c>
    </row>
    <row r="338" spans="1:24">
      <c r="A338" t="s">
        <v>136</v>
      </c>
      <c r="B338">
        <v>7</v>
      </c>
      <c r="C338">
        <v>1</v>
      </c>
      <c r="D338">
        <v>97.791519434628981</v>
      </c>
      <c r="E338">
        <v>96.769308430085815</v>
      </c>
      <c r="F338">
        <v>97.539121655729417</v>
      </c>
      <c r="G338">
        <v>5.1362948006057563</v>
      </c>
      <c r="H338">
        <v>50</v>
      </c>
      <c r="I338">
        <v>0</v>
      </c>
      <c r="J338">
        <v>1</v>
      </c>
      <c r="K338">
        <v>1</v>
      </c>
      <c r="L338">
        <v>1</v>
      </c>
      <c r="M338">
        <v>1</v>
      </c>
      <c r="N338">
        <v>66</v>
      </c>
      <c r="O338">
        <v>42000</v>
      </c>
      <c r="P338">
        <v>1</v>
      </c>
      <c r="Q338">
        <v>4</v>
      </c>
      <c r="R338">
        <v>5</v>
      </c>
      <c r="S338">
        <v>4</v>
      </c>
      <c r="T338" s="123">
        <f t="shared" si="27"/>
        <v>0</v>
      </c>
      <c r="U338">
        <f t="shared" si="28"/>
        <v>0</v>
      </c>
      <c r="V338">
        <f t="shared" si="29"/>
        <v>1</v>
      </c>
      <c r="W338">
        <f t="shared" si="30"/>
        <v>1</v>
      </c>
      <c r="X338">
        <f t="shared" si="31"/>
        <v>1</v>
      </c>
    </row>
    <row r="339" spans="1:24">
      <c r="A339" t="s">
        <v>137</v>
      </c>
      <c r="B339">
        <v>1</v>
      </c>
      <c r="C339">
        <v>1</v>
      </c>
      <c r="D339">
        <v>83.539995137369317</v>
      </c>
      <c r="E339">
        <v>72.769268174082185</v>
      </c>
      <c r="F339">
        <v>90.566496474592768</v>
      </c>
      <c r="G339">
        <v>8.9837101872112797</v>
      </c>
      <c r="H339">
        <v>12.922441040602971</v>
      </c>
      <c r="I339">
        <v>1</v>
      </c>
      <c r="J339">
        <v>0</v>
      </c>
      <c r="K339">
        <v>1</v>
      </c>
      <c r="L339">
        <v>1</v>
      </c>
      <c r="M339">
        <v>0</v>
      </c>
      <c r="N339">
        <v>65</v>
      </c>
      <c r="O339">
        <v>60000</v>
      </c>
      <c r="P339">
        <v>2</v>
      </c>
      <c r="Q339">
        <v>2</v>
      </c>
      <c r="R339">
        <v>2</v>
      </c>
      <c r="S339">
        <v>2</v>
      </c>
      <c r="T339" s="123">
        <f t="shared" si="27"/>
        <v>0</v>
      </c>
      <c r="U339">
        <f t="shared" si="28"/>
        <v>0</v>
      </c>
      <c r="V339">
        <f t="shared" si="29"/>
        <v>0</v>
      </c>
      <c r="W339">
        <f t="shared" si="30"/>
        <v>0</v>
      </c>
      <c r="X339">
        <f t="shared" si="31"/>
        <v>0</v>
      </c>
    </row>
    <row r="340" spans="1:24">
      <c r="A340" t="s">
        <v>137</v>
      </c>
      <c r="B340">
        <v>2</v>
      </c>
      <c r="C340">
        <v>1</v>
      </c>
      <c r="D340">
        <v>93.095064429856549</v>
      </c>
      <c r="E340">
        <v>83.090201799173343</v>
      </c>
      <c r="F340">
        <v>94.675419401896434</v>
      </c>
      <c r="G340">
        <v>29.576951130561639</v>
      </c>
      <c r="H340">
        <v>7.9017748601993674</v>
      </c>
      <c r="I340">
        <v>0</v>
      </c>
      <c r="J340">
        <v>0</v>
      </c>
      <c r="K340">
        <v>1</v>
      </c>
      <c r="L340">
        <v>1</v>
      </c>
      <c r="M340">
        <v>0</v>
      </c>
      <c r="N340">
        <v>65</v>
      </c>
      <c r="O340">
        <v>60000</v>
      </c>
      <c r="P340">
        <v>2</v>
      </c>
      <c r="Q340">
        <v>2</v>
      </c>
      <c r="R340">
        <v>2</v>
      </c>
      <c r="S340">
        <v>2</v>
      </c>
      <c r="T340" s="123">
        <f t="shared" si="27"/>
        <v>0</v>
      </c>
      <c r="U340">
        <f t="shared" si="28"/>
        <v>0</v>
      </c>
      <c r="V340">
        <f t="shared" si="29"/>
        <v>0</v>
      </c>
      <c r="W340">
        <f t="shared" si="30"/>
        <v>0</v>
      </c>
      <c r="X340">
        <f t="shared" si="31"/>
        <v>0</v>
      </c>
    </row>
    <row r="341" spans="1:24">
      <c r="A341" t="s">
        <v>137</v>
      </c>
      <c r="B341">
        <v>3</v>
      </c>
      <c r="C341">
        <v>1</v>
      </c>
      <c r="D341">
        <v>9.7374179431072179</v>
      </c>
      <c r="E341">
        <v>5.2030148310235838</v>
      </c>
      <c r="F341">
        <v>32.348650619985413</v>
      </c>
      <c r="G341">
        <v>6.1876975443715061</v>
      </c>
      <c r="H341">
        <v>92.292730367128613</v>
      </c>
      <c r="I341">
        <v>0</v>
      </c>
      <c r="J341">
        <v>0</v>
      </c>
      <c r="K341">
        <v>0</v>
      </c>
      <c r="L341">
        <v>1</v>
      </c>
      <c r="M341">
        <v>0</v>
      </c>
      <c r="N341">
        <v>65</v>
      </c>
      <c r="O341">
        <v>60000</v>
      </c>
      <c r="P341">
        <v>2</v>
      </c>
      <c r="Q341">
        <v>2</v>
      </c>
      <c r="R341">
        <v>2</v>
      </c>
      <c r="S341">
        <v>2</v>
      </c>
      <c r="T341" s="123">
        <f t="shared" si="27"/>
        <v>0</v>
      </c>
      <c r="U341">
        <f t="shared" si="28"/>
        <v>0</v>
      </c>
      <c r="V341">
        <f t="shared" si="29"/>
        <v>0</v>
      </c>
      <c r="W341">
        <f t="shared" si="30"/>
        <v>0</v>
      </c>
      <c r="X341">
        <f t="shared" si="31"/>
        <v>0</v>
      </c>
    </row>
    <row r="342" spans="1:24">
      <c r="A342" t="s">
        <v>137</v>
      </c>
      <c r="B342">
        <v>4</v>
      </c>
      <c r="C342">
        <v>1</v>
      </c>
      <c r="D342">
        <v>85.667396061269145</v>
      </c>
      <c r="E342">
        <v>90.979820082664716</v>
      </c>
      <c r="F342">
        <v>93.873085339168497</v>
      </c>
      <c r="G342">
        <v>18.234865061998541</v>
      </c>
      <c r="H342">
        <v>50</v>
      </c>
      <c r="I342">
        <v>0</v>
      </c>
      <c r="J342">
        <v>0</v>
      </c>
      <c r="K342">
        <v>1</v>
      </c>
      <c r="L342">
        <v>1</v>
      </c>
      <c r="M342">
        <v>0</v>
      </c>
      <c r="N342">
        <v>65</v>
      </c>
      <c r="O342">
        <v>60000</v>
      </c>
      <c r="P342">
        <v>2</v>
      </c>
      <c r="Q342">
        <v>2</v>
      </c>
      <c r="R342">
        <v>2</v>
      </c>
      <c r="S342">
        <v>2</v>
      </c>
      <c r="T342" s="123">
        <f t="shared" si="27"/>
        <v>0</v>
      </c>
      <c r="U342">
        <f t="shared" si="28"/>
        <v>0</v>
      </c>
      <c r="V342">
        <f t="shared" si="29"/>
        <v>0</v>
      </c>
      <c r="W342">
        <f t="shared" si="30"/>
        <v>0</v>
      </c>
      <c r="X342">
        <f t="shared" si="31"/>
        <v>0</v>
      </c>
    </row>
    <row r="343" spans="1:24" hidden="1">
      <c r="A343" t="s">
        <v>137</v>
      </c>
      <c r="B343">
        <v>5</v>
      </c>
      <c r="C343">
        <v>1</v>
      </c>
      <c r="D343">
        <v>0.25528811086797942</v>
      </c>
      <c r="E343">
        <v>1.069778750303912</v>
      </c>
      <c r="F343">
        <v>0.25528811086797942</v>
      </c>
      <c r="G343">
        <v>0</v>
      </c>
      <c r="H343">
        <v>11.256990031607099</v>
      </c>
      <c r="I343">
        <v>0</v>
      </c>
      <c r="J343">
        <v>0</v>
      </c>
      <c r="K343">
        <v>0</v>
      </c>
      <c r="L343">
        <v>1</v>
      </c>
      <c r="M343">
        <v>0</v>
      </c>
      <c r="N343">
        <v>65</v>
      </c>
      <c r="O343">
        <v>60000</v>
      </c>
      <c r="P343">
        <v>2</v>
      </c>
      <c r="Q343">
        <v>2</v>
      </c>
      <c r="R343">
        <v>2</v>
      </c>
      <c r="S343">
        <v>2</v>
      </c>
      <c r="T343" s="123">
        <f t="shared" si="27"/>
        <v>1</v>
      </c>
      <c r="U343">
        <f t="shared" si="28"/>
        <v>0</v>
      </c>
      <c r="V343">
        <f t="shared" si="29"/>
        <v>0</v>
      </c>
      <c r="W343">
        <f t="shared" si="30"/>
        <v>0</v>
      </c>
      <c r="X343">
        <f t="shared" si="31"/>
        <v>0</v>
      </c>
    </row>
    <row r="344" spans="1:24">
      <c r="A344" t="s">
        <v>137</v>
      </c>
      <c r="B344">
        <v>6</v>
      </c>
      <c r="C344">
        <v>1</v>
      </c>
      <c r="D344">
        <v>6.9657184536834453</v>
      </c>
      <c r="E344">
        <v>27.133479212253832</v>
      </c>
      <c r="F344">
        <v>11.001701920739119</v>
      </c>
      <c r="G344">
        <v>7.7923656698273778</v>
      </c>
      <c r="H344">
        <v>84.828592268417211</v>
      </c>
      <c r="I344">
        <v>0</v>
      </c>
      <c r="J344">
        <v>0</v>
      </c>
      <c r="K344">
        <v>0</v>
      </c>
      <c r="L344">
        <v>1</v>
      </c>
      <c r="M344">
        <v>0</v>
      </c>
      <c r="N344">
        <v>65</v>
      </c>
      <c r="O344">
        <v>60000</v>
      </c>
      <c r="P344">
        <v>2</v>
      </c>
      <c r="Q344">
        <v>2</v>
      </c>
      <c r="R344">
        <v>2</v>
      </c>
      <c r="S344">
        <v>2</v>
      </c>
      <c r="T344" s="123">
        <f t="shared" si="27"/>
        <v>0</v>
      </c>
      <c r="U344">
        <f t="shared" si="28"/>
        <v>0</v>
      </c>
      <c r="V344">
        <f t="shared" si="29"/>
        <v>0</v>
      </c>
      <c r="W344">
        <f t="shared" si="30"/>
        <v>0</v>
      </c>
      <c r="X344">
        <f t="shared" si="31"/>
        <v>0</v>
      </c>
    </row>
    <row r="345" spans="1:24" hidden="1">
      <c r="A345" t="s">
        <v>137</v>
      </c>
      <c r="B345">
        <v>7</v>
      </c>
      <c r="C345">
        <v>1</v>
      </c>
      <c r="D345">
        <v>13.7977145635789</v>
      </c>
      <c r="E345">
        <v>1.069778750303912</v>
      </c>
      <c r="F345">
        <v>1.0940919037199131</v>
      </c>
      <c r="G345">
        <v>0.24313153415997929</v>
      </c>
      <c r="H345">
        <v>3.8536348164356919</v>
      </c>
      <c r="I345">
        <v>0</v>
      </c>
      <c r="J345">
        <v>1</v>
      </c>
      <c r="K345">
        <v>0</v>
      </c>
      <c r="L345">
        <v>1</v>
      </c>
      <c r="M345">
        <v>0</v>
      </c>
      <c r="N345">
        <v>65</v>
      </c>
      <c r="O345">
        <v>60000</v>
      </c>
      <c r="P345">
        <v>2</v>
      </c>
      <c r="Q345">
        <v>2</v>
      </c>
      <c r="R345">
        <v>2</v>
      </c>
      <c r="S345">
        <v>2</v>
      </c>
      <c r="T345" s="123">
        <f t="shared" si="27"/>
        <v>1</v>
      </c>
      <c r="U345">
        <f t="shared" si="28"/>
        <v>0</v>
      </c>
      <c r="V345">
        <f t="shared" si="29"/>
        <v>0</v>
      </c>
      <c r="W345">
        <f t="shared" si="30"/>
        <v>0</v>
      </c>
      <c r="X345">
        <f t="shared" si="31"/>
        <v>0</v>
      </c>
    </row>
    <row r="346" spans="1:24">
      <c r="A346" t="s">
        <v>138</v>
      </c>
      <c r="B346">
        <v>1</v>
      </c>
      <c r="C346">
        <v>1</v>
      </c>
      <c r="D346">
        <v>18.421052631578949</v>
      </c>
      <c r="E346">
        <v>50</v>
      </c>
      <c r="F346">
        <v>29.723684210526319</v>
      </c>
      <c r="G346">
        <v>16.144736842105271</v>
      </c>
      <c r="H346">
        <v>28.789473684210531</v>
      </c>
      <c r="I346">
        <v>1</v>
      </c>
      <c r="J346">
        <v>0</v>
      </c>
      <c r="K346">
        <v>0</v>
      </c>
      <c r="L346">
        <v>1</v>
      </c>
      <c r="M346">
        <v>0</v>
      </c>
      <c r="N346">
        <v>69</v>
      </c>
      <c r="O346">
        <v>16000</v>
      </c>
      <c r="P346">
        <v>1</v>
      </c>
      <c r="Q346">
        <v>1</v>
      </c>
      <c r="R346">
        <v>3</v>
      </c>
      <c r="S346">
        <v>2</v>
      </c>
      <c r="T346" s="123">
        <f t="shared" si="27"/>
        <v>0</v>
      </c>
      <c r="U346">
        <f t="shared" si="28"/>
        <v>0</v>
      </c>
      <c r="V346">
        <f t="shared" si="29"/>
        <v>0</v>
      </c>
      <c r="W346">
        <f t="shared" si="30"/>
        <v>0</v>
      </c>
      <c r="X346">
        <f t="shared" si="31"/>
        <v>0</v>
      </c>
    </row>
    <row r="347" spans="1:24">
      <c r="A347" t="s">
        <v>138</v>
      </c>
      <c r="B347">
        <v>2</v>
      </c>
      <c r="C347">
        <v>1</v>
      </c>
      <c r="D347">
        <v>1.750000000000002</v>
      </c>
      <c r="E347">
        <v>11.84210526315789</v>
      </c>
      <c r="F347">
        <v>50</v>
      </c>
      <c r="G347">
        <v>80.644736842105274</v>
      </c>
      <c r="H347">
        <v>11.15789473684211</v>
      </c>
      <c r="I347">
        <v>0</v>
      </c>
      <c r="J347">
        <v>0</v>
      </c>
      <c r="K347">
        <v>0</v>
      </c>
      <c r="L347">
        <v>1</v>
      </c>
      <c r="M347">
        <v>0</v>
      </c>
      <c r="N347">
        <v>69</v>
      </c>
      <c r="O347">
        <v>16000</v>
      </c>
      <c r="P347">
        <v>1</v>
      </c>
      <c r="Q347">
        <v>1</v>
      </c>
      <c r="R347">
        <v>3</v>
      </c>
      <c r="S347">
        <v>2</v>
      </c>
      <c r="T347" s="123">
        <f t="shared" si="27"/>
        <v>0</v>
      </c>
      <c r="U347">
        <f t="shared" si="28"/>
        <v>0</v>
      </c>
      <c r="V347">
        <f t="shared" si="29"/>
        <v>0</v>
      </c>
      <c r="W347">
        <f t="shared" si="30"/>
        <v>0</v>
      </c>
      <c r="X347">
        <f t="shared" si="31"/>
        <v>0</v>
      </c>
    </row>
    <row r="348" spans="1:24">
      <c r="A348" t="s">
        <v>138</v>
      </c>
      <c r="B348">
        <v>3</v>
      </c>
      <c r="C348">
        <v>1</v>
      </c>
      <c r="D348">
        <v>20.35526315789474</v>
      </c>
      <c r="E348">
        <v>6.7368421052631584</v>
      </c>
      <c r="F348">
        <v>20.315789473684209</v>
      </c>
      <c r="G348">
        <v>87.09210526315789</v>
      </c>
      <c r="H348">
        <v>30.539473684210531</v>
      </c>
      <c r="I348">
        <v>0</v>
      </c>
      <c r="J348">
        <v>0</v>
      </c>
      <c r="K348">
        <v>0</v>
      </c>
      <c r="L348">
        <v>1</v>
      </c>
      <c r="M348">
        <v>0</v>
      </c>
      <c r="N348">
        <v>69</v>
      </c>
      <c r="O348">
        <v>16000</v>
      </c>
      <c r="P348">
        <v>1</v>
      </c>
      <c r="Q348">
        <v>1</v>
      </c>
      <c r="R348">
        <v>3</v>
      </c>
      <c r="S348">
        <v>2</v>
      </c>
      <c r="T348" s="123">
        <f t="shared" si="27"/>
        <v>0</v>
      </c>
      <c r="U348">
        <f t="shared" si="28"/>
        <v>0</v>
      </c>
      <c r="V348">
        <f t="shared" si="29"/>
        <v>0</v>
      </c>
      <c r="W348">
        <f t="shared" si="30"/>
        <v>0</v>
      </c>
      <c r="X348">
        <f t="shared" si="31"/>
        <v>0</v>
      </c>
    </row>
    <row r="349" spans="1:24" hidden="1">
      <c r="A349" t="s">
        <v>138</v>
      </c>
      <c r="B349">
        <v>4</v>
      </c>
      <c r="C349">
        <v>1</v>
      </c>
      <c r="D349">
        <v>5.8552631578947354</v>
      </c>
      <c r="E349">
        <v>8.631578947368423</v>
      </c>
      <c r="F349">
        <v>12.15789473684211</v>
      </c>
      <c r="G349">
        <v>13.013157894736841</v>
      </c>
      <c r="H349">
        <v>5.2236842105263133</v>
      </c>
      <c r="I349">
        <v>0</v>
      </c>
      <c r="J349">
        <v>0</v>
      </c>
      <c r="K349">
        <v>0</v>
      </c>
      <c r="L349">
        <v>1</v>
      </c>
      <c r="M349">
        <v>0</v>
      </c>
      <c r="N349">
        <v>69</v>
      </c>
      <c r="O349">
        <v>16000</v>
      </c>
      <c r="P349">
        <v>1</v>
      </c>
      <c r="Q349">
        <v>1</v>
      </c>
      <c r="R349">
        <v>3</v>
      </c>
      <c r="S349">
        <v>2</v>
      </c>
      <c r="T349" s="123">
        <f t="shared" si="27"/>
        <v>1</v>
      </c>
      <c r="U349">
        <f t="shared" si="28"/>
        <v>0</v>
      </c>
      <c r="V349">
        <f t="shared" si="29"/>
        <v>0</v>
      </c>
      <c r="W349">
        <f t="shared" si="30"/>
        <v>0</v>
      </c>
      <c r="X349">
        <f t="shared" si="31"/>
        <v>0</v>
      </c>
    </row>
    <row r="350" spans="1:24">
      <c r="A350" t="s">
        <v>138</v>
      </c>
      <c r="B350">
        <v>5</v>
      </c>
      <c r="C350">
        <v>1</v>
      </c>
      <c r="D350">
        <v>22.578947368421051</v>
      </c>
      <c r="E350">
        <v>1.1184210526315801</v>
      </c>
      <c r="F350">
        <v>1.828947368421052</v>
      </c>
      <c r="G350">
        <v>93.44736842105263</v>
      </c>
      <c r="H350">
        <v>4.6447368421052628</v>
      </c>
      <c r="I350">
        <v>0</v>
      </c>
      <c r="J350">
        <v>0</v>
      </c>
      <c r="K350">
        <v>0</v>
      </c>
      <c r="L350">
        <v>1</v>
      </c>
      <c r="M350">
        <v>0</v>
      </c>
      <c r="N350">
        <v>69</v>
      </c>
      <c r="O350">
        <v>16000</v>
      </c>
      <c r="P350">
        <v>1</v>
      </c>
      <c r="Q350">
        <v>1</v>
      </c>
      <c r="R350">
        <v>3</v>
      </c>
      <c r="S350">
        <v>2</v>
      </c>
      <c r="T350" s="123">
        <f t="shared" si="27"/>
        <v>0</v>
      </c>
      <c r="U350">
        <f t="shared" si="28"/>
        <v>0</v>
      </c>
      <c r="V350">
        <f t="shared" si="29"/>
        <v>0</v>
      </c>
      <c r="W350">
        <f t="shared" si="30"/>
        <v>0</v>
      </c>
      <c r="X350">
        <f t="shared" si="31"/>
        <v>0</v>
      </c>
    </row>
    <row r="351" spans="1:24">
      <c r="A351" t="s">
        <v>138</v>
      </c>
      <c r="B351">
        <v>6</v>
      </c>
      <c r="C351">
        <v>1</v>
      </c>
      <c r="D351">
        <v>29.605263157894729</v>
      </c>
      <c r="E351">
        <v>1.460526315789473</v>
      </c>
      <c r="F351">
        <v>2.868421052631581</v>
      </c>
      <c r="G351">
        <v>96.263157894736835</v>
      </c>
      <c r="H351">
        <v>3.7368421052631611</v>
      </c>
      <c r="I351">
        <v>0</v>
      </c>
      <c r="J351">
        <v>0</v>
      </c>
      <c r="K351">
        <v>0</v>
      </c>
      <c r="L351">
        <v>1</v>
      </c>
      <c r="M351">
        <v>0</v>
      </c>
      <c r="N351">
        <v>69</v>
      </c>
      <c r="O351">
        <v>16000</v>
      </c>
      <c r="P351">
        <v>1</v>
      </c>
      <c r="Q351">
        <v>1</v>
      </c>
      <c r="R351">
        <v>3</v>
      </c>
      <c r="S351">
        <v>2</v>
      </c>
      <c r="T351" s="123">
        <f t="shared" si="27"/>
        <v>0</v>
      </c>
      <c r="U351">
        <f t="shared" si="28"/>
        <v>0</v>
      </c>
      <c r="V351">
        <f t="shared" si="29"/>
        <v>0</v>
      </c>
      <c r="W351">
        <f t="shared" si="30"/>
        <v>0</v>
      </c>
      <c r="X351">
        <f t="shared" si="31"/>
        <v>0</v>
      </c>
    </row>
    <row r="352" spans="1:24">
      <c r="A352" t="s">
        <v>138</v>
      </c>
      <c r="B352">
        <v>7</v>
      </c>
      <c r="C352">
        <v>1</v>
      </c>
      <c r="D352">
        <v>17.5</v>
      </c>
      <c r="E352">
        <v>0</v>
      </c>
      <c r="F352">
        <v>11.368421052631581</v>
      </c>
      <c r="G352">
        <v>86.776315789473685</v>
      </c>
      <c r="H352">
        <v>10.94736842105263</v>
      </c>
      <c r="I352">
        <v>0</v>
      </c>
      <c r="J352">
        <v>1</v>
      </c>
      <c r="K352">
        <v>0</v>
      </c>
      <c r="L352">
        <v>1</v>
      </c>
      <c r="M352">
        <v>0</v>
      </c>
      <c r="N352">
        <v>69</v>
      </c>
      <c r="O352">
        <v>16000</v>
      </c>
      <c r="P352">
        <v>1</v>
      </c>
      <c r="Q352">
        <v>1</v>
      </c>
      <c r="R352">
        <v>3</v>
      </c>
      <c r="S352">
        <v>2</v>
      </c>
      <c r="T352" s="123">
        <f t="shared" si="27"/>
        <v>0</v>
      </c>
      <c r="U352">
        <f t="shared" si="28"/>
        <v>0</v>
      </c>
      <c r="V352">
        <f t="shared" si="29"/>
        <v>0</v>
      </c>
      <c r="W352">
        <f t="shared" si="30"/>
        <v>0</v>
      </c>
      <c r="X352">
        <f t="shared" si="31"/>
        <v>0</v>
      </c>
    </row>
    <row r="353" spans="1:24">
      <c r="A353" t="s">
        <v>139</v>
      </c>
      <c r="B353">
        <v>1</v>
      </c>
      <c r="C353">
        <v>1</v>
      </c>
      <c r="D353">
        <v>91.650499925384281</v>
      </c>
      <c r="E353">
        <v>99.388151022235476</v>
      </c>
      <c r="F353">
        <v>90.881957916728837</v>
      </c>
      <c r="G353">
        <v>3.439785106700493</v>
      </c>
      <c r="H353">
        <v>2.0071631099835838</v>
      </c>
      <c r="I353">
        <v>1</v>
      </c>
      <c r="J353">
        <v>0</v>
      </c>
      <c r="K353">
        <v>1</v>
      </c>
      <c r="L353">
        <v>1</v>
      </c>
      <c r="M353">
        <v>1</v>
      </c>
      <c r="N353">
        <v>39</v>
      </c>
      <c r="O353">
        <v>59000</v>
      </c>
      <c r="P353">
        <v>4</v>
      </c>
      <c r="Q353">
        <v>4</v>
      </c>
      <c r="R353">
        <v>5</v>
      </c>
      <c r="S353">
        <v>4</v>
      </c>
      <c r="T353" s="123">
        <f t="shared" si="27"/>
        <v>0</v>
      </c>
      <c r="U353">
        <f t="shared" si="28"/>
        <v>1</v>
      </c>
      <c r="V353">
        <f t="shared" si="29"/>
        <v>1</v>
      </c>
      <c r="W353">
        <f t="shared" si="30"/>
        <v>1</v>
      </c>
      <c r="X353">
        <f t="shared" si="31"/>
        <v>1</v>
      </c>
    </row>
    <row r="354" spans="1:24">
      <c r="A354" t="s">
        <v>139</v>
      </c>
      <c r="B354">
        <v>2</v>
      </c>
      <c r="C354">
        <v>1</v>
      </c>
      <c r="D354">
        <v>97.56006566184152</v>
      </c>
      <c r="E354">
        <v>98.918071929562743</v>
      </c>
      <c r="F354">
        <v>99.03745709595583</v>
      </c>
      <c r="G354">
        <v>7.4466497537680976</v>
      </c>
      <c r="H354">
        <v>4.4097895836442298</v>
      </c>
      <c r="I354">
        <v>0</v>
      </c>
      <c r="J354">
        <v>0</v>
      </c>
      <c r="K354">
        <v>1</v>
      </c>
      <c r="L354">
        <v>1</v>
      </c>
      <c r="M354">
        <v>1</v>
      </c>
      <c r="N354">
        <v>39</v>
      </c>
      <c r="O354">
        <v>59000</v>
      </c>
      <c r="P354">
        <v>4</v>
      </c>
      <c r="Q354">
        <v>4</v>
      </c>
      <c r="R354">
        <v>5</v>
      </c>
      <c r="S354">
        <v>4</v>
      </c>
      <c r="T354" s="123">
        <f t="shared" si="27"/>
        <v>0</v>
      </c>
      <c r="U354">
        <f t="shared" si="28"/>
        <v>1</v>
      </c>
      <c r="V354">
        <f t="shared" si="29"/>
        <v>1</v>
      </c>
      <c r="W354">
        <f t="shared" si="30"/>
        <v>1</v>
      </c>
      <c r="X354">
        <f t="shared" si="31"/>
        <v>1</v>
      </c>
    </row>
    <row r="355" spans="1:24">
      <c r="A355" t="s">
        <v>139</v>
      </c>
      <c r="B355">
        <v>3</v>
      </c>
      <c r="C355">
        <v>1</v>
      </c>
      <c r="D355">
        <v>50</v>
      </c>
      <c r="E355">
        <v>98.222222222222229</v>
      </c>
      <c r="F355">
        <v>97.473684210526315</v>
      </c>
      <c r="G355">
        <v>4.432748538011694</v>
      </c>
      <c r="H355">
        <v>6.0584795321637408</v>
      </c>
      <c r="I355">
        <v>0</v>
      </c>
      <c r="J355">
        <v>0</v>
      </c>
      <c r="K355">
        <v>1</v>
      </c>
      <c r="L355">
        <v>1</v>
      </c>
      <c r="M355">
        <v>1</v>
      </c>
      <c r="N355">
        <v>39</v>
      </c>
      <c r="O355">
        <v>59000</v>
      </c>
      <c r="P355">
        <v>4</v>
      </c>
      <c r="Q355">
        <v>4</v>
      </c>
      <c r="R355">
        <v>5</v>
      </c>
      <c r="S355">
        <v>4</v>
      </c>
      <c r="T355" s="123">
        <f t="shared" si="27"/>
        <v>0</v>
      </c>
      <c r="U355">
        <f t="shared" si="28"/>
        <v>1</v>
      </c>
      <c r="V355">
        <f t="shared" si="29"/>
        <v>1</v>
      </c>
      <c r="W355">
        <f t="shared" si="30"/>
        <v>1</v>
      </c>
      <c r="X355">
        <f t="shared" si="31"/>
        <v>1</v>
      </c>
    </row>
    <row r="356" spans="1:24">
      <c r="A356" t="s">
        <v>139</v>
      </c>
      <c r="B356">
        <v>4</v>
      </c>
      <c r="C356">
        <v>1</v>
      </c>
      <c r="D356">
        <v>97.181286549707607</v>
      </c>
      <c r="E356">
        <v>100</v>
      </c>
      <c r="F356">
        <v>94.853801169590639</v>
      </c>
      <c r="G356">
        <v>2.8187134502923978</v>
      </c>
      <c r="H356">
        <v>1.087719298245615</v>
      </c>
      <c r="I356">
        <v>0</v>
      </c>
      <c r="J356">
        <v>0</v>
      </c>
      <c r="K356">
        <v>1</v>
      </c>
      <c r="L356">
        <v>1</v>
      </c>
      <c r="M356">
        <v>1</v>
      </c>
      <c r="N356">
        <v>39</v>
      </c>
      <c r="O356">
        <v>59000</v>
      </c>
      <c r="P356">
        <v>4</v>
      </c>
      <c r="Q356">
        <v>4</v>
      </c>
      <c r="R356">
        <v>5</v>
      </c>
      <c r="S356">
        <v>4</v>
      </c>
      <c r="T356" s="123">
        <f t="shared" si="27"/>
        <v>0</v>
      </c>
      <c r="U356">
        <f t="shared" si="28"/>
        <v>1</v>
      </c>
      <c r="V356">
        <f t="shared" si="29"/>
        <v>1</v>
      </c>
      <c r="W356">
        <f t="shared" si="30"/>
        <v>1</v>
      </c>
      <c r="X356">
        <f t="shared" si="31"/>
        <v>1</v>
      </c>
    </row>
    <row r="357" spans="1:24">
      <c r="A357" t="s">
        <v>139</v>
      </c>
      <c r="B357">
        <v>5</v>
      </c>
      <c r="C357">
        <v>1</v>
      </c>
      <c r="D357">
        <v>96.409356725146196</v>
      </c>
      <c r="E357">
        <v>98.023391812865498</v>
      </c>
      <c r="F357">
        <v>96.385964912280713</v>
      </c>
      <c r="G357">
        <v>9.6725146198830441</v>
      </c>
      <c r="H357">
        <v>5.3333333333333339</v>
      </c>
      <c r="I357">
        <v>0</v>
      </c>
      <c r="J357">
        <v>0</v>
      </c>
      <c r="K357">
        <v>1</v>
      </c>
      <c r="L357">
        <v>1</v>
      </c>
      <c r="M357">
        <v>1</v>
      </c>
      <c r="N357">
        <v>39</v>
      </c>
      <c r="O357">
        <v>59000</v>
      </c>
      <c r="P357">
        <v>4</v>
      </c>
      <c r="Q357">
        <v>4</v>
      </c>
      <c r="R357">
        <v>5</v>
      </c>
      <c r="S357">
        <v>4</v>
      </c>
      <c r="T357" s="123">
        <f t="shared" si="27"/>
        <v>0</v>
      </c>
      <c r="U357">
        <f t="shared" si="28"/>
        <v>1</v>
      </c>
      <c r="V357">
        <f t="shared" si="29"/>
        <v>1</v>
      </c>
      <c r="W357">
        <f t="shared" si="30"/>
        <v>1</v>
      </c>
      <c r="X357">
        <f t="shared" si="31"/>
        <v>1</v>
      </c>
    </row>
    <row r="358" spans="1:24">
      <c r="A358" t="s">
        <v>139</v>
      </c>
      <c r="B358">
        <v>6</v>
      </c>
      <c r="C358">
        <v>1</v>
      </c>
      <c r="D358">
        <v>87.672514619883032</v>
      </c>
      <c r="E358">
        <v>95.777777777777786</v>
      </c>
      <c r="F358">
        <v>95.754385964912274</v>
      </c>
      <c r="G358">
        <v>10.21052631578948</v>
      </c>
      <c r="H358">
        <v>2.666666666666667</v>
      </c>
      <c r="I358">
        <v>0</v>
      </c>
      <c r="J358">
        <v>0</v>
      </c>
      <c r="K358">
        <v>1</v>
      </c>
      <c r="L358">
        <v>1</v>
      </c>
      <c r="M358">
        <v>1</v>
      </c>
      <c r="N358">
        <v>39</v>
      </c>
      <c r="O358">
        <v>59000</v>
      </c>
      <c r="P358">
        <v>4</v>
      </c>
      <c r="Q358">
        <v>4</v>
      </c>
      <c r="R358">
        <v>5</v>
      </c>
      <c r="S358">
        <v>4</v>
      </c>
      <c r="T358" s="123">
        <f t="shared" si="27"/>
        <v>0</v>
      </c>
      <c r="U358">
        <f t="shared" si="28"/>
        <v>1</v>
      </c>
      <c r="V358">
        <f t="shared" si="29"/>
        <v>1</v>
      </c>
      <c r="W358">
        <f t="shared" si="30"/>
        <v>1</v>
      </c>
      <c r="X358">
        <f t="shared" si="31"/>
        <v>1</v>
      </c>
    </row>
    <row r="359" spans="1:24">
      <c r="A359" t="s">
        <v>139</v>
      </c>
      <c r="B359">
        <v>7</v>
      </c>
      <c r="C359">
        <v>1</v>
      </c>
      <c r="D359">
        <v>4.432748538011694</v>
      </c>
      <c r="E359">
        <v>5.7543859649122791</v>
      </c>
      <c r="F359">
        <v>14.33918128654971</v>
      </c>
      <c r="G359">
        <v>93.368421052631575</v>
      </c>
      <c r="H359">
        <v>94.011695906432749</v>
      </c>
      <c r="I359">
        <v>0</v>
      </c>
      <c r="J359">
        <v>1</v>
      </c>
      <c r="K359">
        <v>0</v>
      </c>
      <c r="L359">
        <v>1</v>
      </c>
      <c r="M359">
        <v>1</v>
      </c>
      <c r="N359">
        <v>39</v>
      </c>
      <c r="O359">
        <v>59000</v>
      </c>
      <c r="P359">
        <v>4</v>
      </c>
      <c r="Q359">
        <v>4</v>
      </c>
      <c r="R359">
        <v>5</v>
      </c>
      <c r="S359">
        <v>4</v>
      </c>
      <c r="T359" s="123">
        <f t="shared" si="27"/>
        <v>0</v>
      </c>
      <c r="U359">
        <f t="shared" si="28"/>
        <v>1</v>
      </c>
      <c r="V359">
        <f t="shared" si="29"/>
        <v>1</v>
      </c>
      <c r="W359">
        <f t="shared" si="30"/>
        <v>1</v>
      </c>
      <c r="X359">
        <f t="shared" si="31"/>
        <v>1</v>
      </c>
    </row>
    <row r="360" spans="1:24" hidden="1">
      <c r="A360" t="s">
        <v>140</v>
      </c>
      <c r="B360">
        <v>1</v>
      </c>
      <c r="C360">
        <v>1</v>
      </c>
      <c r="D360">
        <v>89.165968147527238</v>
      </c>
      <c r="E360">
        <v>0.58786741713571233</v>
      </c>
      <c r="F360">
        <v>88.966890192791283</v>
      </c>
      <c r="G360">
        <v>50</v>
      </c>
      <c r="H360">
        <v>9.838642078792958</v>
      </c>
      <c r="I360">
        <v>1</v>
      </c>
      <c r="J360">
        <v>0</v>
      </c>
      <c r="K360">
        <v>1</v>
      </c>
      <c r="L360">
        <v>1</v>
      </c>
      <c r="M360">
        <v>1</v>
      </c>
      <c r="N360">
        <v>37</v>
      </c>
      <c r="O360">
        <v>60000</v>
      </c>
      <c r="P360">
        <v>1</v>
      </c>
      <c r="Q360">
        <v>1</v>
      </c>
      <c r="R360">
        <v>4</v>
      </c>
      <c r="S360">
        <v>4</v>
      </c>
      <c r="T360" s="123">
        <f t="shared" si="27"/>
        <v>1</v>
      </c>
      <c r="U360">
        <f t="shared" si="28"/>
        <v>0</v>
      </c>
      <c r="V360">
        <f t="shared" si="29"/>
        <v>0</v>
      </c>
      <c r="W360">
        <f t="shared" si="30"/>
        <v>1</v>
      </c>
      <c r="X360">
        <f t="shared" si="31"/>
        <v>1</v>
      </c>
    </row>
    <row r="361" spans="1:24" hidden="1">
      <c r="A361" t="s">
        <v>140</v>
      </c>
      <c r="B361">
        <v>2</v>
      </c>
      <c r="C361">
        <v>1</v>
      </c>
      <c r="D361">
        <v>50</v>
      </c>
      <c r="E361">
        <v>9.9434199497066231</v>
      </c>
      <c r="F361">
        <v>13.55825649622799</v>
      </c>
      <c r="G361">
        <v>9.0004191114836534</v>
      </c>
      <c r="H361">
        <v>12.101844090528081</v>
      </c>
      <c r="I361">
        <v>0</v>
      </c>
      <c r="J361">
        <v>0</v>
      </c>
      <c r="K361">
        <v>0</v>
      </c>
      <c r="L361">
        <v>1</v>
      </c>
      <c r="M361">
        <v>1</v>
      </c>
      <c r="N361">
        <v>37</v>
      </c>
      <c r="O361">
        <v>60000</v>
      </c>
      <c r="P361">
        <v>1</v>
      </c>
      <c r="Q361">
        <v>1</v>
      </c>
      <c r="R361">
        <v>4</v>
      </c>
      <c r="S361">
        <v>4</v>
      </c>
      <c r="T361" s="123">
        <f t="shared" si="27"/>
        <v>1</v>
      </c>
      <c r="U361">
        <f t="shared" si="28"/>
        <v>0</v>
      </c>
      <c r="V361">
        <f t="shared" si="29"/>
        <v>0</v>
      </c>
      <c r="W361">
        <f t="shared" si="30"/>
        <v>1</v>
      </c>
      <c r="X361">
        <f t="shared" si="31"/>
        <v>1</v>
      </c>
    </row>
    <row r="362" spans="1:24" hidden="1">
      <c r="A362" t="s">
        <v>140</v>
      </c>
      <c r="B362">
        <v>3</v>
      </c>
      <c r="C362">
        <v>1</v>
      </c>
      <c r="D362">
        <v>2.8080469404861699</v>
      </c>
      <c r="E362">
        <v>12.416177703269071</v>
      </c>
      <c r="F362">
        <v>2.3470243084660498</v>
      </c>
      <c r="G362">
        <v>3.3319362950544829</v>
      </c>
      <c r="H362">
        <v>3.1433361274098899</v>
      </c>
      <c r="I362">
        <v>0</v>
      </c>
      <c r="J362">
        <v>0</v>
      </c>
      <c r="K362">
        <v>0</v>
      </c>
      <c r="L362">
        <v>1</v>
      </c>
      <c r="M362">
        <v>1</v>
      </c>
      <c r="N362">
        <v>37</v>
      </c>
      <c r="O362">
        <v>60000</v>
      </c>
      <c r="P362">
        <v>1</v>
      </c>
      <c r="Q362">
        <v>1</v>
      </c>
      <c r="R362">
        <v>4</v>
      </c>
      <c r="S362">
        <v>4</v>
      </c>
      <c r="T362" s="123">
        <f t="shared" si="27"/>
        <v>1</v>
      </c>
      <c r="U362">
        <f t="shared" si="28"/>
        <v>0</v>
      </c>
      <c r="V362">
        <f t="shared" si="29"/>
        <v>0</v>
      </c>
      <c r="W362">
        <f t="shared" si="30"/>
        <v>1</v>
      </c>
      <c r="X362">
        <f t="shared" si="31"/>
        <v>1</v>
      </c>
    </row>
    <row r="363" spans="1:24" hidden="1">
      <c r="A363" t="s">
        <v>140</v>
      </c>
      <c r="B363">
        <v>4</v>
      </c>
      <c r="C363">
        <v>1</v>
      </c>
      <c r="D363">
        <v>1.6031014249790421</v>
      </c>
      <c r="E363">
        <v>3.992036881810562</v>
      </c>
      <c r="F363">
        <v>0</v>
      </c>
      <c r="G363">
        <v>0.89061190276613633</v>
      </c>
      <c r="H363">
        <v>8.3612740989103091</v>
      </c>
      <c r="I363">
        <v>0</v>
      </c>
      <c r="J363">
        <v>0</v>
      </c>
      <c r="K363">
        <v>0</v>
      </c>
      <c r="L363">
        <v>1</v>
      </c>
      <c r="M363">
        <v>1</v>
      </c>
      <c r="N363">
        <v>37</v>
      </c>
      <c r="O363">
        <v>60000</v>
      </c>
      <c r="P363">
        <v>1</v>
      </c>
      <c r="Q363">
        <v>1</v>
      </c>
      <c r="R363">
        <v>4</v>
      </c>
      <c r="S363">
        <v>4</v>
      </c>
      <c r="T363" s="123">
        <f t="shared" si="27"/>
        <v>1</v>
      </c>
      <c r="U363">
        <f t="shared" si="28"/>
        <v>0</v>
      </c>
      <c r="V363">
        <f t="shared" si="29"/>
        <v>0</v>
      </c>
      <c r="W363">
        <f t="shared" si="30"/>
        <v>1</v>
      </c>
      <c r="X363">
        <f t="shared" si="31"/>
        <v>1</v>
      </c>
    </row>
    <row r="364" spans="1:24">
      <c r="A364" t="s">
        <v>140</v>
      </c>
      <c r="B364">
        <v>5</v>
      </c>
      <c r="C364">
        <v>1</v>
      </c>
      <c r="D364">
        <v>50</v>
      </c>
      <c r="E364">
        <v>37.936170212765958</v>
      </c>
      <c r="F364">
        <v>50</v>
      </c>
      <c r="G364">
        <v>26.957446808510639</v>
      </c>
      <c r="H364">
        <v>27.702127659574469</v>
      </c>
      <c r="I364">
        <v>0</v>
      </c>
      <c r="J364">
        <v>0</v>
      </c>
      <c r="K364">
        <v>0</v>
      </c>
      <c r="L364">
        <v>1</v>
      </c>
      <c r="M364">
        <v>1</v>
      </c>
      <c r="N364">
        <v>37</v>
      </c>
      <c r="O364">
        <v>60000</v>
      </c>
      <c r="P364">
        <v>1</v>
      </c>
      <c r="Q364">
        <v>1</v>
      </c>
      <c r="R364">
        <v>4</v>
      </c>
      <c r="S364">
        <v>4</v>
      </c>
      <c r="T364" s="123">
        <f t="shared" si="27"/>
        <v>0</v>
      </c>
      <c r="U364">
        <f t="shared" si="28"/>
        <v>0</v>
      </c>
      <c r="V364">
        <f t="shared" si="29"/>
        <v>0</v>
      </c>
      <c r="W364">
        <f t="shared" si="30"/>
        <v>1</v>
      </c>
      <c r="X364">
        <f t="shared" si="31"/>
        <v>1</v>
      </c>
    </row>
    <row r="365" spans="1:24" hidden="1">
      <c r="A365" t="s">
        <v>140</v>
      </c>
      <c r="B365">
        <v>6</v>
      </c>
      <c r="C365">
        <v>1</v>
      </c>
      <c r="D365">
        <v>13.659574468085109</v>
      </c>
      <c r="E365">
        <v>18.925531914893622</v>
      </c>
      <c r="F365">
        <v>13.659574468085109</v>
      </c>
      <c r="G365">
        <v>15.17021276595745</v>
      </c>
      <c r="H365">
        <v>14.75531914893617</v>
      </c>
      <c r="I365">
        <v>0</v>
      </c>
      <c r="J365">
        <v>0</v>
      </c>
      <c r="K365">
        <v>0</v>
      </c>
      <c r="L365">
        <v>1</v>
      </c>
      <c r="M365">
        <v>1</v>
      </c>
      <c r="N365">
        <v>37</v>
      </c>
      <c r="O365">
        <v>60000</v>
      </c>
      <c r="P365">
        <v>1</v>
      </c>
      <c r="Q365">
        <v>1</v>
      </c>
      <c r="R365">
        <v>4</v>
      </c>
      <c r="S365">
        <v>4</v>
      </c>
      <c r="T365" s="123">
        <f t="shared" si="27"/>
        <v>1</v>
      </c>
      <c r="U365">
        <f t="shared" si="28"/>
        <v>0</v>
      </c>
      <c r="V365">
        <f t="shared" si="29"/>
        <v>0</v>
      </c>
      <c r="W365">
        <f t="shared" si="30"/>
        <v>1</v>
      </c>
      <c r="X365">
        <f t="shared" si="31"/>
        <v>1</v>
      </c>
    </row>
    <row r="366" spans="1:24" hidden="1">
      <c r="A366" t="s">
        <v>140</v>
      </c>
      <c r="B366">
        <v>7</v>
      </c>
      <c r="C366">
        <v>1</v>
      </c>
      <c r="D366">
        <v>0.52127659574467966</v>
      </c>
      <c r="E366">
        <v>4.1489361702127638</v>
      </c>
      <c r="F366">
        <v>0</v>
      </c>
      <c r="G366">
        <v>0</v>
      </c>
      <c r="H366">
        <v>0</v>
      </c>
      <c r="I366">
        <v>0</v>
      </c>
      <c r="J366">
        <v>1</v>
      </c>
      <c r="K366">
        <v>0</v>
      </c>
      <c r="L366">
        <v>1</v>
      </c>
      <c r="M366">
        <v>1</v>
      </c>
      <c r="N366">
        <v>37</v>
      </c>
      <c r="O366">
        <v>60000</v>
      </c>
      <c r="P366">
        <v>1</v>
      </c>
      <c r="Q366">
        <v>1</v>
      </c>
      <c r="R366">
        <v>4</v>
      </c>
      <c r="S366">
        <v>4</v>
      </c>
      <c r="T366" s="123">
        <f t="shared" si="27"/>
        <v>1</v>
      </c>
      <c r="U366">
        <f t="shared" si="28"/>
        <v>0</v>
      </c>
      <c r="V366">
        <f t="shared" si="29"/>
        <v>0</v>
      </c>
      <c r="W366">
        <f t="shared" si="30"/>
        <v>1</v>
      </c>
      <c r="X366">
        <f t="shared" si="31"/>
        <v>1</v>
      </c>
    </row>
    <row r="367" spans="1:24">
      <c r="A367" t="s">
        <v>141</v>
      </c>
      <c r="B367">
        <v>1</v>
      </c>
      <c r="C367">
        <v>1</v>
      </c>
      <c r="D367">
        <v>98.828956706884313</v>
      </c>
      <c r="E367">
        <v>99.491365034303286</v>
      </c>
      <c r="F367">
        <v>93.375916725810271</v>
      </c>
      <c r="G367">
        <v>8.280104092737167</v>
      </c>
      <c r="H367">
        <v>2.2592855453039959</v>
      </c>
      <c r="I367">
        <v>1</v>
      </c>
      <c r="J367">
        <v>0</v>
      </c>
      <c r="K367">
        <v>1</v>
      </c>
      <c r="L367">
        <v>1</v>
      </c>
      <c r="M367">
        <v>1</v>
      </c>
      <c r="N367">
        <v>63</v>
      </c>
      <c r="O367">
        <v>40000</v>
      </c>
      <c r="P367">
        <v>2</v>
      </c>
      <c r="Q367">
        <v>1</v>
      </c>
      <c r="R367">
        <v>3</v>
      </c>
      <c r="S367">
        <v>1</v>
      </c>
      <c r="T367" s="123">
        <f t="shared" si="27"/>
        <v>0</v>
      </c>
      <c r="U367">
        <f t="shared" si="28"/>
        <v>0</v>
      </c>
      <c r="V367">
        <f t="shared" si="29"/>
        <v>0</v>
      </c>
      <c r="W367">
        <f t="shared" si="30"/>
        <v>0</v>
      </c>
      <c r="X367">
        <f t="shared" si="31"/>
        <v>0</v>
      </c>
    </row>
    <row r="368" spans="1:24">
      <c r="A368" t="s">
        <v>141</v>
      </c>
      <c r="B368">
        <v>2</v>
      </c>
      <c r="C368">
        <v>1</v>
      </c>
      <c r="D368">
        <v>91.187603501301169</v>
      </c>
      <c r="E368">
        <v>95.670688431511707</v>
      </c>
      <c r="F368">
        <v>89.058433877454462</v>
      </c>
      <c r="G368">
        <v>1.3129879347054669</v>
      </c>
      <c r="H368">
        <v>10.149041873669271</v>
      </c>
      <c r="I368">
        <v>0</v>
      </c>
      <c r="J368">
        <v>0</v>
      </c>
      <c r="K368">
        <v>1</v>
      </c>
      <c r="L368">
        <v>1</v>
      </c>
      <c r="M368">
        <v>1</v>
      </c>
      <c r="N368">
        <v>63</v>
      </c>
      <c r="O368">
        <v>40000</v>
      </c>
      <c r="P368">
        <v>2</v>
      </c>
      <c r="Q368">
        <v>1</v>
      </c>
      <c r="R368">
        <v>3</v>
      </c>
      <c r="S368">
        <v>1</v>
      </c>
      <c r="T368" s="123">
        <f t="shared" si="27"/>
        <v>0</v>
      </c>
      <c r="U368">
        <f t="shared" si="28"/>
        <v>0</v>
      </c>
      <c r="V368">
        <f t="shared" si="29"/>
        <v>0</v>
      </c>
      <c r="W368">
        <f t="shared" si="30"/>
        <v>0</v>
      </c>
      <c r="X368">
        <f t="shared" si="31"/>
        <v>0</v>
      </c>
    </row>
    <row r="369" spans="1:24">
      <c r="A369" t="s">
        <v>141</v>
      </c>
      <c r="B369">
        <v>3</v>
      </c>
      <c r="C369">
        <v>1</v>
      </c>
      <c r="D369">
        <v>96.213692946058089</v>
      </c>
      <c r="E369">
        <v>97.977178423236523</v>
      </c>
      <c r="F369">
        <v>50</v>
      </c>
      <c r="G369">
        <v>8.6618257261410818</v>
      </c>
      <c r="H369">
        <v>0</v>
      </c>
      <c r="I369">
        <v>0</v>
      </c>
      <c r="J369">
        <v>0</v>
      </c>
      <c r="K369">
        <v>1</v>
      </c>
      <c r="L369">
        <v>1</v>
      </c>
      <c r="M369">
        <v>1</v>
      </c>
      <c r="N369">
        <v>63</v>
      </c>
      <c r="O369">
        <v>40000</v>
      </c>
      <c r="P369">
        <v>2</v>
      </c>
      <c r="Q369">
        <v>1</v>
      </c>
      <c r="R369">
        <v>3</v>
      </c>
      <c r="S369">
        <v>1</v>
      </c>
      <c r="T369" s="123">
        <f t="shared" si="27"/>
        <v>0</v>
      </c>
      <c r="U369">
        <f t="shared" si="28"/>
        <v>0</v>
      </c>
      <c r="V369">
        <f t="shared" si="29"/>
        <v>0</v>
      </c>
      <c r="W369">
        <f t="shared" si="30"/>
        <v>0</v>
      </c>
      <c r="X369">
        <f t="shared" si="31"/>
        <v>0</v>
      </c>
    </row>
    <row r="370" spans="1:24">
      <c r="A370" t="s">
        <v>141</v>
      </c>
      <c r="B370">
        <v>4</v>
      </c>
      <c r="C370">
        <v>1</v>
      </c>
      <c r="D370">
        <v>5.3682572614107862</v>
      </c>
      <c r="E370">
        <v>12.824170124481331</v>
      </c>
      <c r="F370">
        <v>4.745850622406639</v>
      </c>
      <c r="G370">
        <v>88.316908713692939</v>
      </c>
      <c r="H370">
        <v>3.915975103734437</v>
      </c>
      <c r="I370">
        <v>0</v>
      </c>
      <c r="J370">
        <v>0</v>
      </c>
      <c r="K370">
        <v>0</v>
      </c>
      <c r="L370">
        <v>1</v>
      </c>
      <c r="M370">
        <v>1</v>
      </c>
      <c r="N370">
        <v>63</v>
      </c>
      <c r="O370">
        <v>40000</v>
      </c>
      <c r="P370">
        <v>2</v>
      </c>
      <c r="Q370">
        <v>1</v>
      </c>
      <c r="R370">
        <v>3</v>
      </c>
      <c r="S370">
        <v>1</v>
      </c>
      <c r="T370" s="123">
        <f t="shared" si="27"/>
        <v>0</v>
      </c>
      <c r="U370">
        <f t="shared" si="28"/>
        <v>0</v>
      </c>
      <c r="V370">
        <f t="shared" si="29"/>
        <v>0</v>
      </c>
      <c r="W370">
        <f t="shared" si="30"/>
        <v>0</v>
      </c>
      <c r="X370">
        <f t="shared" si="31"/>
        <v>0</v>
      </c>
    </row>
    <row r="371" spans="1:24">
      <c r="A371" t="s">
        <v>141</v>
      </c>
      <c r="B371">
        <v>5</v>
      </c>
      <c r="C371">
        <v>1</v>
      </c>
      <c r="D371">
        <v>21.498962655601659</v>
      </c>
      <c r="E371">
        <v>4.1364107883817436</v>
      </c>
      <c r="F371">
        <v>1.167012448132781</v>
      </c>
      <c r="G371">
        <v>95.474585062240664</v>
      </c>
      <c r="H371">
        <v>6.2629668049792544</v>
      </c>
      <c r="I371">
        <v>0</v>
      </c>
      <c r="J371">
        <v>0</v>
      </c>
      <c r="K371">
        <v>0</v>
      </c>
      <c r="L371">
        <v>1</v>
      </c>
      <c r="M371">
        <v>1</v>
      </c>
      <c r="N371">
        <v>63</v>
      </c>
      <c r="O371">
        <v>40000</v>
      </c>
      <c r="P371">
        <v>2</v>
      </c>
      <c r="Q371">
        <v>1</v>
      </c>
      <c r="R371">
        <v>3</v>
      </c>
      <c r="S371">
        <v>1</v>
      </c>
      <c r="T371" s="123">
        <f t="shared" si="27"/>
        <v>0</v>
      </c>
      <c r="U371">
        <f t="shared" si="28"/>
        <v>0</v>
      </c>
      <c r="V371">
        <f t="shared" si="29"/>
        <v>0</v>
      </c>
      <c r="W371">
        <f t="shared" si="30"/>
        <v>0</v>
      </c>
      <c r="X371">
        <f t="shared" si="31"/>
        <v>0</v>
      </c>
    </row>
    <row r="372" spans="1:24">
      <c r="A372" t="s">
        <v>141</v>
      </c>
      <c r="B372">
        <v>6</v>
      </c>
      <c r="C372">
        <v>1</v>
      </c>
      <c r="D372">
        <v>4.1364107883817436</v>
      </c>
      <c r="E372">
        <v>4.9014522821576758</v>
      </c>
      <c r="F372">
        <v>4.6161825726141084</v>
      </c>
      <c r="G372">
        <v>95.383817427385893</v>
      </c>
      <c r="H372">
        <v>9.1156639004149387</v>
      </c>
      <c r="I372">
        <v>0</v>
      </c>
      <c r="J372">
        <v>0</v>
      </c>
      <c r="K372">
        <v>0</v>
      </c>
      <c r="L372">
        <v>1</v>
      </c>
      <c r="M372">
        <v>1</v>
      </c>
      <c r="N372">
        <v>63</v>
      </c>
      <c r="O372">
        <v>40000</v>
      </c>
      <c r="P372">
        <v>2</v>
      </c>
      <c r="Q372">
        <v>1</v>
      </c>
      <c r="R372">
        <v>3</v>
      </c>
      <c r="S372">
        <v>1</v>
      </c>
      <c r="T372" s="123">
        <f t="shared" si="27"/>
        <v>0</v>
      </c>
      <c r="U372">
        <f t="shared" si="28"/>
        <v>0</v>
      </c>
      <c r="V372">
        <f t="shared" si="29"/>
        <v>0</v>
      </c>
      <c r="W372">
        <f t="shared" si="30"/>
        <v>0</v>
      </c>
      <c r="X372">
        <f t="shared" si="31"/>
        <v>0</v>
      </c>
    </row>
    <row r="373" spans="1:24">
      <c r="A373" t="s">
        <v>141</v>
      </c>
      <c r="B373">
        <v>7</v>
      </c>
      <c r="C373">
        <v>1</v>
      </c>
      <c r="D373">
        <v>7.2354771784232383</v>
      </c>
      <c r="E373">
        <v>2.645228215767637</v>
      </c>
      <c r="F373">
        <v>5.5238589211618283</v>
      </c>
      <c r="G373">
        <v>94.929979253112037</v>
      </c>
      <c r="H373">
        <v>14.419087136929461</v>
      </c>
      <c r="I373">
        <v>0</v>
      </c>
      <c r="J373">
        <v>1</v>
      </c>
      <c r="K373">
        <v>0</v>
      </c>
      <c r="L373">
        <v>1</v>
      </c>
      <c r="M373">
        <v>1</v>
      </c>
      <c r="N373">
        <v>63</v>
      </c>
      <c r="O373">
        <v>40000</v>
      </c>
      <c r="P373">
        <v>2</v>
      </c>
      <c r="Q373">
        <v>1</v>
      </c>
      <c r="R373">
        <v>3</v>
      </c>
      <c r="S373">
        <v>1</v>
      </c>
      <c r="T373" s="123">
        <f t="shared" si="27"/>
        <v>0</v>
      </c>
      <c r="U373">
        <f t="shared" si="28"/>
        <v>0</v>
      </c>
      <c r="V373">
        <f t="shared" si="29"/>
        <v>0</v>
      </c>
      <c r="W373">
        <f t="shared" si="30"/>
        <v>0</v>
      </c>
      <c r="X373">
        <f t="shared" si="31"/>
        <v>0</v>
      </c>
    </row>
    <row r="374" spans="1:24">
      <c r="A374" t="s">
        <v>142</v>
      </c>
      <c r="B374">
        <v>1</v>
      </c>
      <c r="C374">
        <v>1</v>
      </c>
      <c r="D374">
        <v>26.408187658747941</v>
      </c>
      <c r="E374">
        <v>10.227102943373669</v>
      </c>
      <c r="F374">
        <v>17.062602719258919</v>
      </c>
      <c r="G374">
        <v>85.171074256686083</v>
      </c>
      <c r="H374">
        <v>87.150754519647393</v>
      </c>
      <c r="I374">
        <v>1</v>
      </c>
      <c r="J374">
        <v>0</v>
      </c>
      <c r="K374">
        <v>0</v>
      </c>
      <c r="L374">
        <v>1</v>
      </c>
      <c r="M374">
        <v>1</v>
      </c>
      <c r="N374">
        <v>62</v>
      </c>
      <c r="O374">
        <v>-99</v>
      </c>
      <c r="P374">
        <v>1</v>
      </c>
      <c r="Q374">
        <v>1</v>
      </c>
      <c r="R374">
        <v>1</v>
      </c>
      <c r="S374">
        <v>2</v>
      </c>
      <c r="T374" s="123">
        <f t="shared" si="27"/>
        <v>0</v>
      </c>
      <c r="U374">
        <f t="shared" si="28"/>
        <v>0</v>
      </c>
      <c r="V374">
        <f t="shared" si="29"/>
        <v>0</v>
      </c>
      <c r="W374">
        <f t="shared" si="30"/>
        <v>0</v>
      </c>
      <c r="X374">
        <f t="shared" si="31"/>
        <v>0</v>
      </c>
    </row>
    <row r="375" spans="1:24" hidden="1">
      <c r="A375" t="s">
        <v>142</v>
      </c>
      <c r="B375">
        <v>2</v>
      </c>
      <c r="C375">
        <v>1</v>
      </c>
      <c r="D375">
        <v>100</v>
      </c>
      <c r="E375">
        <v>100</v>
      </c>
      <c r="F375">
        <v>100</v>
      </c>
      <c r="G375">
        <v>100</v>
      </c>
      <c r="H375">
        <v>100</v>
      </c>
      <c r="I375">
        <v>0</v>
      </c>
      <c r="J375">
        <v>0</v>
      </c>
      <c r="K375">
        <v>1</v>
      </c>
      <c r="L375">
        <v>1</v>
      </c>
      <c r="M375">
        <v>1</v>
      </c>
      <c r="N375">
        <v>62</v>
      </c>
      <c r="O375">
        <v>-99</v>
      </c>
      <c r="P375">
        <v>1</v>
      </c>
      <c r="Q375">
        <v>1</v>
      </c>
      <c r="R375">
        <v>1</v>
      </c>
      <c r="S375">
        <v>2</v>
      </c>
      <c r="T375" s="123">
        <f t="shared" si="27"/>
        <v>1</v>
      </c>
      <c r="U375">
        <f t="shared" si="28"/>
        <v>0</v>
      </c>
      <c r="V375">
        <f t="shared" si="29"/>
        <v>0</v>
      </c>
      <c r="W375">
        <f t="shared" si="30"/>
        <v>0</v>
      </c>
      <c r="X375">
        <f t="shared" si="31"/>
        <v>0</v>
      </c>
    </row>
    <row r="376" spans="1:24" hidden="1">
      <c r="A376" t="s">
        <v>142</v>
      </c>
      <c r="B376">
        <v>3</v>
      </c>
      <c r="C376">
        <v>1</v>
      </c>
      <c r="D376">
        <v>12.468085106382979</v>
      </c>
      <c r="E376">
        <v>10.521276595744681</v>
      </c>
      <c r="F376">
        <v>50</v>
      </c>
      <c r="G376">
        <v>28.308510638297879</v>
      </c>
      <c r="H376">
        <v>40.723404255319153</v>
      </c>
      <c r="I376">
        <v>0</v>
      </c>
      <c r="J376">
        <v>0</v>
      </c>
      <c r="K376">
        <v>0</v>
      </c>
      <c r="L376">
        <v>1</v>
      </c>
      <c r="M376">
        <v>1</v>
      </c>
      <c r="N376">
        <v>62</v>
      </c>
      <c r="O376">
        <v>-99</v>
      </c>
      <c r="P376">
        <v>1</v>
      </c>
      <c r="Q376">
        <v>1</v>
      </c>
      <c r="R376">
        <v>1</v>
      </c>
      <c r="S376">
        <v>2</v>
      </c>
      <c r="T376" s="123">
        <f t="shared" si="27"/>
        <v>1</v>
      </c>
      <c r="U376">
        <f t="shared" si="28"/>
        <v>0</v>
      </c>
      <c r="V376">
        <f t="shared" si="29"/>
        <v>0</v>
      </c>
      <c r="W376">
        <f t="shared" si="30"/>
        <v>0</v>
      </c>
      <c r="X376">
        <f t="shared" si="31"/>
        <v>0</v>
      </c>
    </row>
    <row r="377" spans="1:24" hidden="1">
      <c r="A377" t="s">
        <v>142</v>
      </c>
      <c r="B377">
        <v>4</v>
      </c>
      <c r="C377">
        <v>1</v>
      </c>
      <c r="D377">
        <v>96.436170212765958</v>
      </c>
      <c r="E377">
        <v>100</v>
      </c>
      <c r="F377">
        <v>100</v>
      </c>
      <c r="G377">
        <v>100</v>
      </c>
      <c r="H377">
        <v>100</v>
      </c>
      <c r="I377">
        <v>0</v>
      </c>
      <c r="J377">
        <v>0</v>
      </c>
      <c r="K377">
        <v>1</v>
      </c>
      <c r="L377">
        <v>1</v>
      </c>
      <c r="M377">
        <v>1</v>
      </c>
      <c r="N377">
        <v>62</v>
      </c>
      <c r="O377">
        <v>-99</v>
      </c>
      <c r="P377">
        <v>1</v>
      </c>
      <c r="Q377">
        <v>1</v>
      </c>
      <c r="R377">
        <v>1</v>
      </c>
      <c r="S377">
        <v>2</v>
      </c>
      <c r="T377" s="123">
        <f t="shared" si="27"/>
        <v>1</v>
      </c>
      <c r="U377">
        <f t="shared" si="28"/>
        <v>0</v>
      </c>
      <c r="V377">
        <f t="shared" si="29"/>
        <v>0</v>
      </c>
      <c r="W377">
        <f t="shared" si="30"/>
        <v>0</v>
      </c>
      <c r="X377">
        <f t="shared" si="31"/>
        <v>0</v>
      </c>
    </row>
    <row r="378" spans="1:24">
      <c r="A378" t="s">
        <v>142</v>
      </c>
      <c r="B378">
        <v>5</v>
      </c>
      <c r="C378">
        <v>1</v>
      </c>
      <c r="D378">
        <v>25.85106382978724</v>
      </c>
      <c r="E378">
        <v>32.042553191489361</v>
      </c>
      <c r="F378">
        <v>25.85106382978724</v>
      </c>
      <c r="G378">
        <v>8.3191489361702118</v>
      </c>
      <c r="H378">
        <v>64.627659574468083</v>
      </c>
      <c r="I378">
        <v>0</v>
      </c>
      <c r="J378">
        <v>0</v>
      </c>
      <c r="K378">
        <v>0</v>
      </c>
      <c r="L378">
        <v>1</v>
      </c>
      <c r="M378">
        <v>1</v>
      </c>
      <c r="N378">
        <v>62</v>
      </c>
      <c r="O378">
        <v>-99</v>
      </c>
      <c r="P378">
        <v>1</v>
      </c>
      <c r="Q378">
        <v>1</v>
      </c>
      <c r="R378">
        <v>1</v>
      </c>
      <c r="S378">
        <v>2</v>
      </c>
      <c r="T378" s="123">
        <f t="shared" si="27"/>
        <v>0</v>
      </c>
      <c r="U378">
        <f t="shared" si="28"/>
        <v>0</v>
      </c>
      <c r="V378">
        <f t="shared" si="29"/>
        <v>0</v>
      </c>
      <c r="W378">
        <f t="shared" si="30"/>
        <v>0</v>
      </c>
      <c r="X378">
        <f t="shared" si="31"/>
        <v>0</v>
      </c>
    </row>
    <row r="379" spans="1:24">
      <c r="A379" t="s">
        <v>142</v>
      </c>
      <c r="B379">
        <v>6</v>
      </c>
      <c r="C379">
        <v>1</v>
      </c>
      <c r="D379">
        <v>12.042553191489359</v>
      </c>
      <c r="E379">
        <v>17.712765957446809</v>
      </c>
      <c r="F379">
        <v>15.30851063829787</v>
      </c>
      <c r="G379">
        <v>73.351063829787236</v>
      </c>
      <c r="H379">
        <v>77</v>
      </c>
      <c r="I379">
        <v>0</v>
      </c>
      <c r="J379">
        <v>0</v>
      </c>
      <c r="K379">
        <v>0</v>
      </c>
      <c r="L379">
        <v>1</v>
      </c>
      <c r="M379">
        <v>1</v>
      </c>
      <c r="N379">
        <v>62</v>
      </c>
      <c r="O379">
        <v>-99</v>
      </c>
      <c r="P379">
        <v>1</v>
      </c>
      <c r="Q379">
        <v>1</v>
      </c>
      <c r="R379">
        <v>1</v>
      </c>
      <c r="S379">
        <v>2</v>
      </c>
      <c r="T379" s="123">
        <f t="shared" si="27"/>
        <v>0</v>
      </c>
      <c r="U379">
        <f t="shared" si="28"/>
        <v>0</v>
      </c>
      <c r="V379">
        <f t="shared" si="29"/>
        <v>0</v>
      </c>
      <c r="W379">
        <f t="shared" si="30"/>
        <v>0</v>
      </c>
      <c r="X379">
        <f t="shared" si="31"/>
        <v>0</v>
      </c>
    </row>
    <row r="380" spans="1:24">
      <c r="A380" t="s">
        <v>142</v>
      </c>
      <c r="B380">
        <v>7</v>
      </c>
      <c r="C380">
        <v>1</v>
      </c>
      <c r="D380">
        <v>100</v>
      </c>
      <c r="E380">
        <v>100</v>
      </c>
      <c r="F380">
        <v>94.861702127659569</v>
      </c>
      <c r="G380">
        <v>10.340425531914891</v>
      </c>
      <c r="H380">
        <v>100</v>
      </c>
      <c r="I380">
        <v>0</v>
      </c>
      <c r="J380">
        <v>1</v>
      </c>
      <c r="K380">
        <v>1</v>
      </c>
      <c r="L380">
        <v>1</v>
      </c>
      <c r="M380">
        <v>1</v>
      </c>
      <c r="N380">
        <v>62</v>
      </c>
      <c r="O380">
        <v>-99</v>
      </c>
      <c r="P380">
        <v>1</v>
      </c>
      <c r="Q380">
        <v>1</v>
      </c>
      <c r="R380">
        <v>1</v>
      </c>
      <c r="S380">
        <v>2</v>
      </c>
      <c r="T380" s="123">
        <f t="shared" si="27"/>
        <v>0</v>
      </c>
      <c r="U380">
        <f t="shared" si="28"/>
        <v>0</v>
      </c>
      <c r="V380">
        <f t="shared" si="29"/>
        <v>0</v>
      </c>
      <c r="W380">
        <f t="shared" si="30"/>
        <v>0</v>
      </c>
      <c r="X380">
        <f t="shared" si="31"/>
        <v>0</v>
      </c>
    </row>
    <row r="381" spans="1:24">
      <c r="A381" t="s">
        <v>143</v>
      </c>
      <c r="B381">
        <v>1</v>
      </c>
      <c r="C381">
        <v>1</v>
      </c>
      <c r="D381">
        <v>1.8629657414353571</v>
      </c>
      <c r="E381">
        <v>50</v>
      </c>
      <c r="F381">
        <v>28.357089272318081</v>
      </c>
      <c r="G381">
        <v>74.343585896474124</v>
      </c>
      <c r="H381">
        <v>50</v>
      </c>
      <c r="I381">
        <v>1</v>
      </c>
      <c r="J381">
        <v>0</v>
      </c>
      <c r="K381">
        <v>0</v>
      </c>
      <c r="L381">
        <v>1</v>
      </c>
      <c r="M381">
        <v>1</v>
      </c>
      <c r="N381">
        <v>19</v>
      </c>
      <c r="O381">
        <v>-99</v>
      </c>
      <c r="P381">
        <v>1</v>
      </c>
      <c r="Q381">
        <v>1</v>
      </c>
      <c r="R381">
        <v>3</v>
      </c>
      <c r="S381">
        <v>3</v>
      </c>
      <c r="T381" s="123">
        <f t="shared" si="27"/>
        <v>0</v>
      </c>
      <c r="U381">
        <f t="shared" si="28"/>
        <v>0</v>
      </c>
      <c r="V381">
        <f t="shared" si="29"/>
        <v>0</v>
      </c>
      <c r="W381">
        <f t="shared" si="30"/>
        <v>0</v>
      </c>
      <c r="X381">
        <f t="shared" si="31"/>
        <v>0</v>
      </c>
    </row>
    <row r="382" spans="1:24">
      <c r="A382" t="s">
        <v>143</v>
      </c>
      <c r="B382">
        <v>2</v>
      </c>
      <c r="C382">
        <v>1</v>
      </c>
      <c r="D382">
        <v>0.73768442110527799</v>
      </c>
      <c r="E382">
        <v>0.62515628907227061</v>
      </c>
      <c r="F382">
        <v>32.108027006751691</v>
      </c>
      <c r="G382">
        <v>97.911977994498628</v>
      </c>
      <c r="H382">
        <v>97.499374843710925</v>
      </c>
      <c r="I382">
        <v>0</v>
      </c>
      <c r="J382">
        <v>0</v>
      </c>
      <c r="K382">
        <v>0</v>
      </c>
      <c r="L382">
        <v>1</v>
      </c>
      <c r="M382">
        <v>1</v>
      </c>
      <c r="N382">
        <v>19</v>
      </c>
      <c r="O382">
        <v>-99</v>
      </c>
      <c r="P382">
        <v>1</v>
      </c>
      <c r="Q382">
        <v>1</v>
      </c>
      <c r="R382">
        <v>3</v>
      </c>
      <c r="S382">
        <v>3</v>
      </c>
      <c r="T382" s="123">
        <f t="shared" si="27"/>
        <v>0</v>
      </c>
      <c r="U382">
        <f t="shared" si="28"/>
        <v>0</v>
      </c>
      <c r="V382">
        <f t="shared" si="29"/>
        <v>0</v>
      </c>
      <c r="W382">
        <f t="shared" si="30"/>
        <v>0</v>
      </c>
      <c r="X382">
        <f t="shared" si="31"/>
        <v>0</v>
      </c>
    </row>
    <row r="383" spans="1:24">
      <c r="A383" t="s">
        <v>143</v>
      </c>
      <c r="B383">
        <v>3</v>
      </c>
      <c r="C383">
        <v>1</v>
      </c>
      <c r="D383">
        <v>2.0880220055013781</v>
      </c>
      <c r="E383">
        <v>14.053513378344579</v>
      </c>
      <c r="F383">
        <v>3.7509377344336068</v>
      </c>
      <c r="G383">
        <v>99.574893723430861</v>
      </c>
      <c r="H383">
        <v>99.174793698424608</v>
      </c>
      <c r="I383">
        <v>0</v>
      </c>
      <c r="J383">
        <v>0</v>
      </c>
      <c r="K383">
        <v>0</v>
      </c>
      <c r="L383">
        <v>1</v>
      </c>
      <c r="M383">
        <v>1</v>
      </c>
      <c r="N383">
        <v>19</v>
      </c>
      <c r="O383">
        <v>-99</v>
      </c>
      <c r="P383">
        <v>1</v>
      </c>
      <c r="Q383">
        <v>1</v>
      </c>
      <c r="R383">
        <v>3</v>
      </c>
      <c r="S383">
        <v>3</v>
      </c>
      <c r="T383" s="123">
        <f t="shared" si="27"/>
        <v>0</v>
      </c>
      <c r="U383">
        <f t="shared" si="28"/>
        <v>0</v>
      </c>
      <c r="V383">
        <f t="shared" si="29"/>
        <v>0</v>
      </c>
      <c r="W383">
        <f t="shared" si="30"/>
        <v>0</v>
      </c>
      <c r="X383">
        <f t="shared" si="31"/>
        <v>0</v>
      </c>
    </row>
    <row r="384" spans="1:24">
      <c r="A384" t="s">
        <v>143</v>
      </c>
      <c r="B384">
        <v>4</v>
      </c>
      <c r="C384">
        <v>1</v>
      </c>
      <c r="D384">
        <v>1.450362590647664</v>
      </c>
      <c r="E384">
        <v>21.267816954238558</v>
      </c>
      <c r="F384">
        <v>9.3898474618654646</v>
      </c>
      <c r="G384">
        <v>87.059264816204049</v>
      </c>
      <c r="H384">
        <v>90.235058764691175</v>
      </c>
      <c r="I384">
        <v>0</v>
      </c>
      <c r="J384">
        <v>0</v>
      </c>
      <c r="K384">
        <v>0</v>
      </c>
      <c r="L384">
        <v>1</v>
      </c>
      <c r="M384">
        <v>1</v>
      </c>
      <c r="N384">
        <v>19</v>
      </c>
      <c r="O384">
        <v>-99</v>
      </c>
      <c r="P384">
        <v>1</v>
      </c>
      <c r="Q384">
        <v>1</v>
      </c>
      <c r="R384">
        <v>3</v>
      </c>
      <c r="S384">
        <v>3</v>
      </c>
      <c r="T384" s="123">
        <f t="shared" si="27"/>
        <v>0</v>
      </c>
      <c r="U384">
        <f t="shared" si="28"/>
        <v>0</v>
      </c>
      <c r="V384">
        <f t="shared" si="29"/>
        <v>0</v>
      </c>
      <c r="W384">
        <f t="shared" si="30"/>
        <v>0</v>
      </c>
      <c r="X384">
        <f t="shared" si="31"/>
        <v>0</v>
      </c>
    </row>
    <row r="385" spans="1:24">
      <c r="A385" t="s">
        <v>143</v>
      </c>
      <c r="B385">
        <v>5</v>
      </c>
      <c r="C385">
        <v>1</v>
      </c>
      <c r="D385">
        <v>0</v>
      </c>
      <c r="E385">
        <v>6.4641160290072497</v>
      </c>
      <c r="F385">
        <v>0.62515628907227061</v>
      </c>
      <c r="G385">
        <v>90.210052513128275</v>
      </c>
      <c r="H385">
        <v>93.535883970992757</v>
      </c>
      <c r="I385">
        <v>0</v>
      </c>
      <c r="J385">
        <v>0</v>
      </c>
      <c r="K385">
        <v>0</v>
      </c>
      <c r="L385">
        <v>1</v>
      </c>
      <c r="M385">
        <v>1</v>
      </c>
      <c r="N385">
        <v>19</v>
      </c>
      <c r="O385">
        <v>-99</v>
      </c>
      <c r="P385">
        <v>1</v>
      </c>
      <c r="Q385">
        <v>1</v>
      </c>
      <c r="R385">
        <v>3</v>
      </c>
      <c r="S385">
        <v>3</v>
      </c>
      <c r="T385" s="123">
        <f t="shared" si="27"/>
        <v>0</v>
      </c>
      <c r="U385">
        <f t="shared" si="28"/>
        <v>0</v>
      </c>
      <c r="V385">
        <f t="shared" si="29"/>
        <v>0</v>
      </c>
      <c r="W385">
        <f t="shared" si="30"/>
        <v>0</v>
      </c>
      <c r="X385">
        <f t="shared" si="31"/>
        <v>0</v>
      </c>
    </row>
    <row r="386" spans="1:24">
      <c r="A386" t="s">
        <v>143</v>
      </c>
      <c r="B386">
        <v>6</v>
      </c>
      <c r="C386">
        <v>1</v>
      </c>
      <c r="D386">
        <v>27.969492373093271</v>
      </c>
      <c r="E386">
        <v>9.8024506126531623</v>
      </c>
      <c r="F386">
        <v>1.462865716429107</v>
      </c>
      <c r="G386">
        <v>93.123280820205039</v>
      </c>
      <c r="H386">
        <v>97.299324831207798</v>
      </c>
      <c r="I386">
        <v>0</v>
      </c>
      <c r="J386">
        <v>0</v>
      </c>
      <c r="K386">
        <v>0</v>
      </c>
      <c r="L386">
        <v>1</v>
      </c>
      <c r="M386">
        <v>1</v>
      </c>
      <c r="N386">
        <v>19</v>
      </c>
      <c r="O386">
        <v>-99</v>
      </c>
      <c r="P386">
        <v>1</v>
      </c>
      <c r="Q386">
        <v>1</v>
      </c>
      <c r="R386">
        <v>3</v>
      </c>
      <c r="S386">
        <v>3</v>
      </c>
      <c r="T386" s="123">
        <f t="shared" si="27"/>
        <v>0</v>
      </c>
      <c r="U386">
        <f t="shared" si="28"/>
        <v>0</v>
      </c>
      <c r="V386">
        <f t="shared" si="29"/>
        <v>0</v>
      </c>
      <c r="W386">
        <f t="shared" si="30"/>
        <v>0</v>
      </c>
      <c r="X386">
        <f t="shared" si="31"/>
        <v>0</v>
      </c>
    </row>
    <row r="387" spans="1:24">
      <c r="A387" t="s">
        <v>143</v>
      </c>
      <c r="B387">
        <v>7</v>
      </c>
      <c r="C387">
        <v>1</v>
      </c>
      <c r="D387">
        <v>6.0515128782195564</v>
      </c>
      <c r="E387">
        <v>7.9269817454363567</v>
      </c>
      <c r="F387">
        <v>6.8892223055763928</v>
      </c>
      <c r="G387">
        <v>92.285571392848212</v>
      </c>
      <c r="H387">
        <v>98.324581145286331</v>
      </c>
      <c r="I387">
        <v>0</v>
      </c>
      <c r="J387">
        <v>1</v>
      </c>
      <c r="K387">
        <v>0</v>
      </c>
      <c r="L387">
        <v>1</v>
      </c>
      <c r="M387">
        <v>1</v>
      </c>
      <c r="N387">
        <v>19</v>
      </c>
      <c r="O387">
        <v>-99</v>
      </c>
      <c r="P387">
        <v>1</v>
      </c>
      <c r="Q387">
        <v>1</v>
      </c>
      <c r="R387">
        <v>3</v>
      </c>
      <c r="S387">
        <v>3</v>
      </c>
      <c r="T387" s="123">
        <f t="shared" si="27"/>
        <v>0</v>
      </c>
      <c r="U387">
        <f t="shared" si="28"/>
        <v>0</v>
      </c>
      <c r="V387">
        <f t="shared" si="29"/>
        <v>0</v>
      </c>
      <c r="W387">
        <f t="shared" si="30"/>
        <v>0</v>
      </c>
      <c r="X387">
        <f t="shared" si="31"/>
        <v>0</v>
      </c>
    </row>
    <row r="388" spans="1:24">
      <c r="A388" t="s">
        <v>144</v>
      </c>
      <c r="B388">
        <v>1</v>
      </c>
      <c r="C388">
        <v>1</v>
      </c>
      <c r="D388">
        <v>99.933142311365813</v>
      </c>
      <c r="E388">
        <v>86.609360076408777</v>
      </c>
      <c r="F388">
        <v>98.57688634192931</v>
      </c>
      <c r="G388">
        <v>12.20630372492837</v>
      </c>
      <c r="H388">
        <v>12.74116523400191</v>
      </c>
      <c r="I388">
        <v>1</v>
      </c>
      <c r="J388">
        <v>0</v>
      </c>
      <c r="K388">
        <v>1</v>
      </c>
      <c r="L388">
        <v>1</v>
      </c>
      <c r="M388">
        <v>1</v>
      </c>
      <c r="N388">
        <v>35</v>
      </c>
      <c r="O388">
        <v>95000</v>
      </c>
      <c r="P388">
        <v>4</v>
      </c>
      <c r="Q388">
        <v>5</v>
      </c>
      <c r="R388">
        <v>5</v>
      </c>
      <c r="S388">
        <v>5</v>
      </c>
      <c r="T388" s="123">
        <f t="shared" ref="T388:T451" si="32">IF(OR(IF(AVERAGE(E388:F388)-G388&gt;(10),1,0),IF(AVERAGE(E388:F388)-G388&lt;(-10),1,0)),0,1)</f>
        <v>0</v>
      </c>
      <c r="U388">
        <f t="shared" ref="U388:U451" si="33">IF(P388&gt;3,1,0)</f>
        <v>1</v>
      </c>
      <c r="V388">
        <f t="shared" ref="V388:V451" si="34">IF(Q388&gt;3,1,0)</f>
        <v>1</v>
      </c>
      <c r="W388">
        <f t="shared" ref="W388:W451" si="35">IF(R388&gt;3,1,0)</f>
        <v>1</v>
      </c>
      <c r="X388">
        <f t="shared" ref="X388:X451" si="36">IF(S388&gt;3,1,0)</f>
        <v>1</v>
      </c>
    </row>
    <row r="389" spans="1:24">
      <c r="A389" t="s">
        <v>144</v>
      </c>
      <c r="B389">
        <v>2</v>
      </c>
      <c r="C389">
        <v>1</v>
      </c>
      <c r="D389">
        <v>4.0496657115568269</v>
      </c>
      <c r="E389">
        <v>5.5873925501432664</v>
      </c>
      <c r="F389">
        <v>18.338108882521489</v>
      </c>
      <c r="G389">
        <v>0.49665711556828862</v>
      </c>
      <c r="H389">
        <v>0</v>
      </c>
      <c r="I389">
        <v>0</v>
      </c>
      <c r="J389">
        <v>0</v>
      </c>
      <c r="K389">
        <v>0</v>
      </c>
      <c r="L389">
        <v>1</v>
      </c>
      <c r="M389">
        <v>1</v>
      </c>
      <c r="N389">
        <v>35</v>
      </c>
      <c r="O389">
        <v>95000</v>
      </c>
      <c r="P389">
        <v>4</v>
      </c>
      <c r="Q389">
        <v>5</v>
      </c>
      <c r="R389">
        <v>5</v>
      </c>
      <c r="S389">
        <v>5</v>
      </c>
      <c r="T389" s="123">
        <f t="shared" si="32"/>
        <v>0</v>
      </c>
      <c r="U389">
        <f t="shared" si="33"/>
        <v>1</v>
      </c>
      <c r="V389">
        <f t="shared" si="34"/>
        <v>1</v>
      </c>
      <c r="W389">
        <f t="shared" si="35"/>
        <v>1</v>
      </c>
      <c r="X389">
        <f t="shared" si="36"/>
        <v>1</v>
      </c>
    </row>
    <row r="390" spans="1:24" hidden="1">
      <c r="A390" t="s">
        <v>144</v>
      </c>
      <c r="B390">
        <v>3</v>
      </c>
      <c r="C390">
        <v>1</v>
      </c>
      <c r="D390">
        <v>1.728748806112701</v>
      </c>
      <c r="E390">
        <v>12.76026743075453</v>
      </c>
      <c r="F390">
        <v>10.372492836676219</v>
      </c>
      <c r="G390">
        <v>1.728748806112701</v>
      </c>
      <c r="H390">
        <v>7.020057306590255</v>
      </c>
      <c r="I390">
        <v>0</v>
      </c>
      <c r="J390">
        <v>0</v>
      </c>
      <c r="K390">
        <v>0</v>
      </c>
      <c r="L390">
        <v>1</v>
      </c>
      <c r="M390">
        <v>1</v>
      </c>
      <c r="N390">
        <v>35</v>
      </c>
      <c r="O390">
        <v>95000</v>
      </c>
      <c r="P390">
        <v>4</v>
      </c>
      <c r="Q390">
        <v>5</v>
      </c>
      <c r="R390">
        <v>5</v>
      </c>
      <c r="S390">
        <v>5</v>
      </c>
      <c r="T390" s="123">
        <f t="shared" si="32"/>
        <v>1</v>
      </c>
      <c r="U390">
        <f t="shared" si="33"/>
        <v>1</v>
      </c>
      <c r="V390">
        <f t="shared" si="34"/>
        <v>1</v>
      </c>
      <c r="W390">
        <f t="shared" si="35"/>
        <v>1</v>
      </c>
      <c r="X390">
        <f t="shared" si="36"/>
        <v>1</v>
      </c>
    </row>
    <row r="391" spans="1:24">
      <c r="A391" t="s">
        <v>144</v>
      </c>
      <c r="B391">
        <v>4</v>
      </c>
      <c r="C391">
        <v>1</v>
      </c>
      <c r="D391">
        <v>4.1451766953199627</v>
      </c>
      <c r="E391">
        <v>97.077363896848141</v>
      </c>
      <c r="F391">
        <v>4.6131805157593133</v>
      </c>
      <c r="G391">
        <v>1.7860553963705841</v>
      </c>
      <c r="H391">
        <v>82.626552053486151</v>
      </c>
      <c r="I391">
        <v>0</v>
      </c>
      <c r="J391">
        <v>0</v>
      </c>
      <c r="K391">
        <v>0</v>
      </c>
      <c r="L391">
        <v>1</v>
      </c>
      <c r="M391">
        <v>1</v>
      </c>
      <c r="N391">
        <v>35</v>
      </c>
      <c r="O391">
        <v>95000</v>
      </c>
      <c r="P391">
        <v>4</v>
      </c>
      <c r="Q391">
        <v>5</v>
      </c>
      <c r="R391">
        <v>5</v>
      </c>
      <c r="S391">
        <v>5</v>
      </c>
      <c r="T391" s="123">
        <f t="shared" si="32"/>
        <v>0</v>
      </c>
      <c r="U391">
        <f t="shared" si="33"/>
        <v>1</v>
      </c>
      <c r="V391">
        <f t="shared" si="34"/>
        <v>1</v>
      </c>
      <c r="W391">
        <f t="shared" si="35"/>
        <v>1</v>
      </c>
      <c r="X391">
        <f t="shared" si="36"/>
        <v>1</v>
      </c>
    </row>
    <row r="392" spans="1:24" hidden="1">
      <c r="A392" t="s">
        <v>144</v>
      </c>
      <c r="B392">
        <v>5</v>
      </c>
      <c r="C392">
        <v>1</v>
      </c>
      <c r="D392">
        <v>2.56924546322827</v>
      </c>
      <c r="E392">
        <v>2.7984718242597899</v>
      </c>
      <c r="F392">
        <v>8.1279847182425975</v>
      </c>
      <c r="G392">
        <v>4.9092645654250253</v>
      </c>
      <c r="H392">
        <v>1.642788920725885</v>
      </c>
      <c r="I392">
        <v>0</v>
      </c>
      <c r="J392">
        <v>0</v>
      </c>
      <c r="K392">
        <v>0</v>
      </c>
      <c r="L392">
        <v>1</v>
      </c>
      <c r="M392">
        <v>1</v>
      </c>
      <c r="N392">
        <v>35</v>
      </c>
      <c r="O392">
        <v>95000</v>
      </c>
      <c r="P392">
        <v>4</v>
      </c>
      <c r="Q392">
        <v>5</v>
      </c>
      <c r="R392">
        <v>5</v>
      </c>
      <c r="S392">
        <v>5</v>
      </c>
      <c r="T392" s="123">
        <f t="shared" si="32"/>
        <v>1</v>
      </c>
      <c r="U392">
        <f t="shared" si="33"/>
        <v>1</v>
      </c>
      <c r="V392">
        <f t="shared" si="34"/>
        <v>1</v>
      </c>
      <c r="W392">
        <f t="shared" si="35"/>
        <v>1</v>
      </c>
      <c r="X392">
        <f t="shared" si="36"/>
        <v>1</v>
      </c>
    </row>
    <row r="393" spans="1:24">
      <c r="A393" t="s">
        <v>144</v>
      </c>
      <c r="B393">
        <v>6</v>
      </c>
      <c r="C393">
        <v>1</v>
      </c>
      <c r="D393">
        <v>98.185291308500481</v>
      </c>
      <c r="E393">
        <v>82.760267430754524</v>
      </c>
      <c r="F393">
        <v>93.782234957020052</v>
      </c>
      <c r="G393">
        <v>8.8634192932187226</v>
      </c>
      <c r="H393">
        <v>84.756446991404005</v>
      </c>
      <c r="I393">
        <v>0</v>
      </c>
      <c r="J393">
        <v>0</v>
      </c>
      <c r="K393">
        <v>1</v>
      </c>
      <c r="L393">
        <v>1</v>
      </c>
      <c r="M393">
        <v>1</v>
      </c>
      <c r="N393">
        <v>35</v>
      </c>
      <c r="O393">
        <v>95000</v>
      </c>
      <c r="P393">
        <v>4</v>
      </c>
      <c r="Q393">
        <v>5</v>
      </c>
      <c r="R393">
        <v>5</v>
      </c>
      <c r="S393">
        <v>5</v>
      </c>
      <c r="T393" s="123">
        <f t="shared" si="32"/>
        <v>0</v>
      </c>
      <c r="U393">
        <f t="shared" si="33"/>
        <v>1</v>
      </c>
      <c r="V393">
        <f t="shared" si="34"/>
        <v>1</v>
      </c>
      <c r="W393">
        <f t="shared" si="35"/>
        <v>1</v>
      </c>
      <c r="X393">
        <f t="shared" si="36"/>
        <v>1</v>
      </c>
    </row>
    <row r="394" spans="1:24">
      <c r="A394" t="s">
        <v>144</v>
      </c>
      <c r="B394">
        <v>7</v>
      </c>
      <c r="C394">
        <v>1</v>
      </c>
      <c r="D394">
        <v>87.678258694020514</v>
      </c>
      <c r="E394">
        <v>50</v>
      </c>
      <c r="F394">
        <v>92.857142857142861</v>
      </c>
      <c r="G394">
        <v>12.872154115586691</v>
      </c>
      <c r="H394">
        <v>9.8073555166374788</v>
      </c>
      <c r="I394">
        <v>0</v>
      </c>
      <c r="J394">
        <v>1</v>
      </c>
      <c r="K394">
        <v>1</v>
      </c>
      <c r="L394">
        <v>1</v>
      </c>
      <c r="M394">
        <v>1</v>
      </c>
      <c r="N394">
        <v>35</v>
      </c>
      <c r="O394">
        <v>95000</v>
      </c>
      <c r="P394">
        <v>4</v>
      </c>
      <c r="Q394">
        <v>5</v>
      </c>
      <c r="R394">
        <v>5</v>
      </c>
      <c r="S394">
        <v>5</v>
      </c>
      <c r="T394" s="123">
        <f t="shared" si="32"/>
        <v>0</v>
      </c>
      <c r="U394">
        <f t="shared" si="33"/>
        <v>1</v>
      </c>
      <c r="V394">
        <f t="shared" si="34"/>
        <v>1</v>
      </c>
      <c r="W394">
        <f t="shared" si="35"/>
        <v>1</v>
      </c>
      <c r="X394">
        <f t="shared" si="36"/>
        <v>1</v>
      </c>
    </row>
    <row r="395" spans="1:24">
      <c r="A395" t="s">
        <v>145</v>
      </c>
      <c r="B395">
        <v>1</v>
      </c>
      <c r="C395">
        <v>1</v>
      </c>
      <c r="D395">
        <v>8.5851003940701833</v>
      </c>
      <c r="E395">
        <v>0.31900919497091512</v>
      </c>
      <c r="F395">
        <v>4.0532933008069039</v>
      </c>
      <c r="G395">
        <v>89.810471007693749</v>
      </c>
      <c r="H395">
        <v>0.14073935072246299</v>
      </c>
      <c r="I395">
        <v>1</v>
      </c>
      <c r="J395">
        <v>0</v>
      </c>
      <c r="K395">
        <v>0</v>
      </c>
      <c r="L395">
        <v>1</v>
      </c>
      <c r="M395">
        <v>1</v>
      </c>
      <c r="N395">
        <v>40</v>
      </c>
      <c r="O395">
        <v>22000</v>
      </c>
      <c r="P395">
        <v>1</v>
      </c>
      <c r="Q395">
        <v>1</v>
      </c>
      <c r="R395">
        <v>2</v>
      </c>
      <c r="S395">
        <v>3</v>
      </c>
      <c r="T395" s="123">
        <f t="shared" si="32"/>
        <v>0</v>
      </c>
      <c r="U395">
        <f t="shared" si="33"/>
        <v>0</v>
      </c>
      <c r="V395">
        <f t="shared" si="34"/>
        <v>0</v>
      </c>
      <c r="W395">
        <f t="shared" si="35"/>
        <v>0</v>
      </c>
      <c r="X395">
        <f t="shared" si="36"/>
        <v>0</v>
      </c>
    </row>
    <row r="396" spans="1:24" hidden="1">
      <c r="A396" t="s">
        <v>145</v>
      </c>
      <c r="B396">
        <v>2</v>
      </c>
      <c r="C396">
        <v>1</v>
      </c>
      <c r="D396">
        <v>2.8147870144492382</v>
      </c>
      <c r="E396">
        <v>0</v>
      </c>
      <c r="F396">
        <v>9.0636141865265536</v>
      </c>
      <c r="G396">
        <v>0.15950459748545481</v>
      </c>
      <c r="H396">
        <v>3.743666729217487</v>
      </c>
      <c r="I396">
        <v>0</v>
      </c>
      <c r="J396">
        <v>0</v>
      </c>
      <c r="K396">
        <v>0</v>
      </c>
      <c r="L396">
        <v>1</v>
      </c>
      <c r="M396">
        <v>1</v>
      </c>
      <c r="N396">
        <v>40</v>
      </c>
      <c r="O396">
        <v>22000</v>
      </c>
      <c r="P396">
        <v>1</v>
      </c>
      <c r="Q396">
        <v>1</v>
      </c>
      <c r="R396">
        <v>2</v>
      </c>
      <c r="S396">
        <v>3</v>
      </c>
      <c r="T396" s="123">
        <f t="shared" si="32"/>
        <v>1</v>
      </c>
      <c r="U396">
        <f t="shared" si="33"/>
        <v>0</v>
      </c>
      <c r="V396">
        <f t="shared" si="34"/>
        <v>0</v>
      </c>
      <c r="W396">
        <f t="shared" si="35"/>
        <v>0</v>
      </c>
      <c r="X396">
        <f t="shared" si="36"/>
        <v>0</v>
      </c>
    </row>
    <row r="397" spans="1:24">
      <c r="A397" t="s">
        <v>145</v>
      </c>
      <c r="B397">
        <v>3</v>
      </c>
      <c r="C397">
        <v>1</v>
      </c>
      <c r="D397">
        <v>7.3559767310940156</v>
      </c>
      <c r="E397">
        <v>4.6725464439857367</v>
      </c>
      <c r="F397">
        <v>11.74704447363483</v>
      </c>
      <c r="G397">
        <v>94.529930568586991</v>
      </c>
      <c r="H397">
        <v>94.848939763557894</v>
      </c>
      <c r="I397">
        <v>0</v>
      </c>
      <c r="J397">
        <v>0</v>
      </c>
      <c r="K397">
        <v>0</v>
      </c>
      <c r="L397">
        <v>1</v>
      </c>
      <c r="M397">
        <v>1</v>
      </c>
      <c r="N397">
        <v>40</v>
      </c>
      <c r="O397">
        <v>22000</v>
      </c>
      <c r="P397">
        <v>1</v>
      </c>
      <c r="Q397">
        <v>1</v>
      </c>
      <c r="R397">
        <v>2</v>
      </c>
      <c r="S397">
        <v>3</v>
      </c>
      <c r="T397" s="123">
        <f t="shared" si="32"/>
        <v>0</v>
      </c>
      <c r="U397">
        <f t="shared" si="33"/>
        <v>0</v>
      </c>
      <c r="V397">
        <f t="shared" si="34"/>
        <v>0</v>
      </c>
      <c r="W397">
        <f t="shared" si="35"/>
        <v>0</v>
      </c>
      <c r="X397">
        <f t="shared" si="36"/>
        <v>0</v>
      </c>
    </row>
    <row r="398" spans="1:24">
      <c r="A398" t="s">
        <v>145</v>
      </c>
      <c r="B398">
        <v>4</v>
      </c>
      <c r="C398">
        <v>1</v>
      </c>
      <c r="D398">
        <v>8.4443610433477208</v>
      </c>
      <c r="E398">
        <v>3.7530493525989859</v>
      </c>
      <c r="F398">
        <v>12.19741039594671</v>
      </c>
      <c r="G398">
        <v>94.529930568586991</v>
      </c>
      <c r="H398">
        <v>91.246012385062869</v>
      </c>
      <c r="I398">
        <v>0</v>
      </c>
      <c r="J398">
        <v>0</v>
      </c>
      <c r="K398">
        <v>0</v>
      </c>
      <c r="L398">
        <v>1</v>
      </c>
      <c r="M398">
        <v>1</v>
      </c>
      <c r="N398">
        <v>40</v>
      </c>
      <c r="O398">
        <v>22000</v>
      </c>
      <c r="P398">
        <v>1</v>
      </c>
      <c r="Q398">
        <v>1</v>
      </c>
      <c r="R398">
        <v>2</v>
      </c>
      <c r="S398">
        <v>3</v>
      </c>
      <c r="T398" s="123">
        <f t="shared" si="32"/>
        <v>0</v>
      </c>
      <c r="U398">
        <f t="shared" si="33"/>
        <v>0</v>
      </c>
      <c r="V398">
        <f t="shared" si="34"/>
        <v>0</v>
      </c>
      <c r="W398">
        <f t="shared" si="35"/>
        <v>0</v>
      </c>
      <c r="X398">
        <f t="shared" si="36"/>
        <v>0</v>
      </c>
    </row>
    <row r="399" spans="1:24" hidden="1">
      <c r="A399" t="s">
        <v>145</v>
      </c>
      <c r="B399">
        <v>5</v>
      </c>
      <c r="C399">
        <v>1</v>
      </c>
      <c r="D399">
        <v>50</v>
      </c>
      <c r="E399">
        <v>6.575682382133996</v>
      </c>
      <c r="F399">
        <v>8.9893976990751199</v>
      </c>
      <c r="G399">
        <v>6.3952176855402669</v>
      </c>
      <c r="H399">
        <v>9.5759079630047381</v>
      </c>
      <c r="I399">
        <v>0</v>
      </c>
      <c r="J399">
        <v>0</v>
      </c>
      <c r="K399">
        <v>0</v>
      </c>
      <c r="L399">
        <v>1</v>
      </c>
      <c r="M399">
        <v>1</v>
      </c>
      <c r="N399">
        <v>40</v>
      </c>
      <c r="O399">
        <v>22000</v>
      </c>
      <c r="P399">
        <v>1</v>
      </c>
      <c r="Q399">
        <v>1</v>
      </c>
      <c r="R399">
        <v>2</v>
      </c>
      <c r="S399">
        <v>3</v>
      </c>
      <c r="T399" s="123">
        <f t="shared" si="32"/>
        <v>1</v>
      </c>
      <c r="U399">
        <f t="shared" si="33"/>
        <v>0</v>
      </c>
      <c r="V399">
        <f t="shared" si="34"/>
        <v>0</v>
      </c>
      <c r="W399">
        <f t="shared" si="35"/>
        <v>0</v>
      </c>
      <c r="X399">
        <f t="shared" si="36"/>
        <v>0</v>
      </c>
    </row>
    <row r="400" spans="1:24">
      <c r="A400" t="s">
        <v>145</v>
      </c>
      <c r="B400">
        <v>6</v>
      </c>
      <c r="C400">
        <v>1</v>
      </c>
      <c r="D400">
        <v>12.023460410557179</v>
      </c>
      <c r="E400">
        <v>15.41845251522671</v>
      </c>
      <c r="F400">
        <v>6.1921949018723224</v>
      </c>
      <c r="G400">
        <v>93.988269794721418</v>
      </c>
      <c r="H400">
        <v>94.743965711707645</v>
      </c>
      <c r="I400">
        <v>0</v>
      </c>
      <c r="J400">
        <v>0</v>
      </c>
      <c r="K400">
        <v>0</v>
      </c>
      <c r="L400">
        <v>1</v>
      </c>
      <c r="M400">
        <v>1</v>
      </c>
      <c r="N400">
        <v>40</v>
      </c>
      <c r="O400">
        <v>22000</v>
      </c>
      <c r="P400">
        <v>1</v>
      </c>
      <c r="Q400">
        <v>1</v>
      </c>
      <c r="R400">
        <v>2</v>
      </c>
      <c r="S400">
        <v>3</v>
      </c>
      <c r="T400" s="123">
        <f t="shared" si="32"/>
        <v>0</v>
      </c>
      <c r="U400">
        <f t="shared" si="33"/>
        <v>0</v>
      </c>
      <c r="V400">
        <f t="shared" si="34"/>
        <v>0</v>
      </c>
      <c r="W400">
        <f t="shared" si="35"/>
        <v>0</v>
      </c>
      <c r="X400">
        <f t="shared" si="36"/>
        <v>0</v>
      </c>
    </row>
    <row r="401" spans="1:24">
      <c r="A401" t="s">
        <v>145</v>
      </c>
      <c r="B401">
        <v>7</v>
      </c>
      <c r="C401">
        <v>1</v>
      </c>
      <c r="D401">
        <v>8.2562598691630953</v>
      </c>
      <c r="E401">
        <v>23.990525603428829</v>
      </c>
      <c r="F401">
        <v>8.2562598691630953</v>
      </c>
      <c r="G401">
        <v>5.143243852921275</v>
      </c>
      <c r="H401">
        <v>93.43559666140311</v>
      </c>
      <c r="I401">
        <v>0</v>
      </c>
      <c r="J401">
        <v>1</v>
      </c>
      <c r="K401">
        <v>0</v>
      </c>
      <c r="L401">
        <v>1</v>
      </c>
      <c r="M401">
        <v>1</v>
      </c>
      <c r="N401">
        <v>40</v>
      </c>
      <c r="O401">
        <v>22000</v>
      </c>
      <c r="P401">
        <v>1</v>
      </c>
      <c r="Q401">
        <v>1</v>
      </c>
      <c r="R401">
        <v>2</v>
      </c>
      <c r="S401">
        <v>3</v>
      </c>
      <c r="T401" s="123">
        <f t="shared" si="32"/>
        <v>0</v>
      </c>
      <c r="U401">
        <f t="shared" si="33"/>
        <v>0</v>
      </c>
      <c r="V401">
        <f t="shared" si="34"/>
        <v>0</v>
      </c>
      <c r="W401">
        <f t="shared" si="35"/>
        <v>0</v>
      </c>
      <c r="X401">
        <f t="shared" si="36"/>
        <v>0</v>
      </c>
    </row>
    <row r="402" spans="1:24">
      <c r="A402" t="s">
        <v>146</v>
      </c>
      <c r="B402">
        <v>1</v>
      </c>
      <c r="C402">
        <v>1</v>
      </c>
      <c r="D402">
        <v>2.9039812646370011</v>
      </c>
      <c r="E402">
        <v>6.3856362217017963</v>
      </c>
      <c r="F402">
        <v>11.6783762685402</v>
      </c>
      <c r="G402">
        <v>80.195160031225598</v>
      </c>
      <c r="H402">
        <v>98.469945355191257</v>
      </c>
      <c r="I402">
        <v>1</v>
      </c>
      <c r="J402">
        <v>0</v>
      </c>
      <c r="K402">
        <v>0</v>
      </c>
      <c r="L402">
        <v>1</v>
      </c>
      <c r="M402">
        <v>1</v>
      </c>
      <c r="N402">
        <v>39</v>
      </c>
      <c r="O402">
        <v>35000</v>
      </c>
      <c r="P402">
        <v>5</v>
      </c>
      <c r="Q402">
        <v>5</v>
      </c>
      <c r="R402">
        <v>4</v>
      </c>
      <c r="S402">
        <v>4</v>
      </c>
      <c r="T402" s="123">
        <f t="shared" si="32"/>
        <v>0</v>
      </c>
      <c r="U402">
        <f t="shared" si="33"/>
        <v>1</v>
      </c>
      <c r="V402">
        <f t="shared" si="34"/>
        <v>1</v>
      </c>
      <c r="W402">
        <f t="shared" si="35"/>
        <v>1</v>
      </c>
      <c r="X402">
        <f t="shared" si="36"/>
        <v>1</v>
      </c>
    </row>
    <row r="403" spans="1:24">
      <c r="A403" t="s">
        <v>146</v>
      </c>
      <c r="B403">
        <v>2</v>
      </c>
      <c r="C403">
        <v>1</v>
      </c>
      <c r="D403">
        <v>2.3932253313696639</v>
      </c>
      <c r="E403">
        <v>50</v>
      </c>
      <c r="F403">
        <v>14.23662248404516</v>
      </c>
      <c r="G403">
        <v>50</v>
      </c>
      <c r="H403">
        <v>50</v>
      </c>
      <c r="I403">
        <v>0</v>
      </c>
      <c r="J403">
        <v>0</v>
      </c>
      <c r="K403">
        <v>0</v>
      </c>
      <c r="L403">
        <v>1</v>
      </c>
      <c r="M403">
        <v>1</v>
      </c>
      <c r="N403">
        <v>39</v>
      </c>
      <c r="O403">
        <v>35000</v>
      </c>
      <c r="P403">
        <v>5</v>
      </c>
      <c r="Q403">
        <v>5</v>
      </c>
      <c r="R403">
        <v>4</v>
      </c>
      <c r="S403">
        <v>4</v>
      </c>
      <c r="T403" s="123">
        <f t="shared" si="32"/>
        <v>0</v>
      </c>
      <c r="U403">
        <f t="shared" si="33"/>
        <v>1</v>
      </c>
      <c r="V403">
        <f t="shared" si="34"/>
        <v>1</v>
      </c>
      <c r="W403">
        <f t="shared" si="35"/>
        <v>1</v>
      </c>
      <c r="X403">
        <f t="shared" si="36"/>
        <v>1</v>
      </c>
    </row>
    <row r="404" spans="1:24">
      <c r="A404" t="s">
        <v>146</v>
      </c>
      <c r="B404">
        <v>3</v>
      </c>
      <c r="C404">
        <v>1</v>
      </c>
      <c r="D404">
        <v>1.9636720667648491</v>
      </c>
      <c r="E404">
        <v>45.287187039764362</v>
      </c>
      <c r="F404">
        <v>5.4614629356897426</v>
      </c>
      <c r="G404">
        <v>89.077074128620509</v>
      </c>
      <c r="H404">
        <v>86.929307805596466</v>
      </c>
      <c r="I404">
        <v>0</v>
      </c>
      <c r="J404">
        <v>0</v>
      </c>
      <c r="K404">
        <v>0</v>
      </c>
      <c r="L404">
        <v>1</v>
      </c>
      <c r="M404">
        <v>1</v>
      </c>
      <c r="N404">
        <v>39</v>
      </c>
      <c r="O404">
        <v>35000</v>
      </c>
      <c r="P404">
        <v>5</v>
      </c>
      <c r="Q404">
        <v>5</v>
      </c>
      <c r="R404">
        <v>4</v>
      </c>
      <c r="S404">
        <v>4</v>
      </c>
      <c r="T404" s="123">
        <f t="shared" si="32"/>
        <v>0</v>
      </c>
      <c r="U404">
        <f t="shared" si="33"/>
        <v>1</v>
      </c>
      <c r="V404">
        <f t="shared" si="34"/>
        <v>1</v>
      </c>
      <c r="W404">
        <f t="shared" si="35"/>
        <v>1</v>
      </c>
      <c r="X404">
        <f t="shared" si="36"/>
        <v>1</v>
      </c>
    </row>
    <row r="405" spans="1:24">
      <c r="A405" t="s">
        <v>146</v>
      </c>
      <c r="B405">
        <v>4</v>
      </c>
      <c r="C405">
        <v>1</v>
      </c>
      <c r="D405">
        <v>50</v>
      </c>
      <c r="E405">
        <v>19.280805105547369</v>
      </c>
      <c r="F405">
        <v>7.020127638684337</v>
      </c>
      <c r="G405">
        <v>88.905252822778593</v>
      </c>
      <c r="H405">
        <v>10.77565046637212</v>
      </c>
      <c r="I405">
        <v>0</v>
      </c>
      <c r="J405">
        <v>0</v>
      </c>
      <c r="K405">
        <v>0</v>
      </c>
      <c r="L405">
        <v>1</v>
      </c>
      <c r="M405">
        <v>1</v>
      </c>
      <c r="N405">
        <v>39</v>
      </c>
      <c r="O405">
        <v>35000</v>
      </c>
      <c r="P405">
        <v>5</v>
      </c>
      <c r="Q405">
        <v>5</v>
      </c>
      <c r="R405">
        <v>4</v>
      </c>
      <c r="S405">
        <v>4</v>
      </c>
      <c r="T405" s="123">
        <f t="shared" si="32"/>
        <v>0</v>
      </c>
      <c r="U405">
        <f t="shared" si="33"/>
        <v>1</v>
      </c>
      <c r="V405">
        <f t="shared" si="34"/>
        <v>1</v>
      </c>
      <c r="W405">
        <f t="shared" si="35"/>
        <v>1</v>
      </c>
      <c r="X405">
        <f t="shared" si="36"/>
        <v>1</v>
      </c>
    </row>
    <row r="406" spans="1:24">
      <c r="A406" t="s">
        <v>146</v>
      </c>
      <c r="B406">
        <v>5</v>
      </c>
      <c r="C406">
        <v>1</v>
      </c>
      <c r="D406">
        <v>3.0682376043200792</v>
      </c>
      <c r="E406">
        <v>12.87432498772705</v>
      </c>
      <c r="F406">
        <v>4.1973490427098694</v>
      </c>
      <c r="G406">
        <v>84.572901325478639</v>
      </c>
      <c r="H406">
        <v>3.4364261168384869</v>
      </c>
      <c r="I406">
        <v>0</v>
      </c>
      <c r="J406">
        <v>0</v>
      </c>
      <c r="K406">
        <v>0</v>
      </c>
      <c r="L406">
        <v>1</v>
      </c>
      <c r="M406">
        <v>1</v>
      </c>
      <c r="N406">
        <v>39</v>
      </c>
      <c r="O406">
        <v>35000</v>
      </c>
      <c r="P406">
        <v>5</v>
      </c>
      <c r="Q406">
        <v>5</v>
      </c>
      <c r="R406">
        <v>4</v>
      </c>
      <c r="S406">
        <v>4</v>
      </c>
      <c r="T406" s="123">
        <f t="shared" si="32"/>
        <v>0</v>
      </c>
      <c r="U406">
        <f t="shared" si="33"/>
        <v>1</v>
      </c>
      <c r="V406">
        <f t="shared" si="34"/>
        <v>1</v>
      </c>
      <c r="W406">
        <f t="shared" si="35"/>
        <v>1</v>
      </c>
      <c r="X406">
        <f t="shared" si="36"/>
        <v>1</v>
      </c>
    </row>
    <row r="407" spans="1:24">
      <c r="A407" t="s">
        <v>146</v>
      </c>
      <c r="B407">
        <v>6</v>
      </c>
      <c r="C407">
        <v>1</v>
      </c>
      <c r="D407">
        <v>5.5351006381934242</v>
      </c>
      <c r="E407">
        <v>2.896416298478155</v>
      </c>
      <c r="F407">
        <v>2.896416298478155</v>
      </c>
      <c r="G407">
        <v>18.667157584683359</v>
      </c>
      <c r="H407">
        <v>50</v>
      </c>
      <c r="I407">
        <v>0</v>
      </c>
      <c r="J407">
        <v>0</v>
      </c>
      <c r="K407">
        <v>0</v>
      </c>
      <c r="L407">
        <v>1</v>
      </c>
      <c r="M407">
        <v>1</v>
      </c>
      <c r="N407">
        <v>39</v>
      </c>
      <c r="O407">
        <v>35000</v>
      </c>
      <c r="P407">
        <v>5</v>
      </c>
      <c r="Q407">
        <v>5</v>
      </c>
      <c r="R407">
        <v>4</v>
      </c>
      <c r="S407">
        <v>4</v>
      </c>
      <c r="T407" s="123">
        <f t="shared" si="32"/>
        <v>0</v>
      </c>
      <c r="U407">
        <f t="shared" si="33"/>
        <v>1</v>
      </c>
      <c r="V407">
        <f t="shared" si="34"/>
        <v>1</v>
      </c>
      <c r="W407">
        <f t="shared" si="35"/>
        <v>1</v>
      </c>
      <c r="X407">
        <f t="shared" si="36"/>
        <v>1</v>
      </c>
    </row>
    <row r="408" spans="1:24" hidden="1">
      <c r="A408" t="s">
        <v>146</v>
      </c>
      <c r="B408">
        <v>7</v>
      </c>
      <c r="C408">
        <v>1</v>
      </c>
      <c r="D408">
        <v>0.35591556210112779</v>
      </c>
      <c r="E408">
        <v>1.399116347569956</v>
      </c>
      <c r="F408">
        <v>0.49091801669121082</v>
      </c>
      <c r="G408">
        <v>0</v>
      </c>
      <c r="H408">
        <v>37.690230731467842</v>
      </c>
      <c r="I408">
        <v>0</v>
      </c>
      <c r="J408">
        <v>1</v>
      </c>
      <c r="K408">
        <v>0</v>
      </c>
      <c r="L408">
        <v>1</v>
      </c>
      <c r="M408">
        <v>1</v>
      </c>
      <c r="N408">
        <v>39</v>
      </c>
      <c r="O408">
        <v>35000</v>
      </c>
      <c r="P408">
        <v>5</v>
      </c>
      <c r="Q408">
        <v>5</v>
      </c>
      <c r="R408">
        <v>4</v>
      </c>
      <c r="S408">
        <v>4</v>
      </c>
      <c r="T408" s="123">
        <f t="shared" si="32"/>
        <v>1</v>
      </c>
      <c r="U408">
        <f t="shared" si="33"/>
        <v>1</v>
      </c>
      <c r="V408">
        <f t="shared" si="34"/>
        <v>1</v>
      </c>
      <c r="W408">
        <f t="shared" si="35"/>
        <v>1</v>
      </c>
      <c r="X408">
        <f t="shared" si="36"/>
        <v>1</v>
      </c>
    </row>
    <row r="409" spans="1:24" hidden="1">
      <c r="A409" t="s">
        <v>147</v>
      </c>
      <c r="B409">
        <v>1</v>
      </c>
      <c r="C409">
        <v>1</v>
      </c>
      <c r="D409">
        <v>0.51287896056530502</v>
      </c>
      <c r="E409">
        <v>6.8611807613403242</v>
      </c>
      <c r="F409">
        <v>0</v>
      </c>
      <c r="G409">
        <v>1.7779803966263941</v>
      </c>
      <c r="H409">
        <v>0.87759288807841562</v>
      </c>
      <c r="I409">
        <v>1</v>
      </c>
      <c r="J409">
        <v>0</v>
      </c>
      <c r="K409">
        <v>0</v>
      </c>
      <c r="L409">
        <v>1</v>
      </c>
      <c r="M409">
        <v>0</v>
      </c>
      <c r="N409">
        <v>56</v>
      </c>
      <c r="O409">
        <v>20000</v>
      </c>
      <c r="P409">
        <v>1</v>
      </c>
      <c r="Q409">
        <v>1</v>
      </c>
      <c r="R409">
        <v>3</v>
      </c>
      <c r="S409">
        <v>1</v>
      </c>
      <c r="T409" s="123">
        <f t="shared" si="32"/>
        <v>1</v>
      </c>
      <c r="U409">
        <f t="shared" si="33"/>
        <v>0</v>
      </c>
      <c r="V409">
        <f t="shared" si="34"/>
        <v>0</v>
      </c>
      <c r="W409">
        <f t="shared" si="35"/>
        <v>0</v>
      </c>
      <c r="X409">
        <f t="shared" si="36"/>
        <v>0</v>
      </c>
    </row>
    <row r="410" spans="1:24" hidden="1">
      <c r="A410" t="s">
        <v>147</v>
      </c>
      <c r="B410">
        <v>2</v>
      </c>
      <c r="C410">
        <v>1</v>
      </c>
      <c r="D410">
        <v>1.379074538408936</v>
      </c>
      <c r="E410">
        <v>4.821062229313883</v>
      </c>
      <c r="F410">
        <v>2.256667426487347</v>
      </c>
      <c r="G410">
        <v>7.9781171643494853E-2</v>
      </c>
      <c r="H410">
        <v>6.2913152496010927</v>
      </c>
      <c r="I410">
        <v>0</v>
      </c>
      <c r="J410">
        <v>0</v>
      </c>
      <c r="K410">
        <v>0</v>
      </c>
      <c r="L410">
        <v>1</v>
      </c>
      <c r="M410">
        <v>0</v>
      </c>
      <c r="N410">
        <v>56</v>
      </c>
      <c r="O410">
        <v>20000</v>
      </c>
      <c r="P410">
        <v>1</v>
      </c>
      <c r="Q410">
        <v>1</v>
      </c>
      <c r="R410">
        <v>3</v>
      </c>
      <c r="S410">
        <v>1</v>
      </c>
      <c r="T410" s="123">
        <f t="shared" si="32"/>
        <v>1</v>
      </c>
      <c r="U410">
        <f t="shared" si="33"/>
        <v>0</v>
      </c>
      <c r="V410">
        <f t="shared" si="34"/>
        <v>0</v>
      </c>
      <c r="W410">
        <f t="shared" si="35"/>
        <v>0</v>
      </c>
      <c r="X410">
        <f t="shared" si="36"/>
        <v>0</v>
      </c>
    </row>
    <row r="411" spans="1:24" hidden="1">
      <c r="A411" t="s">
        <v>147</v>
      </c>
      <c r="B411">
        <v>3</v>
      </c>
      <c r="C411">
        <v>1</v>
      </c>
      <c r="D411">
        <v>8.3998176430362452</v>
      </c>
      <c r="E411">
        <v>0.70663323455664728</v>
      </c>
      <c r="F411">
        <v>9.0608616366537493</v>
      </c>
      <c r="G411">
        <v>2.3478459083656258</v>
      </c>
      <c r="H411">
        <v>1.128333713243673</v>
      </c>
      <c r="I411">
        <v>0</v>
      </c>
      <c r="J411">
        <v>0</v>
      </c>
      <c r="K411">
        <v>0</v>
      </c>
      <c r="L411">
        <v>1</v>
      </c>
      <c r="M411">
        <v>0</v>
      </c>
      <c r="N411">
        <v>56</v>
      </c>
      <c r="O411">
        <v>20000</v>
      </c>
      <c r="P411">
        <v>1</v>
      </c>
      <c r="Q411">
        <v>1</v>
      </c>
      <c r="R411">
        <v>3</v>
      </c>
      <c r="S411">
        <v>1</v>
      </c>
      <c r="T411" s="123">
        <f t="shared" si="32"/>
        <v>1</v>
      </c>
      <c r="U411">
        <f t="shared" si="33"/>
        <v>0</v>
      </c>
      <c r="V411">
        <f t="shared" si="34"/>
        <v>0</v>
      </c>
      <c r="W411">
        <f t="shared" si="35"/>
        <v>0</v>
      </c>
      <c r="X411">
        <f t="shared" si="36"/>
        <v>0</v>
      </c>
    </row>
    <row r="412" spans="1:24" hidden="1">
      <c r="A412" t="s">
        <v>147</v>
      </c>
      <c r="B412">
        <v>4</v>
      </c>
      <c r="C412">
        <v>1</v>
      </c>
      <c r="D412">
        <v>7.6817870982448131</v>
      </c>
      <c r="E412">
        <v>8.1946660588101174</v>
      </c>
      <c r="F412">
        <v>11.53407795760201</v>
      </c>
      <c r="G412">
        <v>8.445406883975382</v>
      </c>
      <c r="H412">
        <v>89.069979484841582</v>
      </c>
      <c r="I412">
        <v>0</v>
      </c>
      <c r="J412">
        <v>0</v>
      </c>
      <c r="K412">
        <v>0</v>
      </c>
      <c r="L412">
        <v>1</v>
      </c>
      <c r="M412">
        <v>0</v>
      </c>
      <c r="N412">
        <v>56</v>
      </c>
      <c r="O412">
        <v>20000</v>
      </c>
      <c r="P412">
        <v>1</v>
      </c>
      <c r="Q412">
        <v>1</v>
      </c>
      <c r="R412">
        <v>3</v>
      </c>
      <c r="S412">
        <v>1</v>
      </c>
      <c r="T412" s="123">
        <f t="shared" si="32"/>
        <v>1</v>
      </c>
      <c r="U412">
        <f t="shared" si="33"/>
        <v>0</v>
      </c>
      <c r="V412">
        <f t="shared" si="34"/>
        <v>0</v>
      </c>
      <c r="W412">
        <f t="shared" si="35"/>
        <v>0</v>
      </c>
      <c r="X412">
        <f t="shared" si="36"/>
        <v>0</v>
      </c>
    </row>
    <row r="413" spans="1:24" hidden="1">
      <c r="A413" t="s">
        <v>147</v>
      </c>
      <c r="B413">
        <v>5</v>
      </c>
      <c r="C413">
        <v>1</v>
      </c>
      <c r="D413">
        <v>3.6357419648962832</v>
      </c>
      <c r="E413">
        <v>2.1768862548438568</v>
      </c>
      <c r="F413">
        <v>4.4791429222703458</v>
      </c>
      <c r="G413">
        <v>7.2714839297925664</v>
      </c>
      <c r="H413">
        <v>3.1342603145657622</v>
      </c>
      <c r="I413">
        <v>0</v>
      </c>
      <c r="J413">
        <v>0</v>
      </c>
      <c r="K413">
        <v>0</v>
      </c>
      <c r="L413">
        <v>1</v>
      </c>
      <c r="M413">
        <v>0</v>
      </c>
      <c r="N413">
        <v>56</v>
      </c>
      <c r="O413">
        <v>20000</v>
      </c>
      <c r="P413">
        <v>1</v>
      </c>
      <c r="Q413">
        <v>1</v>
      </c>
      <c r="R413">
        <v>3</v>
      </c>
      <c r="S413">
        <v>1</v>
      </c>
      <c r="T413" s="123">
        <f t="shared" si="32"/>
        <v>1</v>
      </c>
      <c r="U413">
        <f t="shared" si="33"/>
        <v>0</v>
      </c>
      <c r="V413">
        <f t="shared" si="34"/>
        <v>0</v>
      </c>
      <c r="W413">
        <f t="shared" si="35"/>
        <v>0</v>
      </c>
      <c r="X413">
        <f t="shared" si="36"/>
        <v>0</v>
      </c>
    </row>
    <row r="414" spans="1:24" hidden="1">
      <c r="A414" t="s">
        <v>147</v>
      </c>
      <c r="B414">
        <v>6</v>
      </c>
      <c r="C414">
        <v>1</v>
      </c>
      <c r="D414">
        <v>0.29633006610439988</v>
      </c>
      <c r="E414">
        <v>0.42170047868703148</v>
      </c>
      <c r="F414">
        <v>0.42170047868703148</v>
      </c>
      <c r="G414">
        <v>2.188283565078641</v>
      </c>
      <c r="H414">
        <v>0.54707089126966313</v>
      </c>
      <c r="I414">
        <v>0</v>
      </c>
      <c r="J414">
        <v>0</v>
      </c>
      <c r="K414">
        <v>0</v>
      </c>
      <c r="L414">
        <v>1</v>
      </c>
      <c r="M414">
        <v>0</v>
      </c>
      <c r="N414">
        <v>56</v>
      </c>
      <c r="O414">
        <v>20000</v>
      </c>
      <c r="P414">
        <v>1</v>
      </c>
      <c r="Q414">
        <v>1</v>
      </c>
      <c r="R414">
        <v>3</v>
      </c>
      <c r="S414">
        <v>1</v>
      </c>
      <c r="T414" s="123">
        <f t="shared" si="32"/>
        <v>1</v>
      </c>
      <c r="U414">
        <f t="shared" si="33"/>
        <v>0</v>
      </c>
      <c r="V414">
        <f t="shared" si="34"/>
        <v>0</v>
      </c>
      <c r="W414">
        <f t="shared" si="35"/>
        <v>0</v>
      </c>
      <c r="X414">
        <f t="shared" si="36"/>
        <v>0</v>
      </c>
    </row>
    <row r="415" spans="1:24">
      <c r="A415" t="s">
        <v>147</v>
      </c>
      <c r="B415">
        <v>7</v>
      </c>
      <c r="C415">
        <v>1</v>
      </c>
      <c r="D415">
        <v>7.8730231492092573</v>
      </c>
      <c r="E415">
        <v>50</v>
      </c>
      <c r="F415">
        <v>7.9647031858812722</v>
      </c>
      <c r="G415">
        <v>88.574375429750177</v>
      </c>
      <c r="H415">
        <v>10.142104056841619</v>
      </c>
      <c r="I415">
        <v>0</v>
      </c>
      <c r="J415">
        <v>1</v>
      </c>
      <c r="K415">
        <v>0</v>
      </c>
      <c r="L415">
        <v>1</v>
      </c>
      <c r="M415">
        <v>0</v>
      </c>
      <c r="N415">
        <v>56</v>
      </c>
      <c r="O415">
        <v>20000</v>
      </c>
      <c r="P415">
        <v>1</v>
      </c>
      <c r="Q415">
        <v>1</v>
      </c>
      <c r="R415">
        <v>3</v>
      </c>
      <c r="S415">
        <v>1</v>
      </c>
      <c r="T415" s="123">
        <f t="shared" si="32"/>
        <v>0</v>
      </c>
      <c r="U415">
        <f t="shared" si="33"/>
        <v>0</v>
      </c>
      <c r="V415">
        <f t="shared" si="34"/>
        <v>0</v>
      </c>
      <c r="W415">
        <f t="shared" si="35"/>
        <v>0</v>
      </c>
      <c r="X415">
        <f t="shared" si="36"/>
        <v>0</v>
      </c>
    </row>
    <row r="416" spans="1:24">
      <c r="A416" t="s">
        <v>148</v>
      </c>
      <c r="B416">
        <v>1</v>
      </c>
      <c r="C416">
        <v>1</v>
      </c>
      <c r="D416">
        <v>93.940081706763507</v>
      </c>
      <c r="E416">
        <v>95.392646391284615</v>
      </c>
      <c r="F416">
        <v>95.835224693599642</v>
      </c>
      <c r="G416">
        <v>19.291874716295961</v>
      </c>
      <c r="H416">
        <v>6.0599182932364926</v>
      </c>
      <c r="I416">
        <v>1</v>
      </c>
      <c r="J416">
        <v>0</v>
      </c>
      <c r="K416">
        <v>1</v>
      </c>
      <c r="L416">
        <v>1</v>
      </c>
      <c r="M416">
        <v>0</v>
      </c>
      <c r="N416">
        <v>37</v>
      </c>
      <c r="O416">
        <v>90000</v>
      </c>
      <c r="P416">
        <v>2</v>
      </c>
      <c r="Q416">
        <v>4</v>
      </c>
      <c r="R416">
        <v>5</v>
      </c>
      <c r="S416">
        <v>4</v>
      </c>
      <c r="T416" s="123">
        <f t="shared" si="32"/>
        <v>0</v>
      </c>
      <c r="U416">
        <f t="shared" si="33"/>
        <v>0</v>
      </c>
      <c r="V416">
        <f t="shared" si="34"/>
        <v>1</v>
      </c>
      <c r="W416">
        <f t="shared" si="35"/>
        <v>1</v>
      </c>
      <c r="X416">
        <f t="shared" si="36"/>
        <v>1</v>
      </c>
    </row>
    <row r="417" spans="1:24">
      <c r="A417" t="s">
        <v>148</v>
      </c>
      <c r="B417">
        <v>2</v>
      </c>
      <c r="C417">
        <v>1</v>
      </c>
      <c r="D417">
        <v>1.747616886064457</v>
      </c>
      <c r="E417">
        <v>32.03586019064911</v>
      </c>
      <c r="F417">
        <v>3.8583749432591912</v>
      </c>
      <c r="G417">
        <v>74.761688606445759</v>
      </c>
      <c r="H417">
        <v>92.30594643667726</v>
      </c>
      <c r="I417">
        <v>0</v>
      </c>
      <c r="J417">
        <v>0</v>
      </c>
      <c r="K417">
        <v>0</v>
      </c>
      <c r="L417">
        <v>1</v>
      </c>
      <c r="M417">
        <v>0</v>
      </c>
      <c r="N417">
        <v>37</v>
      </c>
      <c r="O417">
        <v>90000</v>
      </c>
      <c r="P417">
        <v>2</v>
      </c>
      <c r="Q417">
        <v>4</v>
      </c>
      <c r="R417">
        <v>5</v>
      </c>
      <c r="S417">
        <v>4</v>
      </c>
      <c r="T417" s="123">
        <f t="shared" si="32"/>
        <v>0</v>
      </c>
      <c r="U417">
        <f t="shared" si="33"/>
        <v>0</v>
      </c>
      <c r="V417">
        <f t="shared" si="34"/>
        <v>1</v>
      </c>
      <c r="W417">
        <f t="shared" si="35"/>
        <v>1</v>
      </c>
      <c r="X417">
        <f t="shared" si="36"/>
        <v>1</v>
      </c>
    </row>
    <row r="418" spans="1:24">
      <c r="A418" t="s">
        <v>148</v>
      </c>
      <c r="B418">
        <v>3</v>
      </c>
      <c r="C418">
        <v>1</v>
      </c>
      <c r="D418">
        <v>8.9310031774852465</v>
      </c>
      <c r="E418">
        <v>0.69223785746709288</v>
      </c>
      <c r="F418">
        <v>13.24330458465729</v>
      </c>
      <c r="G418">
        <v>90.671811166591013</v>
      </c>
      <c r="H418">
        <v>93.349977303676795</v>
      </c>
      <c r="I418">
        <v>0</v>
      </c>
      <c r="J418">
        <v>0</v>
      </c>
      <c r="K418">
        <v>0</v>
      </c>
      <c r="L418">
        <v>1</v>
      </c>
      <c r="M418">
        <v>0</v>
      </c>
      <c r="N418">
        <v>37</v>
      </c>
      <c r="O418">
        <v>90000</v>
      </c>
      <c r="P418">
        <v>2</v>
      </c>
      <c r="Q418">
        <v>4</v>
      </c>
      <c r="R418">
        <v>5</v>
      </c>
      <c r="S418">
        <v>4</v>
      </c>
      <c r="T418" s="123">
        <f t="shared" si="32"/>
        <v>0</v>
      </c>
      <c r="U418">
        <f t="shared" si="33"/>
        <v>0</v>
      </c>
      <c r="V418">
        <f t="shared" si="34"/>
        <v>1</v>
      </c>
      <c r="W418">
        <f t="shared" si="35"/>
        <v>1</v>
      </c>
      <c r="X418">
        <f t="shared" si="36"/>
        <v>1</v>
      </c>
    </row>
    <row r="419" spans="1:24">
      <c r="A419" t="s">
        <v>148</v>
      </c>
      <c r="B419">
        <v>4</v>
      </c>
      <c r="C419">
        <v>1</v>
      </c>
      <c r="D419">
        <v>9.4076259645937359</v>
      </c>
      <c r="E419">
        <v>6.4344076259645941</v>
      </c>
      <c r="F419">
        <v>4.0626418520199712</v>
      </c>
      <c r="G419">
        <v>96.345891965501579</v>
      </c>
      <c r="H419">
        <v>97.571493418066282</v>
      </c>
      <c r="I419">
        <v>0</v>
      </c>
      <c r="J419">
        <v>0</v>
      </c>
      <c r="K419">
        <v>0</v>
      </c>
      <c r="L419">
        <v>1</v>
      </c>
      <c r="M419">
        <v>0</v>
      </c>
      <c r="N419">
        <v>37</v>
      </c>
      <c r="O419">
        <v>90000</v>
      </c>
      <c r="P419">
        <v>2</v>
      </c>
      <c r="Q419">
        <v>4</v>
      </c>
      <c r="R419">
        <v>5</v>
      </c>
      <c r="S419">
        <v>4</v>
      </c>
      <c r="T419" s="123">
        <f t="shared" si="32"/>
        <v>0</v>
      </c>
      <c r="U419">
        <f t="shared" si="33"/>
        <v>0</v>
      </c>
      <c r="V419">
        <f t="shared" si="34"/>
        <v>1</v>
      </c>
      <c r="W419">
        <f t="shared" si="35"/>
        <v>1</v>
      </c>
      <c r="X419">
        <f t="shared" si="36"/>
        <v>1</v>
      </c>
    </row>
    <row r="420" spans="1:24">
      <c r="A420" t="s">
        <v>148</v>
      </c>
      <c r="B420">
        <v>5</v>
      </c>
      <c r="C420">
        <v>1</v>
      </c>
      <c r="D420">
        <v>4.8854961832061061</v>
      </c>
      <c r="E420">
        <v>3.244274809160308</v>
      </c>
      <c r="F420">
        <v>19.580152671755719</v>
      </c>
      <c r="G420">
        <v>90.521628498727736</v>
      </c>
      <c r="H420">
        <v>50</v>
      </c>
      <c r="I420">
        <v>0</v>
      </c>
      <c r="J420">
        <v>0</v>
      </c>
      <c r="K420">
        <v>0</v>
      </c>
      <c r="L420">
        <v>1</v>
      </c>
      <c r="M420">
        <v>0</v>
      </c>
      <c r="N420">
        <v>37</v>
      </c>
      <c r="O420">
        <v>90000</v>
      </c>
      <c r="P420">
        <v>2</v>
      </c>
      <c r="Q420">
        <v>4</v>
      </c>
      <c r="R420">
        <v>5</v>
      </c>
      <c r="S420">
        <v>4</v>
      </c>
      <c r="T420" s="123">
        <f t="shared" si="32"/>
        <v>0</v>
      </c>
      <c r="U420">
        <f t="shared" si="33"/>
        <v>0</v>
      </c>
      <c r="V420">
        <f t="shared" si="34"/>
        <v>1</v>
      </c>
      <c r="W420">
        <f t="shared" si="35"/>
        <v>1</v>
      </c>
      <c r="X420">
        <f t="shared" si="36"/>
        <v>1</v>
      </c>
    </row>
    <row r="421" spans="1:24">
      <c r="A421" t="s">
        <v>148</v>
      </c>
      <c r="B421">
        <v>6</v>
      </c>
      <c r="C421">
        <v>1</v>
      </c>
      <c r="D421">
        <v>8.1552162849872758</v>
      </c>
      <c r="E421">
        <v>0</v>
      </c>
      <c r="F421">
        <v>4.7837150127226451</v>
      </c>
      <c r="G421">
        <v>97.608142493638667</v>
      </c>
      <c r="H421">
        <v>95.572519083969468</v>
      </c>
      <c r="I421">
        <v>0</v>
      </c>
      <c r="J421">
        <v>0</v>
      </c>
      <c r="K421">
        <v>0</v>
      </c>
      <c r="L421">
        <v>1</v>
      </c>
      <c r="M421">
        <v>0</v>
      </c>
      <c r="N421">
        <v>37</v>
      </c>
      <c r="O421">
        <v>90000</v>
      </c>
      <c r="P421">
        <v>2</v>
      </c>
      <c r="Q421">
        <v>4</v>
      </c>
      <c r="R421">
        <v>5</v>
      </c>
      <c r="S421">
        <v>4</v>
      </c>
      <c r="T421" s="123">
        <f t="shared" si="32"/>
        <v>0</v>
      </c>
      <c r="U421">
        <f t="shared" si="33"/>
        <v>0</v>
      </c>
      <c r="V421">
        <f t="shared" si="34"/>
        <v>1</v>
      </c>
      <c r="W421">
        <f t="shared" si="35"/>
        <v>1</v>
      </c>
      <c r="X421">
        <f t="shared" si="36"/>
        <v>1</v>
      </c>
    </row>
    <row r="422" spans="1:24">
      <c r="A422" t="s">
        <v>148</v>
      </c>
      <c r="B422">
        <v>7</v>
      </c>
      <c r="C422">
        <v>1</v>
      </c>
      <c r="D422">
        <v>11.69211195928753</v>
      </c>
      <c r="E422">
        <v>0.2417302798982168</v>
      </c>
      <c r="F422">
        <v>1.3104325699745569</v>
      </c>
      <c r="G422">
        <v>94.465648854961827</v>
      </c>
      <c r="H422">
        <v>97.21374045801528</v>
      </c>
      <c r="I422">
        <v>0</v>
      </c>
      <c r="J422">
        <v>1</v>
      </c>
      <c r="K422">
        <v>0</v>
      </c>
      <c r="L422">
        <v>1</v>
      </c>
      <c r="M422">
        <v>0</v>
      </c>
      <c r="N422">
        <v>37</v>
      </c>
      <c r="O422">
        <v>90000</v>
      </c>
      <c r="P422">
        <v>2</v>
      </c>
      <c r="Q422">
        <v>4</v>
      </c>
      <c r="R422">
        <v>5</v>
      </c>
      <c r="S422">
        <v>4</v>
      </c>
      <c r="T422" s="123">
        <f t="shared" si="32"/>
        <v>0</v>
      </c>
      <c r="U422">
        <f t="shared" si="33"/>
        <v>0</v>
      </c>
      <c r="V422">
        <f t="shared" si="34"/>
        <v>1</v>
      </c>
      <c r="W422">
        <f t="shared" si="35"/>
        <v>1</v>
      </c>
      <c r="X422">
        <f t="shared" si="36"/>
        <v>1</v>
      </c>
    </row>
    <row r="423" spans="1:24" hidden="1">
      <c r="A423" t="s">
        <v>149</v>
      </c>
      <c r="B423">
        <v>1</v>
      </c>
      <c r="C423">
        <v>1</v>
      </c>
      <c r="D423">
        <v>50</v>
      </c>
      <c r="E423">
        <v>3.8640663658856051</v>
      </c>
      <c r="F423">
        <v>16.293115994760591</v>
      </c>
      <c r="G423">
        <v>0.1164313782564375</v>
      </c>
      <c r="H423">
        <v>98.770193567166359</v>
      </c>
      <c r="I423">
        <v>1</v>
      </c>
      <c r="J423">
        <v>0</v>
      </c>
      <c r="K423">
        <v>0</v>
      </c>
      <c r="L423">
        <v>1</v>
      </c>
      <c r="M423">
        <v>0</v>
      </c>
      <c r="N423">
        <v>67</v>
      </c>
      <c r="O423">
        <v>55000</v>
      </c>
      <c r="P423">
        <v>1</v>
      </c>
      <c r="Q423">
        <v>1</v>
      </c>
      <c r="R423">
        <v>3</v>
      </c>
      <c r="S423">
        <v>1</v>
      </c>
      <c r="T423" s="123">
        <f t="shared" si="32"/>
        <v>1</v>
      </c>
      <c r="U423">
        <f t="shared" si="33"/>
        <v>0</v>
      </c>
      <c r="V423">
        <f t="shared" si="34"/>
        <v>0</v>
      </c>
      <c r="W423">
        <f t="shared" si="35"/>
        <v>0</v>
      </c>
      <c r="X423">
        <f t="shared" si="36"/>
        <v>0</v>
      </c>
    </row>
    <row r="424" spans="1:24">
      <c r="A424" t="s">
        <v>149</v>
      </c>
      <c r="B424">
        <v>2</v>
      </c>
      <c r="C424">
        <v>1</v>
      </c>
      <c r="D424">
        <v>16.713954088212539</v>
      </c>
      <c r="E424">
        <v>2.785659014702091</v>
      </c>
      <c r="F424">
        <v>23.53623936033015</v>
      </c>
      <c r="G424">
        <v>76.760381738457568</v>
      </c>
      <c r="H424">
        <v>95.911787464534441</v>
      </c>
      <c r="I424">
        <v>0</v>
      </c>
      <c r="J424">
        <v>0</v>
      </c>
      <c r="K424">
        <v>0</v>
      </c>
      <c r="L424">
        <v>1</v>
      </c>
      <c r="M424">
        <v>0</v>
      </c>
      <c r="N424">
        <v>67</v>
      </c>
      <c r="O424">
        <v>55000</v>
      </c>
      <c r="P424">
        <v>1</v>
      </c>
      <c r="Q424">
        <v>1</v>
      </c>
      <c r="R424">
        <v>3</v>
      </c>
      <c r="S424">
        <v>1</v>
      </c>
      <c r="T424" s="123">
        <f t="shared" si="32"/>
        <v>0</v>
      </c>
      <c r="U424">
        <f t="shared" si="33"/>
        <v>0</v>
      </c>
      <c r="V424">
        <f t="shared" si="34"/>
        <v>0</v>
      </c>
      <c r="W424">
        <f t="shared" si="35"/>
        <v>0</v>
      </c>
      <c r="X424">
        <f t="shared" si="36"/>
        <v>0</v>
      </c>
    </row>
    <row r="425" spans="1:24">
      <c r="A425" t="s">
        <v>149</v>
      </c>
      <c r="B425">
        <v>3</v>
      </c>
      <c r="C425">
        <v>1</v>
      </c>
      <c r="D425">
        <v>2.0505545524890372</v>
      </c>
      <c r="E425">
        <v>2.9791075573897321</v>
      </c>
      <c r="F425">
        <v>3.4820737683776142</v>
      </c>
      <c r="G425">
        <v>95.434614392571575</v>
      </c>
      <c r="H425">
        <v>72.543203507866906</v>
      </c>
      <c r="I425">
        <v>0</v>
      </c>
      <c r="J425">
        <v>0</v>
      </c>
      <c r="K425">
        <v>0</v>
      </c>
      <c r="L425">
        <v>1</v>
      </c>
      <c r="M425">
        <v>0</v>
      </c>
      <c r="N425">
        <v>67</v>
      </c>
      <c r="O425">
        <v>55000</v>
      </c>
      <c r="P425">
        <v>1</v>
      </c>
      <c r="Q425">
        <v>1</v>
      </c>
      <c r="R425">
        <v>3</v>
      </c>
      <c r="S425">
        <v>1</v>
      </c>
      <c r="T425" s="123">
        <f t="shared" si="32"/>
        <v>0</v>
      </c>
      <c r="U425">
        <f t="shared" si="33"/>
        <v>0</v>
      </c>
      <c r="V425">
        <f t="shared" si="34"/>
        <v>0</v>
      </c>
      <c r="W425">
        <f t="shared" si="35"/>
        <v>0</v>
      </c>
      <c r="X425">
        <f t="shared" si="36"/>
        <v>0</v>
      </c>
    </row>
    <row r="426" spans="1:24">
      <c r="A426" t="s">
        <v>149</v>
      </c>
      <c r="B426">
        <v>4</v>
      </c>
      <c r="C426">
        <v>1</v>
      </c>
      <c r="D426">
        <v>50</v>
      </c>
      <c r="E426">
        <v>36.123291204539591</v>
      </c>
      <c r="F426">
        <v>2.6824864586020118</v>
      </c>
      <c r="G426">
        <v>2.4503482073768401</v>
      </c>
      <c r="H426">
        <v>92.558679391281913</v>
      </c>
      <c r="I426">
        <v>0</v>
      </c>
      <c r="J426">
        <v>0</v>
      </c>
      <c r="K426">
        <v>0</v>
      </c>
      <c r="L426">
        <v>1</v>
      </c>
      <c r="M426">
        <v>0</v>
      </c>
      <c r="N426">
        <v>67</v>
      </c>
      <c r="O426">
        <v>55000</v>
      </c>
      <c r="P426">
        <v>1</v>
      </c>
      <c r="Q426">
        <v>1</v>
      </c>
      <c r="R426">
        <v>3</v>
      </c>
      <c r="S426">
        <v>1</v>
      </c>
      <c r="T426" s="123">
        <f t="shared" si="32"/>
        <v>0</v>
      </c>
      <c r="U426">
        <f t="shared" si="33"/>
        <v>0</v>
      </c>
      <c r="V426">
        <f t="shared" si="34"/>
        <v>0</v>
      </c>
      <c r="W426">
        <f t="shared" si="35"/>
        <v>0</v>
      </c>
      <c r="X426">
        <f t="shared" si="36"/>
        <v>0</v>
      </c>
    </row>
    <row r="427" spans="1:24">
      <c r="A427" t="s">
        <v>149</v>
      </c>
      <c r="B427">
        <v>5</v>
      </c>
      <c r="C427">
        <v>1</v>
      </c>
      <c r="D427">
        <v>8.0345628062935273</v>
      </c>
      <c r="E427">
        <v>1.315450090275988</v>
      </c>
      <c r="F427">
        <v>17.977817900438492</v>
      </c>
      <c r="G427">
        <v>84.12432293010059</v>
      </c>
      <c r="H427">
        <v>91.965437193706464</v>
      </c>
      <c r="I427">
        <v>0</v>
      </c>
      <c r="J427">
        <v>0</v>
      </c>
      <c r="K427">
        <v>0</v>
      </c>
      <c r="L427">
        <v>1</v>
      </c>
      <c r="M427">
        <v>0</v>
      </c>
      <c r="N427">
        <v>67</v>
      </c>
      <c r="O427">
        <v>55000</v>
      </c>
      <c r="P427">
        <v>1</v>
      </c>
      <c r="Q427">
        <v>1</v>
      </c>
      <c r="R427">
        <v>3</v>
      </c>
      <c r="S427">
        <v>1</v>
      </c>
      <c r="T427" s="123">
        <f t="shared" si="32"/>
        <v>0</v>
      </c>
      <c r="U427">
        <f t="shared" si="33"/>
        <v>0</v>
      </c>
      <c r="V427">
        <f t="shared" si="34"/>
        <v>0</v>
      </c>
      <c r="W427">
        <f t="shared" si="35"/>
        <v>0</v>
      </c>
      <c r="X427">
        <f t="shared" si="36"/>
        <v>0</v>
      </c>
    </row>
    <row r="428" spans="1:24" hidden="1">
      <c r="A428" t="s">
        <v>149</v>
      </c>
      <c r="B428">
        <v>6</v>
      </c>
      <c r="C428">
        <v>1</v>
      </c>
      <c r="D428">
        <v>2.1021408305390792</v>
      </c>
      <c r="E428">
        <v>8.511735878256383</v>
      </c>
      <c r="F428">
        <v>2.8630384317771491</v>
      </c>
      <c r="G428">
        <v>3.0951766830023208</v>
      </c>
      <c r="H428">
        <v>92.494196543719369</v>
      </c>
      <c r="I428">
        <v>0</v>
      </c>
      <c r="J428">
        <v>0</v>
      </c>
      <c r="K428">
        <v>0</v>
      </c>
      <c r="L428">
        <v>1</v>
      </c>
      <c r="M428">
        <v>0</v>
      </c>
      <c r="N428">
        <v>67</v>
      </c>
      <c r="O428">
        <v>55000</v>
      </c>
      <c r="P428">
        <v>1</v>
      </c>
      <c r="Q428">
        <v>1</v>
      </c>
      <c r="R428">
        <v>3</v>
      </c>
      <c r="S428">
        <v>1</v>
      </c>
      <c r="T428" s="123">
        <f t="shared" si="32"/>
        <v>1</v>
      </c>
      <c r="U428">
        <f t="shared" si="33"/>
        <v>0</v>
      </c>
      <c r="V428">
        <f t="shared" si="34"/>
        <v>0</v>
      </c>
      <c r="W428">
        <f t="shared" si="35"/>
        <v>0</v>
      </c>
      <c r="X428">
        <f t="shared" si="36"/>
        <v>0</v>
      </c>
    </row>
    <row r="429" spans="1:24">
      <c r="A429" t="s">
        <v>149</v>
      </c>
      <c r="B429">
        <v>7</v>
      </c>
      <c r="C429">
        <v>1</v>
      </c>
      <c r="D429">
        <v>2.0634511220015468</v>
      </c>
      <c r="E429">
        <v>0</v>
      </c>
      <c r="F429">
        <v>3.8818674232654118</v>
      </c>
      <c r="G429">
        <v>32.086664947124063</v>
      </c>
      <c r="H429">
        <v>94.867165334021152</v>
      </c>
      <c r="I429">
        <v>0</v>
      </c>
      <c r="J429">
        <v>1</v>
      </c>
      <c r="K429">
        <v>0</v>
      </c>
      <c r="L429">
        <v>1</v>
      </c>
      <c r="M429">
        <v>0</v>
      </c>
      <c r="N429">
        <v>67</v>
      </c>
      <c r="O429">
        <v>55000</v>
      </c>
      <c r="P429">
        <v>1</v>
      </c>
      <c r="Q429">
        <v>1</v>
      </c>
      <c r="R429">
        <v>3</v>
      </c>
      <c r="S429">
        <v>1</v>
      </c>
      <c r="T429" s="123">
        <f t="shared" si="32"/>
        <v>0</v>
      </c>
      <c r="U429">
        <f t="shared" si="33"/>
        <v>0</v>
      </c>
      <c r="V429">
        <f t="shared" si="34"/>
        <v>0</v>
      </c>
      <c r="W429">
        <f t="shared" si="35"/>
        <v>0</v>
      </c>
      <c r="X429">
        <f t="shared" si="36"/>
        <v>0</v>
      </c>
    </row>
    <row r="430" spans="1:24">
      <c r="A430" t="s">
        <v>150</v>
      </c>
      <c r="B430">
        <v>1</v>
      </c>
      <c r="C430">
        <v>1</v>
      </c>
      <c r="D430">
        <v>92.983852626790991</v>
      </c>
      <c r="E430">
        <v>100</v>
      </c>
      <c r="F430">
        <v>96.201955879008409</v>
      </c>
      <c r="G430">
        <v>72.185581078007729</v>
      </c>
      <c r="H430">
        <v>11.54196042756425</v>
      </c>
      <c r="I430">
        <v>1</v>
      </c>
      <c r="J430">
        <v>0</v>
      </c>
      <c r="K430">
        <v>1</v>
      </c>
      <c r="L430">
        <v>1</v>
      </c>
      <c r="M430">
        <v>1</v>
      </c>
      <c r="N430">
        <v>40</v>
      </c>
      <c r="O430">
        <v>-99</v>
      </c>
      <c r="P430">
        <v>5</v>
      </c>
      <c r="Q430">
        <v>4</v>
      </c>
      <c r="R430">
        <v>5</v>
      </c>
      <c r="S430">
        <v>5</v>
      </c>
      <c r="T430" s="123">
        <f t="shared" si="32"/>
        <v>0</v>
      </c>
      <c r="U430">
        <f t="shared" si="33"/>
        <v>1</v>
      </c>
      <c r="V430">
        <f t="shared" si="34"/>
        <v>1</v>
      </c>
      <c r="W430">
        <f t="shared" si="35"/>
        <v>1</v>
      </c>
      <c r="X430">
        <f t="shared" si="36"/>
        <v>1</v>
      </c>
    </row>
    <row r="431" spans="1:24" hidden="1">
      <c r="A431" t="s">
        <v>150</v>
      </c>
      <c r="B431">
        <v>2</v>
      </c>
      <c r="C431">
        <v>1</v>
      </c>
      <c r="D431">
        <v>18.023652490334321</v>
      </c>
      <c r="E431">
        <v>1.7966795542415259</v>
      </c>
      <c r="F431">
        <v>0.25017057084375521</v>
      </c>
      <c r="G431">
        <v>7.2208323857175349</v>
      </c>
      <c r="H431">
        <v>96.281555606095054</v>
      </c>
      <c r="I431">
        <v>0</v>
      </c>
      <c r="J431">
        <v>0</v>
      </c>
      <c r="K431">
        <v>0</v>
      </c>
      <c r="L431">
        <v>1</v>
      </c>
      <c r="M431">
        <v>1</v>
      </c>
      <c r="N431">
        <v>40</v>
      </c>
      <c r="O431">
        <v>-99</v>
      </c>
      <c r="P431">
        <v>5</v>
      </c>
      <c r="Q431">
        <v>4</v>
      </c>
      <c r="R431">
        <v>5</v>
      </c>
      <c r="S431">
        <v>5</v>
      </c>
      <c r="T431" s="123">
        <f t="shared" si="32"/>
        <v>1</v>
      </c>
      <c r="U431">
        <f t="shared" si="33"/>
        <v>1</v>
      </c>
      <c r="V431">
        <f t="shared" si="34"/>
        <v>1</v>
      </c>
      <c r="W431">
        <f t="shared" si="35"/>
        <v>1</v>
      </c>
      <c r="X431">
        <f t="shared" si="36"/>
        <v>1</v>
      </c>
    </row>
    <row r="432" spans="1:24" hidden="1">
      <c r="A432" t="s">
        <v>150</v>
      </c>
      <c r="B432">
        <v>3</v>
      </c>
      <c r="C432">
        <v>1</v>
      </c>
      <c r="D432">
        <v>1.808050943825334</v>
      </c>
      <c r="E432">
        <v>0.26154196042756372</v>
      </c>
      <c r="F432">
        <v>2.228792358426201</v>
      </c>
      <c r="G432">
        <v>0.113713895838069</v>
      </c>
      <c r="H432">
        <v>90.038662724584938</v>
      </c>
      <c r="I432">
        <v>0</v>
      </c>
      <c r="J432">
        <v>0</v>
      </c>
      <c r="K432">
        <v>0</v>
      </c>
      <c r="L432">
        <v>1</v>
      </c>
      <c r="M432">
        <v>1</v>
      </c>
      <c r="N432">
        <v>40</v>
      </c>
      <c r="O432">
        <v>-99</v>
      </c>
      <c r="P432">
        <v>5</v>
      </c>
      <c r="Q432">
        <v>4</v>
      </c>
      <c r="R432">
        <v>5</v>
      </c>
      <c r="S432">
        <v>5</v>
      </c>
      <c r="T432" s="123">
        <f t="shared" si="32"/>
        <v>1</v>
      </c>
      <c r="U432">
        <f t="shared" si="33"/>
        <v>1</v>
      </c>
      <c r="V432">
        <f t="shared" si="34"/>
        <v>1</v>
      </c>
      <c r="W432">
        <f t="shared" si="35"/>
        <v>1</v>
      </c>
      <c r="X432">
        <f t="shared" si="36"/>
        <v>1</v>
      </c>
    </row>
    <row r="433" spans="1:24" hidden="1">
      <c r="A433" t="s">
        <v>150</v>
      </c>
      <c r="B433">
        <v>4</v>
      </c>
      <c r="C433">
        <v>1</v>
      </c>
      <c r="D433">
        <v>6.8991282689912836</v>
      </c>
      <c r="E433">
        <v>2.9265255292652559</v>
      </c>
      <c r="F433">
        <v>4.9813200498131982</v>
      </c>
      <c r="G433">
        <v>1.556662515566626</v>
      </c>
      <c r="H433">
        <v>50</v>
      </c>
      <c r="I433">
        <v>0</v>
      </c>
      <c r="J433">
        <v>0</v>
      </c>
      <c r="K433">
        <v>0</v>
      </c>
      <c r="L433">
        <v>1</v>
      </c>
      <c r="M433">
        <v>1</v>
      </c>
      <c r="N433">
        <v>40</v>
      </c>
      <c r="O433">
        <v>-99</v>
      </c>
      <c r="P433">
        <v>5</v>
      </c>
      <c r="Q433">
        <v>4</v>
      </c>
      <c r="R433">
        <v>5</v>
      </c>
      <c r="S433">
        <v>5</v>
      </c>
      <c r="T433" s="123">
        <f t="shared" si="32"/>
        <v>1</v>
      </c>
      <c r="U433">
        <f t="shared" si="33"/>
        <v>1</v>
      </c>
      <c r="V433">
        <f t="shared" si="34"/>
        <v>1</v>
      </c>
      <c r="W433">
        <f t="shared" si="35"/>
        <v>1</v>
      </c>
      <c r="X433">
        <f t="shared" si="36"/>
        <v>1</v>
      </c>
    </row>
    <row r="434" spans="1:24">
      <c r="A434" t="s">
        <v>150</v>
      </c>
      <c r="B434">
        <v>5</v>
      </c>
      <c r="C434">
        <v>1</v>
      </c>
      <c r="D434">
        <v>2.1544209215442089</v>
      </c>
      <c r="E434">
        <v>9.8132004981320016</v>
      </c>
      <c r="F434">
        <v>1.6189290161892911</v>
      </c>
      <c r="G434">
        <v>79.041095890410958</v>
      </c>
      <c r="H434">
        <v>97.048567870485684</v>
      </c>
      <c r="I434">
        <v>0</v>
      </c>
      <c r="J434">
        <v>0</v>
      </c>
      <c r="K434">
        <v>0</v>
      </c>
      <c r="L434">
        <v>1</v>
      </c>
      <c r="M434">
        <v>1</v>
      </c>
      <c r="N434">
        <v>40</v>
      </c>
      <c r="O434">
        <v>-99</v>
      </c>
      <c r="P434">
        <v>5</v>
      </c>
      <c r="Q434">
        <v>4</v>
      </c>
      <c r="R434">
        <v>5</v>
      </c>
      <c r="S434">
        <v>5</v>
      </c>
      <c r="T434" s="123">
        <f t="shared" si="32"/>
        <v>0</v>
      </c>
      <c r="U434">
        <f t="shared" si="33"/>
        <v>1</v>
      </c>
      <c r="V434">
        <f t="shared" si="34"/>
        <v>1</v>
      </c>
      <c r="W434">
        <f t="shared" si="35"/>
        <v>1</v>
      </c>
      <c r="X434">
        <f t="shared" si="36"/>
        <v>1</v>
      </c>
    </row>
    <row r="435" spans="1:24">
      <c r="A435" t="s">
        <v>150</v>
      </c>
      <c r="B435">
        <v>6</v>
      </c>
      <c r="C435">
        <v>1</v>
      </c>
      <c r="D435">
        <v>19.975093399750929</v>
      </c>
      <c r="E435">
        <v>9.9999999999999982</v>
      </c>
      <c r="F435">
        <v>2.9514321295143202</v>
      </c>
      <c r="G435">
        <v>80.024906600249068</v>
      </c>
      <c r="H435">
        <v>96.699875466998748</v>
      </c>
      <c r="I435">
        <v>0</v>
      </c>
      <c r="J435">
        <v>0</v>
      </c>
      <c r="K435">
        <v>0</v>
      </c>
      <c r="L435">
        <v>1</v>
      </c>
      <c r="M435">
        <v>1</v>
      </c>
      <c r="N435">
        <v>40</v>
      </c>
      <c r="O435">
        <v>-99</v>
      </c>
      <c r="P435">
        <v>5</v>
      </c>
      <c r="Q435">
        <v>4</v>
      </c>
      <c r="R435">
        <v>5</v>
      </c>
      <c r="S435">
        <v>5</v>
      </c>
      <c r="T435" s="123">
        <f t="shared" si="32"/>
        <v>0</v>
      </c>
      <c r="U435">
        <f t="shared" si="33"/>
        <v>1</v>
      </c>
      <c r="V435">
        <f t="shared" si="34"/>
        <v>1</v>
      </c>
      <c r="W435">
        <f t="shared" si="35"/>
        <v>1</v>
      </c>
      <c r="X435">
        <f t="shared" si="36"/>
        <v>1</v>
      </c>
    </row>
    <row r="436" spans="1:24">
      <c r="A436" t="s">
        <v>150</v>
      </c>
      <c r="B436">
        <v>7</v>
      </c>
      <c r="C436">
        <v>1</v>
      </c>
      <c r="D436">
        <v>6.6998754669987557</v>
      </c>
      <c r="E436">
        <v>1.830635118306351</v>
      </c>
      <c r="F436">
        <v>2.5653798256537961</v>
      </c>
      <c r="G436">
        <v>59.47696139476961</v>
      </c>
      <c r="H436">
        <v>93.997509339975096</v>
      </c>
      <c r="I436">
        <v>0</v>
      </c>
      <c r="J436">
        <v>1</v>
      </c>
      <c r="K436">
        <v>0</v>
      </c>
      <c r="L436">
        <v>1</v>
      </c>
      <c r="M436">
        <v>1</v>
      </c>
      <c r="N436">
        <v>40</v>
      </c>
      <c r="O436">
        <v>-99</v>
      </c>
      <c r="P436">
        <v>5</v>
      </c>
      <c r="Q436">
        <v>4</v>
      </c>
      <c r="R436">
        <v>5</v>
      </c>
      <c r="S436">
        <v>5</v>
      </c>
      <c r="T436" s="123">
        <f t="shared" si="32"/>
        <v>0</v>
      </c>
      <c r="U436">
        <f t="shared" si="33"/>
        <v>1</v>
      </c>
      <c r="V436">
        <f t="shared" si="34"/>
        <v>1</v>
      </c>
      <c r="W436">
        <f t="shared" si="35"/>
        <v>1</v>
      </c>
      <c r="X436">
        <f t="shared" si="36"/>
        <v>1</v>
      </c>
    </row>
    <row r="437" spans="1:24">
      <c r="A437" t="s">
        <v>151</v>
      </c>
      <c r="B437">
        <v>1</v>
      </c>
      <c r="C437">
        <v>1</v>
      </c>
      <c r="D437">
        <v>0.2743598270701697</v>
      </c>
      <c r="E437">
        <v>66.203857665447302</v>
      </c>
      <c r="F437">
        <v>95.294313269038909</v>
      </c>
      <c r="G437">
        <v>93.473561689391431</v>
      </c>
      <c r="H437">
        <v>93.756235450615236</v>
      </c>
      <c r="I437">
        <v>1</v>
      </c>
      <c r="J437">
        <v>0</v>
      </c>
      <c r="K437">
        <v>0</v>
      </c>
      <c r="L437">
        <v>1</v>
      </c>
      <c r="M437">
        <v>0</v>
      </c>
      <c r="N437">
        <v>49</v>
      </c>
      <c r="O437">
        <v>55000</v>
      </c>
      <c r="P437">
        <v>4</v>
      </c>
      <c r="Q437">
        <v>2</v>
      </c>
      <c r="R437">
        <v>3</v>
      </c>
      <c r="S437">
        <v>3</v>
      </c>
      <c r="T437" s="123">
        <f t="shared" si="32"/>
        <v>0</v>
      </c>
      <c r="U437">
        <f t="shared" si="33"/>
        <v>1</v>
      </c>
      <c r="V437">
        <f t="shared" si="34"/>
        <v>0</v>
      </c>
      <c r="W437">
        <f t="shared" si="35"/>
        <v>0</v>
      </c>
      <c r="X437">
        <f t="shared" si="36"/>
        <v>0</v>
      </c>
    </row>
    <row r="438" spans="1:24" hidden="1">
      <c r="A438" t="s">
        <v>151</v>
      </c>
      <c r="B438">
        <v>2</v>
      </c>
      <c r="C438">
        <v>1</v>
      </c>
      <c r="D438">
        <v>92.093448619886928</v>
      </c>
      <c r="E438">
        <v>90.023279015630195</v>
      </c>
      <c r="F438">
        <v>92.509145327569016</v>
      </c>
      <c r="G438">
        <v>88.485201197206521</v>
      </c>
      <c r="H438">
        <v>74.301629531094122</v>
      </c>
      <c r="I438">
        <v>0</v>
      </c>
      <c r="J438">
        <v>0</v>
      </c>
      <c r="K438">
        <v>1</v>
      </c>
      <c r="L438">
        <v>1</v>
      </c>
      <c r="M438">
        <v>0</v>
      </c>
      <c r="N438">
        <v>49</v>
      </c>
      <c r="O438">
        <v>55000</v>
      </c>
      <c r="P438">
        <v>4</v>
      </c>
      <c r="Q438">
        <v>2</v>
      </c>
      <c r="R438">
        <v>3</v>
      </c>
      <c r="S438">
        <v>3</v>
      </c>
      <c r="T438" s="123">
        <f t="shared" si="32"/>
        <v>1</v>
      </c>
      <c r="U438">
        <f t="shared" si="33"/>
        <v>1</v>
      </c>
      <c r="V438">
        <f t="shared" si="34"/>
        <v>0</v>
      </c>
      <c r="W438">
        <f t="shared" si="35"/>
        <v>0</v>
      </c>
      <c r="X438">
        <f t="shared" si="36"/>
        <v>0</v>
      </c>
    </row>
    <row r="439" spans="1:24" hidden="1">
      <c r="A439" t="s">
        <v>151</v>
      </c>
      <c r="B439">
        <v>3</v>
      </c>
      <c r="C439">
        <v>1</v>
      </c>
      <c r="D439">
        <v>97.780179580977716</v>
      </c>
      <c r="E439">
        <v>97.788493515131364</v>
      </c>
      <c r="F439">
        <v>96.807449285001667</v>
      </c>
      <c r="G439">
        <v>98.470236115729961</v>
      </c>
      <c r="H439">
        <v>89.225141336880611</v>
      </c>
      <c r="I439">
        <v>0</v>
      </c>
      <c r="J439">
        <v>0</v>
      </c>
      <c r="K439">
        <v>1</v>
      </c>
      <c r="L439">
        <v>1</v>
      </c>
      <c r="M439">
        <v>0</v>
      </c>
      <c r="N439">
        <v>49</v>
      </c>
      <c r="O439">
        <v>55000</v>
      </c>
      <c r="P439">
        <v>4</v>
      </c>
      <c r="Q439">
        <v>2</v>
      </c>
      <c r="R439">
        <v>3</v>
      </c>
      <c r="S439">
        <v>3</v>
      </c>
      <c r="T439" s="123">
        <f t="shared" si="32"/>
        <v>1</v>
      </c>
      <c r="U439">
        <f t="shared" si="33"/>
        <v>1</v>
      </c>
      <c r="V439">
        <f t="shared" si="34"/>
        <v>0</v>
      </c>
      <c r="W439">
        <f t="shared" si="35"/>
        <v>0</v>
      </c>
      <c r="X439">
        <f t="shared" si="36"/>
        <v>0</v>
      </c>
    </row>
    <row r="440" spans="1:24" hidden="1">
      <c r="A440" t="s">
        <v>151</v>
      </c>
      <c r="B440">
        <v>4</v>
      </c>
      <c r="C440">
        <v>1</v>
      </c>
      <c r="D440">
        <v>13.42700365813103</v>
      </c>
      <c r="E440">
        <v>3.0595277685400708</v>
      </c>
      <c r="F440">
        <v>0.54871965414033941</v>
      </c>
      <c r="G440">
        <v>0.6983704689058845</v>
      </c>
      <c r="H440">
        <v>7.3827735284336562</v>
      </c>
      <c r="I440">
        <v>0</v>
      </c>
      <c r="J440">
        <v>0</v>
      </c>
      <c r="K440">
        <v>0</v>
      </c>
      <c r="L440">
        <v>1</v>
      </c>
      <c r="M440">
        <v>0</v>
      </c>
      <c r="N440">
        <v>49</v>
      </c>
      <c r="O440">
        <v>55000</v>
      </c>
      <c r="P440">
        <v>4</v>
      </c>
      <c r="Q440">
        <v>2</v>
      </c>
      <c r="R440">
        <v>3</v>
      </c>
      <c r="S440">
        <v>3</v>
      </c>
      <c r="T440" s="123">
        <f t="shared" si="32"/>
        <v>1</v>
      </c>
      <c r="U440">
        <f t="shared" si="33"/>
        <v>1</v>
      </c>
      <c r="V440">
        <f t="shared" si="34"/>
        <v>0</v>
      </c>
      <c r="W440">
        <f t="shared" si="35"/>
        <v>0</v>
      </c>
      <c r="X440">
        <f t="shared" si="36"/>
        <v>0</v>
      </c>
    </row>
    <row r="441" spans="1:24" hidden="1">
      <c r="A441" t="s">
        <v>151</v>
      </c>
      <c r="B441">
        <v>5</v>
      </c>
      <c r="C441">
        <v>1</v>
      </c>
      <c r="D441">
        <v>50</v>
      </c>
      <c r="E441">
        <v>18.042478651193349</v>
      </c>
      <c r="F441">
        <v>12.41515217867309</v>
      </c>
      <c r="G441">
        <v>14.96606087146923</v>
      </c>
      <c r="H441">
        <v>50</v>
      </c>
      <c r="I441">
        <v>0</v>
      </c>
      <c r="J441">
        <v>0</v>
      </c>
      <c r="K441">
        <v>0</v>
      </c>
      <c r="L441">
        <v>1</v>
      </c>
      <c r="M441">
        <v>0</v>
      </c>
      <c r="N441">
        <v>49</v>
      </c>
      <c r="O441">
        <v>55000</v>
      </c>
      <c r="P441">
        <v>4</v>
      </c>
      <c r="Q441">
        <v>2</v>
      </c>
      <c r="R441">
        <v>3</v>
      </c>
      <c r="S441">
        <v>3</v>
      </c>
      <c r="T441" s="123">
        <f t="shared" si="32"/>
        <v>1</v>
      </c>
      <c r="U441">
        <f t="shared" si="33"/>
        <v>1</v>
      </c>
      <c r="V441">
        <f t="shared" si="34"/>
        <v>0</v>
      </c>
      <c r="W441">
        <f t="shared" si="35"/>
        <v>0</v>
      </c>
      <c r="X441">
        <f t="shared" si="36"/>
        <v>0</v>
      </c>
    </row>
    <row r="442" spans="1:24" hidden="1">
      <c r="A442" t="s">
        <v>151</v>
      </c>
      <c r="B442">
        <v>6</v>
      </c>
      <c r="C442">
        <v>1</v>
      </c>
      <c r="D442">
        <v>5.1127654915699594</v>
      </c>
      <c r="E442">
        <v>3.8099408802277188</v>
      </c>
      <c r="F442">
        <v>3.459601488942416</v>
      </c>
      <c r="G442">
        <v>3.8099408802277188</v>
      </c>
      <c r="H442">
        <v>4.7624261002846504</v>
      </c>
      <c r="I442">
        <v>0</v>
      </c>
      <c r="J442">
        <v>0</v>
      </c>
      <c r="K442">
        <v>0</v>
      </c>
      <c r="L442">
        <v>1</v>
      </c>
      <c r="M442">
        <v>0</v>
      </c>
      <c r="N442">
        <v>49</v>
      </c>
      <c r="O442">
        <v>55000</v>
      </c>
      <c r="P442">
        <v>4</v>
      </c>
      <c r="Q442">
        <v>2</v>
      </c>
      <c r="R442">
        <v>3</v>
      </c>
      <c r="S442">
        <v>3</v>
      </c>
      <c r="T442" s="123">
        <f t="shared" si="32"/>
        <v>1</v>
      </c>
      <c r="U442">
        <f t="shared" si="33"/>
        <v>1</v>
      </c>
      <c r="V442">
        <f t="shared" si="34"/>
        <v>0</v>
      </c>
      <c r="W442">
        <f t="shared" si="35"/>
        <v>0</v>
      </c>
      <c r="X442">
        <f t="shared" si="36"/>
        <v>0</v>
      </c>
    </row>
    <row r="443" spans="1:24">
      <c r="A443" t="s">
        <v>151</v>
      </c>
      <c r="B443">
        <v>7</v>
      </c>
      <c r="C443">
        <v>1</v>
      </c>
      <c r="D443">
        <v>30.578059995620759</v>
      </c>
      <c r="E443">
        <v>71.534924458068744</v>
      </c>
      <c r="F443">
        <v>0</v>
      </c>
      <c r="G443">
        <v>12.38230786074009</v>
      </c>
      <c r="H443">
        <v>0.93058900810160106</v>
      </c>
      <c r="I443">
        <v>0</v>
      </c>
      <c r="J443">
        <v>1</v>
      </c>
      <c r="K443">
        <v>0</v>
      </c>
      <c r="L443">
        <v>1</v>
      </c>
      <c r="M443">
        <v>0</v>
      </c>
      <c r="N443">
        <v>49</v>
      </c>
      <c r="O443">
        <v>55000</v>
      </c>
      <c r="P443">
        <v>4</v>
      </c>
      <c r="Q443">
        <v>2</v>
      </c>
      <c r="R443">
        <v>3</v>
      </c>
      <c r="S443">
        <v>3</v>
      </c>
      <c r="T443" s="123">
        <f t="shared" si="32"/>
        <v>0</v>
      </c>
      <c r="U443">
        <f t="shared" si="33"/>
        <v>1</v>
      </c>
      <c r="V443">
        <f t="shared" si="34"/>
        <v>0</v>
      </c>
      <c r="W443">
        <f t="shared" si="35"/>
        <v>0</v>
      </c>
      <c r="X443">
        <f t="shared" si="36"/>
        <v>0</v>
      </c>
    </row>
    <row r="444" spans="1:24">
      <c r="A444" t="s">
        <v>152</v>
      </c>
      <c r="B444">
        <v>1</v>
      </c>
      <c r="C444">
        <v>1</v>
      </c>
      <c r="D444">
        <v>51.700606585788563</v>
      </c>
      <c r="E444">
        <v>96.718716269698504</v>
      </c>
      <c r="F444">
        <v>97.067712455925744</v>
      </c>
      <c r="G444">
        <v>50</v>
      </c>
      <c r="H444">
        <v>0</v>
      </c>
      <c r="I444">
        <v>1</v>
      </c>
      <c r="J444">
        <v>0</v>
      </c>
      <c r="K444">
        <v>1</v>
      </c>
      <c r="L444">
        <v>1</v>
      </c>
      <c r="M444">
        <v>0</v>
      </c>
      <c r="N444">
        <v>68</v>
      </c>
      <c r="O444">
        <v>-99</v>
      </c>
      <c r="P444">
        <v>1</v>
      </c>
      <c r="Q444">
        <v>1</v>
      </c>
      <c r="R444">
        <v>3</v>
      </c>
      <c r="S444">
        <v>1</v>
      </c>
      <c r="T444" s="123">
        <f t="shared" si="32"/>
        <v>0</v>
      </c>
      <c r="U444">
        <f t="shared" si="33"/>
        <v>0</v>
      </c>
      <c r="V444">
        <f t="shared" si="34"/>
        <v>0</v>
      </c>
      <c r="W444">
        <f t="shared" si="35"/>
        <v>0</v>
      </c>
      <c r="X444">
        <f t="shared" si="36"/>
        <v>0</v>
      </c>
    </row>
    <row r="445" spans="1:24">
      <c r="A445" t="s">
        <v>152</v>
      </c>
      <c r="B445">
        <v>2</v>
      </c>
      <c r="C445">
        <v>1</v>
      </c>
      <c r="D445">
        <v>67.179376083188913</v>
      </c>
      <c r="E445">
        <v>50</v>
      </c>
      <c r="F445">
        <v>69.074956672443676</v>
      </c>
      <c r="G445">
        <v>19.36741767764298</v>
      </c>
      <c r="H445">
        <v>36.41681109185442</v>
      </c>
      <c r="I445">
        <v>0</v>
      </c>
      <c r="J445">
        <v>0</v>
      </c>
      <c r="K445">
        <v>1</v>
      </c>
      <c r="L445">
        <v>1</v>
      </c>
      <c r="M445">
        <v>0</v>
      </c>
      <c r="N445">
        <v>68</v>
      </c>
      <c r="O445">
        <v>-99</v>
      </c>
      <c r="P445">
        <v>1</v>
      </c>
      <c r="Q445">
        <v>1</v>
      </c>
      <c r="R445">
        <v>3</v>
      </c>
      <c r="S445">
        <v>1</v>
      </c>
      <c r="T445" s="123">
        <f t="shared" si="32"/>
        <v>0</v>
      </c>
      <c r="U445">
        <f t="shared" si="33"/>
        <v>0</v>
      </c>
      <c r="V445">
        <f t="shared" si="34"/>
        <v>0</v>
      </c>
      <c r="W445">
        <f t="shared" si="35"/>
        <v>0</v>
      </c>
      <c r="X445">
        <f t="shared" si="36"/>
        <v>0</v>
      </c>
    </row>
    <row r="446" spans="1:24" hidden="1">
      <c r="A446" t="s">
        <v>152</v>
      </c>
      <c r="B446">
        <v>3</v>
      </c>
      <c r="C446">
        <v>1</v>
      </c>
      <c r="D446">
        <v>14.980502599653381</v>
      </c>
      <c r="E446">
        <v>32.073223570190642</v>
      </c>
      <c r="F446">
        <v>26.559792027729639</v>
      </c>
      <c r="G446">
        <v>21.663778162911608</v>
      </c>
      <c r="H446">
        <v>19.237435008665511</v>
      </c>
      <c r="I446">
        <v>0</v>
      </c>
      <c r="J446">
        <v>0</v>
      </c>
      <c r="K446">
        <v>0</v>
      </c>
      <c r="L446">
        <v>1</v>
      </c>
      <c r="M446">
        <v>0</v>
      </c>
      <c r="N446">
        <v>68</v>
      </c>
      <c r="O446">
        <v>-99</v>
      </c>
      <c r="P446">
        <v>1</v>
      </c>
      <c r="Q446">
        <v>1</v>
      </c>
      <c r="R446">
        <v>3</v>
      </c>
      <c r="S446">
        <v>1</v>
      </c>
      <c r="T446" s="123">
        <f t="shared" si="32"/>
        <v>1</v>
      </c>
      <c r="U446">
        <f t="shared" si="33"/>
        <v>0</v>
      </c>
      <c r="V446">
        <f t="shared" si="34"/>
        <v>0</v>
      </c>
      <c r="W446">
        <f t="shared" si="35"/>
        <v>0</v>
      </c>
      <c r="X446">
        <f t="shared" si="36"/>
        <v>0</v>
      </c>
    </row>
    <row r="447" spans="1:24" hidden="1">
      <c r="A447" t="s">
        <v>152</v>
      </c>
      <c r="B447">
        <v>4</v>
      </c>
      <c r="C447">
        <v>1</v>
      </c>
      <c r="D447">
        <v>6.8349220103986141</v>
      </c>
      <c r="E447">
        <v>5.448440207972272</v>
      </c>
      <c r="F447">
        <v>11.79592720970537</v>
      </c>
      <c r="G447">
        <v>2.632149046793764</v>
      </c>
      <c r="H447">
        <v>26.288994800693239</v>
      </c>
      <c r="I447">
        <v>0</v>
      </c>
      <c r="J447">
        <v>0</v>
      </c>
      <c r="K447">
        <v>0</v>
      </c>
      <c r="L447">
        <v>1</v>
      </c>
      <c r="M447">
        <v>0</v>
      </c>
      <c r="N447">
        <v>68</v>
      </c>
      <c r="O447">
        <v>-99</v>
      </c>
      <c r="P447">
        <v>1</v>
      </c>
      <c r="Q447">
        <v>1</v>
      </c>
      <c r="R447">
        <v>3</v>
      </c>
      <c r="S447">
        <v>1</v>
      </c>
      <c r="T447" s="123">
        <f t="shared" si="32"/>
        <v>1</v>
      </c>
      <c r="U447">
        <f t="shared" si="33"/>
        <v>0</v>
      </c>
      <c r="V447">
        <f t="shared" si="34"/>
        <v>0</v>
      </c>
      <c r="W447">
        <f t="shared" si="35"/>
        <v>0</v>
      </c>
      <c r="X447">
        <f t="shared" si="36"/>
        <v>0</v>
      </c>
    </row>
    <row r="448" spans="1:24" hidden="1">
      <c r="A448" t="s">
        <v>152</v>
      </c>
      <c r="B448">
        <v>5</v>
      </c>
      <c r="C448">
        <v>1</v>
      </c>
      <c r="D448">
        <v>8.3513864818024253</v>
      </c>
      <c r="E448">
        <v>1.8955805892547639</v>
      </c>
      <c r="F448">
        <v>3.607019064124783</v>
      </c>
      <c r="G448">
        <v>0.50909878682842136</v>
      </c>
      <c r="H448">
        <v>0.98570190641247835</v>
      </c>
      <c r="I448">
        <v>0</v>
      </c>
      <c r="J448">
        <v>0</v>
      </c>
      <c r="K448">
        <v>0</v>
      </c>
      <c r="L448">
        <v>1</v>
      </c>
      <c r="M448">
        <v>0</v>
      </c>
      <c r="N448">
        <v>68</v>
      </c>
      <c r="O448">
        <v>-99</v>
      </c>
      <c r="P448">
        <v>1</v>
      </c>
      <c r="Q448">
        <v>1</v>
      </c>
      <c r="R448">
        <v>3</v>
      </c>
      <c r="S448">
        <v>1</v>
      </c>
      <c r="T448" s="123">
        <f t="shared" si="32"/>
        <v>1</v>
      </c>
      <c r="U448">
        <f t="shared" si="33"/>
        <v>0</v>
      </c>
      <c r="V448">
        <f t="shared" si="34"/>
        <v>0</v>
      </c>
      <c r="W448">
        <f t="shared" si="35"/>
        <v>0</v>
      </c>
      <c r="X448">
        <f t="shared" si="36"/>
        <v>0</v>
      </c>
    </row>
    <row r="449" spans="1:24">
      <c r="A449" t="s">
        <v>152</v>
      </c>
      <c r="B449">
        <v>6</v>
      </c>
      <c r="C449">
        <v>1</v>
      </c>
      <c r="D449">
        <v>39.438908145580577</v>
      </c>
      <c r="E449">
        <v>25.888214904679369</v>
      </c>
      <c r="F449">
        <v>26.418977469670711</v>
      </c>
      <c r="G449">
        <v>11.41681109185442</v>
      </c>
      <c r="H449">
        <v>20.071490467937611</v>
      </c>
      <c r="I449">
        <v>0</v>
      </c>
      <c r="J449">
        <v>0</v>
      </c>
      <c r="K449">
        <v>0</v>
      </c>
      <c r="L449">
        <v>1</v>
      </c>
      <c r="M449">
        <v>0</v>
      </c>
      <c r="N449">
        <v>68</v>
      </c>
      <c r="O449">
        <v>-99</v>
      </c>
      <c r="P449">
        <v>1</v>
      </c>
      <c r="Q449">
        <v>1</v>
      </c>
      <c r="R449">
        <v>3</v>
      </c>
      <c r="S449">
        <v>1</v>
      </c>
      <c r="T449" s="123">
        <f t="shared" si="32"/>
        <v>0</v>
      </c>
      <c r="U449">
        <f t="shared" si="33"/>
        <v>0</v>
      </c>
      <c r="V449">
        <f t="shared" si="34"/>
        <v>0</v>
      </c>
      <c r="W449">
        <f t="shared" si="35"/>
        <v>0</v>
      </c>
      <c r="X449">
        <f t="shared" si="36"/>
        <v>0</v>
      </c>
    </row>
    <row r="450" spans="1:24">
      <c r="A450" t="s">
        <v>152</v>
      </c>
      <c r="B450">
        <v>7</v>
      </c>
      <c r="C450">
        <v>1</v>
      </c>
      <c r="D450">
        <v>21.230502599653381</v>
      </c>
      <c r="E450">
        <v>20.504766031195839</v>
      </c>
      <c r="F450">
        <v>38.929809358752173</v>
      </c>
      <c r="G450">
        <v>63.713171577123049</v>
      </c>
      <c r="H450">
        <v>36.286828422876951</v>
      </c>
      <c r="I450">
        <v>0</v>
      </c>
      <c r="J450">
        <v>1</v>
      </c>
      <c r="K450">
        <v>0</v>
      </c>
      <c r="L450">
        <v>1</v>
      </c>
      <c r="M450">
        <v>0</v>
      </c>
      <c r="N450">
        <v>68</v>
      </c>
      <c r="O450">
        <v>-99</v>
      </c>
      <c r="P450">
        <v>1</v>
      </c>
      <c r="Q450">
        <v>1</v>
      </c>
      <c r="R450">
        <v>3</v>
      </c>
      <c r="S450">
        <v>1</v>
      </c>
      <c r="T450" s="123">
        <f t="shared" si="32"/>
        <v>0</v>
      </c>
      <c r="U450">
        <f t="shared" si="33"/>
        <v>0</v>
      </c>
      <c r="V450">
        <f t="shared" si="34"/>
        <v>0</v>
      </c>
      <c r="W450">
        <f t="shared" si="35"/>
        <v>0</v>
      </c>
      <c r="X450">
        <f t="shared" si="36"/>
        <v>0</v>
      </c>
    </row>
    <row r="451" spans="1:24">
      <c r="A451" t="s">
        <v>153</v>
      </c>
      <c r="B451">
        <v>1</v>
      </c>
      <c r="C451">
        <v>1</v>
      </c>
      <c r="D451">
        <v>98.11715481171548</v>
      </c>
      <c r="E451">
        <v>77.748193229364787</v>
      </c>
      <c r="F451">
        <v>85.954735640928106</v>
      </c>
      <c r="G451">
        <v>6.3332065424115616</v>
      </c>
      <c r="H451">
        <v>2.1395968048687708</v>
      </c>
      <c r="I451">
        <v>1</v>
      </c>
      <c r="J451">
        <v>0</v>
      </c>
      <c r="K451">
        <v>1</v>
      </c>
      <c r="L451">
        <v>1</v>
      </c>
      <c r="M451">
        <v>0</v>
      </c>
      <c r="N451">
        <v>72</v>
      </c>
      <c r="O451">
        <v>25000</v>
      </c>
      <c r="P451">
        <v>2</v>
      </c>
      <c r="Q451">
        <v>1</v>
      </c>
      <c r="R451">
        <v>3</v>
      </c>
      <c r="S451">
        <v>2</v>
      </c>
      <c r="T451" s="123">
        <f t="shared" si="32"/>
        <v>0</v>
      </c>
      <c r="U451">
        <f t="shared" si="33"/>
        <v>0</v>
      </c>
      <c r="V451">
        <f t="shared" si="34"/>
        <v>0</v>
      </c>
      <c r="W451">
        <f t="shared" si="35"/>
        <v>0</v>
      </c>
      <c r="X451">
        <f t="shared" si="36"/>
        <v>0</v>
      </c>
    </row>
    <row r="452" spans="1:24">
      <c r="A452" t="s">
        <v>153</v>
      </c>
      <c r="B452">
        <v>2</v>
      </c>
      <c r="C452">
        <v>1</v>
      </c>
      <c r="D452">
        <v>12.538526197814511</v>
      </c>
      <c r="E452">
        <v>50</v>
      </c>
      <c r="F452">
        <v>90.487531521434576</v>
      </c>
      <c r="G452">
        <v>7.4530680862986856</v>
      </c>
      <c r="H452">
        <v>64.219669375175116</v>
      </c>
      <c r="I452">
        <v>0</v>
      </c>
      <c r="J452">
        <v>0</v>
      </c>
      <c r="K452">
        <v>0</v>
      </c>
      <c r="L452">
        <v>1</v>
      </c>
      <c r="M452">
        <v>0</v>
      </c>
      <c r="N452">
        <v>72</v>
      </c>
      <c r="O452">
        <v>25000</v>
      </c>
      <c r="P452">
        <v>2</v>
      </c>
      <c r="Q452">
        <v>1</v>
      </c>
      <c r="R452">
        <v>3</v>
      </c>
      <c r="S452">
        <v>2</v>
      </c>
      <c r="T452" s="123">
        <f t="shared" ref="T452:T515" si="37">IF(OR(IF(AVERAGE(E452:F452)-G452&gt;(10),1,0),IF(AVERAGE(E452:F452)-G452&lt;(-10),1,0)),0,1)</f>
        <v>0</v>
      </c>
      <c r="U452">
        <f t="shared" ref="U452:U515" si="38">IF(P452&gt;3,1,0)</f>
        <v>0</v>
      </c>
      <c r="V452">
        <f t="shared" ref="V452:V515" si="39">IF(Q452&gt;3,1,0)</f>
        <v>0</v>
      </c>
      <c r="W452">
        <f t="shared" ref="W452:W515" si="40">IF(R452&gt;3,1,0)</f>
        <v>0</v>
      </c>
      <c r="X452">
        <f t="shared" ref="X452:X515" si="41">IF(S452&gt;3,1,0)</f>
        <v>0</v>
      </c>
    </row>
    <row r="453" spans="1:24">
      <c r="A453" t="s">
        <v>153</v>
      </c>
      <c r="B453">
        <v>3</v>
      </c>
      <c r="C453">
        <v>1</v>
      </c>
      <c r="D453">
        <v>9.1762398430933025</v>
      </c>
      <c r="E453">
        <v>86.088540207340998</v>
      </c>
      <c r="F453">
        <v>14.1776407957411</v>
      </c>
      <c r="G453">
        <v>86.901092743065277</v>
      </c>
      <c r="H453">
        <v>7.8033062482488091</v>
      </c>
      <c r="I453">
        <v>0</v>
      </c>
      <c r="J453">
        <v>0</v>
      </c>
      <c r="K453">
        <v>0</v>
      </c>
      <c r="L453">
        <v>1</v>
      </c>
      <c r="M453">
        <v>0</v>
      </c>
      <c r="N453">
        <v>72</v>
      </c>
      <c r="O453">
        <v>25000</v>
      </c>
      <c r="P453">
        <v>2</v>
      </c>
      <c r="Q453">
        <v>1</v>
      </c>
      <c r="R453">
        <v>3</v>
      </c>
      <c r="S453">
        <v>2</v>
      </c>
      <c r="T453" s="123">
        <f t="shared" si="37"/>
        <v>0</v>
      </c>
      <c r="U453">
        <f t="shared" si="38"/>
        <v>0</v>
      </c>
      <c r="V453">
        <f t="shared" si="39"/>
        <v>0</v>
      </c>
      <c r="W453">
        <f t="shared" si="40"/>
        <v>0</v>
      </c>
      <c r="X453">
        <f t="shared" si="41"/>
        <v>0</v>
      </c>
    </row>
    <row r="454" spans="1:24">
      <c r="A454" t="s">
        <v>153</v>
      </c>
      <c r="B454">
        <v>4</v>
      </c>
      <c r="C454">
        <v>1</v>
      </c>
      <c r="D454">
        <v>29.321938918464561</v>
      </c>
      <c r="E454">
        <v>26.492014569907539</v>
      </c>
      <c r="F454">
        <v>4.5390865788736354</v>
      </c>
      <c r="G454">
        <v>94.64836088540207</v>
      </c>
      <c r="H454">
        <v>15.32642196693752</v>
      </c>
      <c r="I454">
        <v>0</v>
      </c>
      <c r="J454">
        <v>0</v>
      </c>
      <c r="K454">
        <v>0</v>
      </c>
      <c r="L454">
        <v>1</v>
      </c>
      <c r="M454">
        <v>0</v>
      </c>
      <c r="N454">
        <v>72</v>
      </c>
      <c r="O454">
        <v>25000</v>
      </c>
      <c r="P454">
        <v>2</v>
      </c>
      <c r="Q454">
        <v>1</v>
      </c>
      <c r="R454">
        <v>3</v>
      </c>
      <c r="S454">
        <v>2</v>
      </c>
      <c r="T454" s="123">
        <f t="shared" si="37"/>
        <v>0</v>
      </c>
      <c r="U454">
        <f t="shared" si="38"/>
        <v>0</v>
      </c>
      <c r="V454">
        <f t="shared" si="39"/>
        <v>0</v>
      </c>
      <c r="W454">
        <f t="shared" si="40"/>
        <v>0</v>
      </c>
      <c r="X454">
        <f t="shared" si="41"/>
        <v>0</v>
      </c>
    </row>
    <row r="455" spans="1:24">
      <c r="A455" t="s">
        <v>153</v>
      </c>
      <c r="B455">
        <v>5</v>
      </c>
      <c r="C455">
        <v>1</v>
      </c>
      <c r="D455">
        <v>8.3776968338470148</v>
      </c>
      <c r="E455">
        <v>15.340431493415521</v>
      </c>
      <c r="F455">
        <v>9.8907256934715591</v>
      </c>
      <c r="G455">
        <v>86.270664051555059</v>
      </c>
      <c r="H455">
        <v>4.3149341552255516</v>
      </c>
      <c r="I455">
        <v>0</v>
      </c>
      <c r="J455">
        <v>0</v>
      </c>
      <c r="K455">
        <v>0</v>
      </c>
      <c r="L455">
        <v>1</v>
      </c>
      <c r="M455">
        <v>0</v>
      </c>
      <c r="N455">
        <v>72</v>
      </c>
      <c r="O455">
        <v>25000</v>
      </c>
      <c r="P455">
        <v>2</v>
      </c>
      <c r="Q455">
        <v>1</v>
      </c>
      <c r="R455">
        <v>3</v>
      </c>
      <c r="S455">
        <v>2</v>
      </c>
      <c r="T455" s="123">
        <f t="shared" si="37"/>
        <v>0</v>
      </c>
      <c r="U455">
        <f t="shared" si="38"/>
        <v>0</v>
      </c>
      <c r="V455">
        <f t="shared" si="39"/>
        <v>0</v>
      </c>
      <c r="W455">
        <f t="shared" si="40"/>
        <v>0</v>
      </c>
      <c r="X455">
        <f t="shared" si="41"/>
        <v>0</v>
      </c>
    </row>
    <row r="456" spans="1:24">
      <c r="A456" t="s">
        <v>153</v>
      </c>
      <c r="B456">
        <v>6</v>
      </c>
      <c r="C456">
        <v>1</v>
      </c>
      <c r="D456">
        <v>0</v>
      </c>
      <c r="E456">
        <v>11.75399271504623</v>
      </c>
      <c r="F456">
        <v>17.904174838890452</v>
      </c>
      <c r="G456">
        <v>90.263379097786498</v>
      </c>
      <c r="H456">
        <v>84.477444662370416</v>
      </c>
      <c r="I456">
        <v>0</v>
      </c>
      <c r="J456">
        <v>0</v>
      </c>
      <c r="K456">
        <v>0</v>
      </c>
      <c r="L456">
        <v>1</v>
      </c>
      <c r="M456">
        <v>0</v>
      </c>
      <c r="N456">
        <v>72</v>
      </c>
      <c r="O456">
        <v>25000</v>
      </c>
      <c r="P456">
        <v>2</v>
      </c>
      <c r="Q456">
        <v>1</v>
      </c>
      <c r="R456">
        <v>3</v>
      </c>
      <c r="S456">
        <v>2</v>
      </c>
      <c r="T456" s="123">
        <f t="shared" si="37"/>
        <v>0</v>
      </c>
      <c r="U456">
        <f t="shared" si="38"/>
        <v>0</v>
      </c>
      <c r="V456">
        <f t="shared" si="39"/>
        <v>0</v>
      </c>
      <c r="W456">
        <f t="shared" si="40"/>
        <v>0</v>
      </c>
      <c r="X456">
        <f t="shared" si="41"/>
        <v>0</v>
      </c>
    </row>
    <row r="457" spans="1:24">
      <c r="A457" t="s">
        <v>153</v>
      </c>
      <c r="B457">
        <v>7</v>
      </c>
      <c r="C457">
        <v>1</v>
      </c>
      <c r="D457">
        <v>99.117399831885677</v>
      </c>
      <c r="E457">
        <v>5.239562902773887</v>
      </c>
      <c r="F457">
        <v>16.60128887643598</v>
      </c>
      <c r="G457">
        <v>83.048472961613896</v>
      </c>
      <c r="H457">
        <v>94.760437097226117</v>
      </c>
      <c r="I457">
        <v>0</v>
      </c>
      <c r="J457">
        <v>1</v>
      </c>
      <c r="K457">
        <v>1</v>
      </c>
      <c r="L457">
        <v>1</v>
      </c>
      <c r="M457">
        <v>0</v>
      </c>
      <c r="N457">
        <v>72</v>
      </c>
      <c r="O457">
        <v>25000</v>
      </c>
      <c r="P457">
        <v>2</v>
      </c>
      <c r="Q457">
        <v>1</v>
      </c>
      <c r="R457">
        <v>3</v>
      </c>
      <c r="S457">
        <v>2</v>
      </c>
      <c r="T457" s="123">
        <f t="shared" si="37"/>
        <v>0</v>
      </c>
      <c r="U457">
        <f t="shared" si="38"/>
        <v>0</v>
      </c>
      <c r="V457">
        <f t="shared" si="39"/>
        <v>0</v>
      </c>
      <c r="W457">
        <f t="shared" si="40"/>
        <v>0</v>
      </c>
      <c r="X457">
        <f t="shared" si="41"/>
        <v>0</v>
      </c>
    </row>
    <row r="458" spans="1:24">
      <c r="A458" t="s">
        <v>154</v>
      </c>
      <c r="B458">
        <v>1</v>
      </c>
      <c r="C458">
        <v>1</v>
      </c>
      <c r="D458">
        <v>3.8432473280794581</v>
      </c>
      <c r="E458">
        <v>20.576487099211921</v>
      </c>
      <c r="F458">
        <v>1.975601856849835</v>
      </c>
      <c r="G458">
        <v>96.680341142178563</v>
      </c>
      <c r="H458">
        <v>97.230918708841628</v>
      </c>
      <c r="I458">
        <v>1</v>
      </c>
      <c r="J458">
        <v>0</v>
      </c>
      <c r="K458">
        <v>0</v>
      </c>
      <c r="L458">
        <v>1</v>
      </c>
      <c r="M458">
        <v>0</v>
      </c>
      <c r="N458">
        <v>45</v>
      </c>
      <c r="O458">
        <v>5000</v>
      </c>
      <c r="P458">
        <v>1</v>
      </c>
      <c r="Q458">
        <v>2</v>
      </c>
      <c r="R458">
        <v>3</v>
      </c>
      <c r="S458">
        <v>3</v>
      </c>
      <c r="T458" s="123">
        <f t="shared" si="37"/>
        <v>0</v>
      </c>
      <c r="U458">
        <f t="shared" si="38"/>
        <v>0</v>
      </c>
      <c r="V458">
        <f t="shared" si="39"/>
        <v>0</v>
      </c>
      <c r="W458">
        <f t="shared" si="40"/>
        <v>0</v>
      </c>
      <c r="X458">
        <f t="shared" si="41"/>
        <v>0</v>
      </c>
    </row>
    <row r="459" spans="1:24">
      <c r="A459" t="s">
        <v>154</v>
      </c>
      <c r="B459">
        <v>2</v>
      </c>
      <c r="C459">
        <v>1</v>
      </c>
      <c r="D459">
        <v>13.348807081938901</v>
      </c>
      <c r="E459">
        <v>2.0708582834331359</v>
      </c>
      <c r="F459">
        <v>5.5763473053892234</v>
      </c>
      <c r="G459">
        <v>94.685628742514965</v>
      </c>
      <c r="H459">
        <v>50</v>
      </c>
      <c r="I459">
        <v>0</v>
      </c>
      <c r="J459">
        <v>0</v>
      </c>
      <c r="K459">
        <v>0</v>
      </c>
      <c r="L459">
        <v>1</v>
      </c>
      <c r="M459">
        <v>0</v>
      </c>
      <c r="N459">
        <v>45</v>
      </c>
      <c r="O459">
        <v>5000</v>
      </c>
      <c r="P459">
        <v>1</v>
      </c>
      <c r="Q459">
        <v>2</v>
      </c>
      <c r="R459">
        <v>3</v>
      </c>
      <c r="S459">
        <v>3</v>
      </c>
      <c r="T459" s="123">
        <f t="shared" si="37"/>
        <v>0</v>
      </c>
      <c r="U459">
        <f t="shared" si="38"/>
        <v>0</v>
      </c>
      <c r="V459">
        <f t="shared" si="39"/>
        <v>0</v>
      </c>
      <c r="W459">
        <f t="shared" si="40"/>
        <v>0</v>
      </c>
      <c r="X459">
        <f t="shared" si="41"/>
        <v>0</v>
      </c>
    </row>
    <row r="460" spans="1:24" hidden="1">
      <c r="A460" t="s">
        <v>154</v>
      </c>
      <c r="B460">
        <v>3</v>
      </c>
      <c r="C460">
        <v>1</v>
      </c>
      <c r="D460">
        <v>7.6347305389221578</v>
      </c>
      <c r="E460">
        <v>50</v>
      </c>
      <c r="F460">
        <v>12.450099800399199</v>
      </c>
      <c r="G460">
        <v>21.60678642714571</v>
      </c>
      <c r="H460">
        <v>60.903193612774452</v>
      </c>
      <c r="I460">
        <v>0</v>
      </c>
      <c r="J460">
        <v>0</v>
      </c>
      <c r="K460">
        <v>0</v>
      </c>
      <c r="L460">
        <v>1</v>
      </c>
      <c r="M460">
        <v>0</v>
      </c>
      <c r="N460">
        <v>45</v>
      </c>
      <c r="O460">
        <v>5000</v>
      </c>
      <c r="P460">
        <v>1</v>
      </c>
      <c r="Q460">
        <v>2</v>
      </c>
      <c r="R460">
        <v>3</v>
      </c>
      <c r="S460">
        <v>3</v>
      </c>
      <c r="T460" s="123">
        <f t="shared" si="37"/>
        <v>1</v>
      </c>
      <c r="U460">
        <f t="shared" si="38"/>
        <v>0</v>
      </c>
      <c r="V460">
        <f t="shared" si="39"/>
        <v>0</v>
      </c>
      <c r="W460">
        <f t="shared" si="40"/>
        <v>0</v>
      </c>
      <c r="X460">
        <f t="shared" si="41"/>
        <v>0</v>
      </c>
    </row>
    <row r="461" spans="1:24">
      <c r="A461" t="s">
        <v>154</v>
      </c>
      <c r="B461">
        <v>4</v>
      </c>
      <c r="C461">
        <v>1</v>
      </c>
      <c r="D461">
        <v>50</v>
      </c>
      <c r="E461">
        <v>8.7325349301397246</v>
      </c>
      <c r="F461">
        <v>8.6826347305389238</v>
      </c>
      <c r="G461">
        <v>77.794411177644704</v>
      </c>
      <c r="H461">
        <v>50</v>
      </c>
      <c r="I461">
        <v>0</v>
      </c>
      <c r="J461">
        <v>0</v>
      </c>
      <c r="K461">
        <v>0</v>
      </c>
      <c r="L461">
        <v>1</v>
      </c>
      <c r="M461">
        <v>0</v>
      </c>
      <c r="N461">
        <v>45</v>
      </c>
      <c r="O461">
        <v>5000</v>
      </c>
      <c r="P461">
        <v>1</v>
      </c>
      <c r="Q461">
        <v>2</v>
      </c>
      <c r="R461">
        <v>3</v>
      </c>
      <c r="S461">
        <v>3</v>
      </c>
      <c r="T461" s="123">
        <f t="shared" si="37"/>
        <v>0</v>
      </c>
      <c r="U461">
        <f t="shared" si="38"/>
        <v>0</v>
      </c>
      <c r="V461">
        <f t="shared" si="39"/>
        <v>0</v>
      </c>
      <c r="W461">
        <f t="shared" si="40"/>
        <v>0</v>
      </c>
      <c r="X461">
        <f t="shared" si="41"/>
        <v>0</v>
      </c>
    </row>
    <row r="462" spans="1:24">
      <c r="A462" t="s">
        <v>154</v>
      </c>
      <c r="B462">
        <v>5</v>
      </c>
      <c r="C462">
        <v>1</v>
      </c>
      <c r="D462">
        <v>3.1187624750499019</v>
      </c>
      <c r="E462">
        <v>3.9545908183632741</v>
      </c>
      <c r="F462">
        <v>12.799401197604791</v>
      </c>
      <c r="G462">
        <v>50</v>
      </c>
      <c r="H462">
        <v>95.047405189620761</v>
      </c>
      <c r="I462">
        <v>0</v>
      </c>
      <c r="J462">
        <v>0</v>
      </c>
      <c r="K462">
        <v>0</v>
      </c>
      <c r="L462">
        <v>1</v>
      </c>
      <c r="M462">
        <v>0</v>
      </c>
      <c r="N462">
        <v>45</v>
      </c>
      <c r="O462">
        <v>5000</v>
      </c>
      <c r="P462">
        <v>1</v>
      </c>
      <c r="Q462">
        <v>2</v>
      </c>
      <c r="R462">
        <v>3</v>
      </c>
      <c r="S462">
        <v>3</v>
      </c>
      <c r="T462" s="123">
        <f t="shared" si="37"/>
        <v>0</v>
      </c>
      <c r="U462">
        <f t="shared" si="38"/>
        <v>0</v>
      </c>
      <c r="V462">
        <f t="shared" si="39"/>
        <v>0</v>
      </c>
      <c r="W462">
        <f t="shared" si="40"/>
        <v>0</v>
      </c>
      <c r="X462">
        <f t="shared" si="41"/>
        <v>0</v>
      </c>
    </row>
    <row r="463" spans="1:24">
      <c r="A463" t="s">
        <v>154</v>
      </c>
      <c r="B463">
        <v>6</v>
      </c>
      <c r="C463">
        <v>1</v>
      </c>
      <c r="D463">
        <v>5.5763473053892234</v>
      </c>
      <c r="E463">
        <v>5.7509980039920139</v>
      </c>
      <c r="F463">
        <v>4.3163672654690624</v>
      </c>
      <c r="G463">
        <v>79.653193612774459</v>
      </c>
      <c r="H463">
        <v>60.703592814371262</v>
      </c>
      <c r="I463">
        <v>0</v>
      </c>
      <c r="J463">
        <v>0</v>
      </c>
      <c r="K463">
        <v>0</v>
      </c>
      <c r="L463">
        <v>1</v>
      </c>
      <c r="M463">
        <v>0</v>
      </c>
      <c r="N463">
        <v>45</v>
      </c>
      <c r="O463">
        <v>5000</v>
      </c>
      <c r="P463">
        <v>1</v>
      </c>
      <c r="Q463">
        <v>2</v>
      </c>
      <c r="R463">
        <v>3</v>
      </c>
      <c r="S463">
        <v>3</v>
      </c>
      <c r="T463" s="123">
        <f t="shared" si="37"/>
        <v>0</v>
      </c>
      <c r="U463">
        <f t="shared" si="38"/>
        <v>0</v>
      </c>
      <c r="V463">
        <f t="shared" si="39"/>
        <v>0</v>
      </c>
      <c r="W463">
        <f t="shared" si="40"/>
        <v>0</v>
      </c>
      <c r="X463">
        <f t="shared" si="41"/>
        <v>0</v>
      </c>
    </row>
    <row r="464" spans="1:24">
      <c r="A464" t="s">
        <v>154</v>
      </c>
      <c r="B464">
        <v>7</v>
      </c>
      <c r="C464">
        <v>1</v>
      </c>
      <c r="D464">
        <v>42.240518962075853</v>
      </c>
      <c r="E464">
        <v>0</v>
      </c>
      <c r="F464">
        <v>2.6322355289421169</v>
      </c>
      <c r="G464">
        <v>100</v>
      </c>
      <c r="H464">
        <v>90.968063872255485</v>
      </c>
      <c r="I464">
        <v>0</v>
      </c>
      <c r="J464">
        <v>1</v>
      </c>
      <c r="K464">
        <v>0</v>
      </c>
      <c r="L464">
        <v>1</v>
      </c>
      <c r="M464">
        <v>0</v>
      </c>
      <c r="N464">
        <v>45</v>
      </c>
      <c r="O464">
        <v>5000</v>
      </c>
      <c r="P464">
        <v>1</v>
      </c>
      <c r="Q464">
        <v>2</v>
      </c>
      <c r="R464">
        <v>3</v>
      </c>
      <c r="S464">
        <v>3</v>
      </c>
      <c r="T464" s="123">
        <f t="shared" si="37"/>
        <v>0</v>
      </c>
      <c r="U464">
        <f t="shared" si="38"/>
        <v>0</v>
      </c>
      <c r="V464">
        <f t="shared" si="39"/>
        <v>0</v>
      </c>
      <c r="W464">
        <f t="shared" si="40"/>
        <v>0</v>
      </c>
      <c r="X464">
        <f t="shared" si="41"/>
        <v>0</v>
      </c>
    </row>
    <row r="465" spans="1:24">
      <c r="A465" t="s">
        <v>155</v>
      </c>
      <c r="B465">
        <v>1</v>
      </c>
      <c r="C465">
        <v>1</v>
      </c>
      <c r="D465">
        <v>83.967136150234751</v>
      </c>
      <c r="E465">
        <v>98.920187793427232</v>
      </c>
      <c r="F465">
        <v>95.938967136150239</v>
      </c>
      <c r="G465">
        <v>5.4812206572769977</v>
      </c>
      <c r="H465">
        <v>9.7887323943661961</v>
      </c>
      <c r="I465">
        <v>1</v>
      </c>
      <c r="J465">
        <v>0</v>
      </c>
      <c r="K465">
        <v>1</v>
      </c>
      <c r="L465">
        <v>1</v>
      </c>
      <c r="M465">
        <v>0</v>
      </c>
      <c r="N465">
        <v>34</v>
      </c>
      <c r="O465">
        <v>35000</v>
      </c>
      <c r="P465">
        <v>5</v>
      </c>
      <c r="Q465">
        <v>3</v>
      </c>
      <c r="R465">
        <v>4</v>
      </c>
      <c r="S465">
        <v>3</v>
      </c>
      <c r="T465" s="123">
        <f t="shared" si="37"/>
        <v>0</v>
      </c>
      <c r="U465">
        <f t="shared" si="38"/>
        <v>1</v>
      </c>
      <c r="V465">
        <f t="shared" si="39"/>
        <v>0</v>
      </c>
      <c r="W465">
        <f t="shared" si="40"/>
        <v>1</v>
      </c>
      <c r="X465">
        <f t="shared" si="41"/>
        <v>0</v>
      </c>
    </row>
    <row r="466" spans="1:24">
      <c r="A466" t="s">
        <v>155</v>
      </c>
      <c r="B466">
        <v>2</v>
      </c>
      <c r="C466">
        <v>1</v>
      </c>
      <c r="D466">
        <v>89.072769953051647</v>
      </c>
      <c r="E466">
        <v>99.77699530516432</v>
      </c>
      <c r="F466">
        <v>97.124413145539904</v>
      </c>
      <c r="G466">
        <v>9.4600938967136177</v>
      </c>
      <c r="H466">
        <v>3.2746478873239449</v>
      </c>
      <c r="I466">
        <v>0</v>
      </c>
      <c r="J466">
        <v>0</v>
      </c>
      <c r="K466">
        <v>1</v>
      </c>
      <c r="L466">
        <v>1</v>
      </c>
      <c r="M466">
        <v>0</v>
      </c>
      <c r="N466">
        <v>34</v>
      </c>
      <c r="O466">
        <v>35000</v>
      </c>
      <c r="P466">
        <v>5</v>
      </c>
      <c r="Q466">
        <v>3</v>
      </c>
      <c r="R466">
        <v>4</v>
      </c>
      <c r="S466">
        <v>3</v>
      </c>
      <c r="T466" s="123">
        <f t="shared" si="37"/>
        <v>0</v>
      </c>
      <c r="U466">
        <f t="shared" si="38"/>
        <v>1</v>
      </c>
      <c r="V466">
        <f t="shared" si="39"/>
        <v>0</v>
      </c>
      <c r="W466">
        <f t="shared" si="40"/>
        <v>1</v>
      </c>
      <c r="X466">
        <f t="shared" si="41"/>
        <v>0</v>
      </c>
    </row>
    <row r="467" spans="1:24" hidden="1">
      <c r="A467" t="s">
        <v>155</v>
      </c>
      <c r="B467">
        <v>3</v>
      </c>
      <c r="C467">
        <v>1</v>
      </c>
      <c r="D467">
        <v>15.26995305164319</v>
      </c>
      <c r="E467">
        <v>3.3450704225352119</v>
      </c>
      <c r="F467">
        <v>2.2887323943662001</v>
      </c>
      <c r="G467">
        <v>4.0727699530516412</v>
      </c>
      <c r="H467">
        <v>0.36384976525821727</v>
      </c>
      <c r="I467">
        <v>0</v>
      </c>
      <c r="J467">
        <v>0</v>
      </c>
      <c r="K467">
        <v>0</v>
      </c>
      <c r="L467">
        <v>1</v>
      </c>
      <c r="M467">
        <v>0</v>
      </c>
      <c r="N467">
        <v>34</v>
      </c>
      <c r="O467">
        <v>35000</v>
      </c>
      <c r="P467">
        <v>5</v>
      </c>
      <c r="Q467">
        <v>3</v>
      </c>
      <c r="R467">
        <v>4</v>
      </c>
      <c r="S467">
        <v>3</v>
      </c>
      <c r="T467" s="123">
        <f t="shared" si="37"/>
        <v>1</v>
      </c>
      <c r="U467">
        <f t="shared" si="38"/>
        <v>1</v>
      </c>
      <c r="V467">
        <f t="shared" si="39"/>
        <v>0</v>
      </c>
      <c r="W467">
        <f t="shared" si="40"/>
        <v>1</v>
      </c>
      <c r="X467">
        <f t="shared" si="41"/>
        <v>0</v>
      </c>
    </row>
    <row r="468" spans="1:24">
      <c r="A468" t="s">
        <v>155</v>
      </c>
      <c r="B468">
        <v>4</v>
      </c>
      <c r="C468">
        <v>1</v>
      </c>
      <c r="D468">
        <v>98.263057019645416</v>
      </c>
      <c r="E468">
        <v>96.550071873502645</v>
      </c>
      <c r="F468">
        <v>94.166267369429804</v>
      </c>
      <c r="G468">
        <v>11.044561571633929</v>
      </c>
      <c r="H468">
        <v>50</v>
      </c>
      <c r="I468">
        <v>0</v>
      </c>
      <c r="J468">
        <v>0</v>
      </c>
      <c r="K468">
        <v>1</v>
      </c>
      <c r="L468">
        <v>1</v>
      </c>
      <c r="M468">
        <v>0</v>
      </c>
      <c r="N468">
        <v>34</v>
      </c>
      <c r="O468">
        <v>35000</v>
      </c>
      <c r="P468">
        <v>5</v>
      </c>
      <c r="Q468">
        <v>3</v>
      </c>
      <c r="R468">
        <v>4</v>
      </c>
      <c r="S468">
        <v>3</v>
      </c>
      <c r="T468" s="123">
        <f t="shared" si="37"/>
        <v>0</v>
      </c>
      <c r="U468">
        <f t="shared" si="38"/>
        <v>1</v>
      </c>
      <c r="V468">
        <f t="shared" si="39"/>
        <v>0</v>
      </c>
      <c r="W468">
        <f t="shared" si="40"/>
        <v>1</v>
      </c>
      <c r="X468">
        <f t="shared" si="41"/>
        <v>0</v>
      </c>
    </row>
    <row r="469" spans="1:24">
      <c r="A469" t="s">
        <v>155</v>
      </c>
      <c r="B469">
        <v>5</v>
      </c>
      <c r="C469">
        <v>1</v>
      </c>
      <c r="D469">
        <v>5.9535218016291358</v>
      </c>
      <c r="E469">
        <v>3.8811691423095369</v>
      </c>
      <c r="F469">
        <v>5.3066602779108791</v>
      </c>
      <c r="G469">
        <v>85.026353617632964</v>
      </c>
      <c r="H469">
        <v>5.9415428845232379</v>
      </c>
      <c r="I469">
        <v>0</v>
      </c>
      <c r="J469">
        <v>0</v>
      </c>
      <c r="K469">
        <v>0</v>
      </c>
      <c r="L469">
        <v>1</v>
      </c>
      <c r="M469">
        <v>0</v>
      </c>
      <c r="N469">
        <v>34</v>
      </c>
      <c r="O469">
        <v>35000</v>
      </c>
      <c r="P469">
        <v>5</v>
      </c>
      <c r="Q469">
        <v>3</v>
      </c>
      <c r="R469">
        <v>4</v>
      </c>
      <c r="S469">
        <v>3</v>
      </c>
      <c r="T469" s="123">
        <f t="shared" si="37"/>
        <v>0</v>
      </c>
      <c r="U469">
        <f t="shared" si="38"/>
        <v>1</v>
      </c>
      <c r="V469">
        <f t="shared" si="39"/>
        <v>0</v>
      </c>
      <c r="W469">
        <f t="shared" si="40"/>
        <v>1</v>
      </c>
      <c r="X469">
        <f t="shared" si="41"/>
        <v>0</v>
      </c>
    </row>
    <row r="470" spans="1:24">
      <c r="A470" t="s">
        <v>155</v>
      </c>
      <c r="B470">
        <v>6</v>
      </c>
      <c r="C470">
        <v>1</v>
      </c>
      <c r="D470">
        <v>0</v>
      </c>
      <c r="E470">
        <v>2.0483948251078079</v>
      </c>
      <c r="F470">
        <v>1.2098706276952591</v>
      </c>
      <c r="G470">
        <v>77.994729276473407</v>
      </c>
      <c r="H470">
        <v>0</v>
      </c>
      <c r="I470">
        <v>0</v>
      </c>
      <c r="J470">
        <v>0</v>
      </c>
      <c r="K470">
        <v>0</v>
      </c>
      <c r="L470">
        <v>1</v>
      </c>
      <c r="M470">
        <v>0</v>
      </c>
      <c r="N470">
        <v>34</v>
      </c>
      <c r="O470">
        <v>35000</v>
      </c>
      <c r="P470">
        <v>5</v>
      </c>
      <c r="Q470">
        <v>3</v>
      </c>
      <c r="R470">
        <v>4</v>
      </c>
      <c r="S470">
        <v>3</v>
      </c>
      <c r="T470" s="123">
        <f t="shared" si="37"/>
        <v>0</v>
      </c>
      <c r="U470">
        <f t="shared" si="38"/>
        <v>1</v>
      </c>
      <c r="V470">
        <f t="shared" si="39"/>
        <v>0</v>
      </c>
      <c r="W470">
        <f t="shared" si="40"/>
        <v>1</v>
      </c>
      <c r="X470">
        <f t="shared" si="41"/>
        <v>0</v>
      </c>
    </row>
    <row r="471" spans="1:24" hidden="1">
      <c r="A471" t="s">
        <v>155</v>
      </c>
      <c r="B471">
        <v>7</v>
      </c>
      <c r="C471">
        <v>1</v>
      </c>
      <c r="D471">
        <v>4.3243890752275966</v>
      </c>
      <c r="E471">
        <v>10.97268806899856</v>
      </c>
      <c r="F471">
        <v>1.772879731672256</v>
      </c>
      <c r="G471">
        <v>2.5874460948730249</v>
      </c>
      <c r="H471">
        <v>10.122184954480121</v>
      </c>
      <c r="I471">
        <v>0</v>
      </c>
      <c r="J471">
        <v>1</v>
      </c>
      <c r="K471">
        <v>0</v>
      </c>
      <c r="L471">
        <v>1</v>
      </c>
      <c r="M471">
        <v>0</v>
      </c>
      <c r="N471">
        <v>34</v>
      </c>
      <c r="O471">
        <v>35000</v>
      </c>
      <c r="P471">
        <v>5</v>
      </c>
      <c r="Q471">
        <v>3</v>
      </c>
      <c r="R471">
        <v>4</v>
      </c>
      <c r="S471">
        <v>3</v>
      </c>
      <c r="T471" s="123">
        <f t="shared" si="37"/>
        <v>1</v>
      </c>
      <c r="U471">
        <f t="shared" si="38"/>
        <v>1</v>
      </c>
      <c r="V471">
        <f t="shared" si="39"/>
        <v>0</v>
      </c>
      <c r="W471">
        <f t="shared" si="40"/>
        <v>1</v>
      </c>
      <c r="X471">
        <f t="shared" si="41"/>
        <v>0</v>
      </c>
    </row>
    <row r="472" spans="1:24">
      <c r="A472" t="s">
        <v>156</v>
      </c>
      <c r="B472">
        <v>1</v>
      </c>
      <c r="C472">
        <v>1</v>
      </c>
      <c r="D472">
        <v>3.7201554691837888</v>
      </c>
      <c r="E472">
        <v>4.7196002220988351</v>
      </c>
      <c r="F472">
        <v>5.0712567092356107</v>
      </c>
      <c r="G472">
        <v>97.501388117712381</v>
      </c>
      <c r="H472">
        <v>11.73422172866926</v>
      </c>
      <c r="I472">
        <v>1</v>
      </c>
      <c r="J472">
        <v>0</v>
      </c>
      <c r="K472">
        <v>0</v>
      </c>
      <c r="L472">
        <v>1</v>
      </c>
      <c r="M472">
        <v>0</v>
      </c>
      <c r="N472">
        <v>30</v>
      </c>
      <c r="O472">
        <v>50000</v>
      </c>
      <c r="P472">
        <v>1</v>
      </c>
      <c r="Q472">
        <v>2</v>
      </c>
      <c r="R472">
        <v>2</v>
      </c>
      <c r="S472">
        <v>4</v>
      </c>
      <c r="T472" s="123">
        <f t="shared" si="37"/>
        <v>0</v>
      </c>
      <c r="U472">
        <f t="shared" si="38"/>
        <v>0</v>
      </c>
      <c r="V472">
        <f t="shared" si="39"/>
        <v>0</v>
      </c>
      <c r="W472">
        <f t="shared" si="40"/>
        <v>0</v>
      </c>
      <c r="X472">
        <f t="shared" si="41"/>
        <v>1</v>
      </c>
    </row>
    <row r="473" spans="1:24">
      <c r="A473" t="s">
        <v>156</v>
      </c>
      <c r="B473">
        <v>2</v>
      </c>
      <c r="C473">
        <v>1</v>
      </c>
      <c r="D473">
        <v>81.195632056265026</v>
      </c>
      <c r="E473">
        <v>2.0173977419951861</v>
      </c>
      <c r="F473">
        <v>90.560799555802333</v>
      </c>
      <c r="G473">
        <v>8.3657227466222448</v>
      </c>
      <c r="H473">
        <v>4.96020729224505</v>
      </c>
      <c r="I473">
        <v>0</v>
      </c>
      <c r="J473">
        <v>0</v>
      </c>
      <c r="K473">
        <v>1</v>
      </c>
      <c r="L473">
        <v>1</v>
      </c>
      <c r="M473">
        <v>0</v>
      </c>
      <c r="N473">
        <v>30</v>
      </c>
      <c r="O473">
        <v>50000</v>
      </c>
      <c r="P473">
        <v>1</v>
      </c>
      <c r="Q473">
        <v>2</v>
      </c>
      <c r="R473">
        <v>2</v>
      </c>
      <c r="S473">
        <v>4</v>
      </c>
      <c r="T473" s="123">
        <f t="shared" si="37"/>
        <v>0</v>
      </c>
      <c r="U473">
        <f t="shared" si="38"/>
        <v>0</v>
      </c>
      <c r="V473">
        <f t="shared" si="39"/>
        <v>0</v>
      </c>
      <c r="W473">
        <f t="shared" si="40"/>
        <v>0</v>
      </c>
      <c r="X473">
        <f t="shared" si="41"/>
        <v>1</v>
      </c>
    </row>
    <row r="474" spans="1:24">
      <c r="A474" t="s">
        <v>156</v>
      </c>
      <c r="B474">
        <v>3</v>
      </c>
      <c r="C474">
        <v>1</v>
      </c>
      <c r="D474">
        <v>9.0920038535645453</v>
      </c>
      <c r="E474">
        <v>5.7201348747591529</v>
      </c>
      <c r="F474">
        <v>4.383429672447015</v>
      </c>
      <c r="G474">
        <v>85.910404624277461</v>
      </c>
      <c r="H474">
        <v>50</v>
      </c>
      <c r="I474">
        <v>0</v>
      </c>
      <c r="J474">
        <v>0</v>
      </c>
      <c r="K474">
        <v>0</v>
      </c>
      <c r="L474">
        <v>1</v>
      </c>
      <c r="M474">
        <v>0</v>
      </c>
      <c r="N474">
        <v>30</v>
      </c>
      <c r="O474">
        <v>50000</v>
      </c>
      <c r="P474">
        <v>1</v>
      </c>
      <c r="Q474">
        <v>2</v>
      </c>
      <c r="R474">
        <v>2</v>
      </c>
      <c r="S474">
        <v>4</v>
      </c>
      <c r="T474" s="123">
        <f t="shared" si="37"/>
        <v>0</v>
      </c>
      <c r="U474">
        <f t="shared" si="38"/>
        <v>0</v>
      </c>
      <c r="V474">
        <f t="shared" si="39"/>
        <v>0</v>
      </c>
      <c r="W474">
        <f t="shared" si="40"/>
        <v>0</v>
      </c>
      <c r="X474">
        <f t="shared" si="41"/>
        <v>1</v>
      </c>
    </row>
    <row r="475" spans="1:24">
      <c r="A475" t="s">
        <v>156</v>
      </c>
      <c r="B475">
        <v>4</v>
      </c>
      <c r="C475">
        <v>1</v>
      </c>
      <c r="D475">
        <v>2.793834296724468</v>
      </c>
      <c r="E475">
        <v>6.6353564547206147</v>
      </c>
      <c r="F475">
        <v>14.8723506743738</v>
      </c>
      <c r="G475">
        <v>97.206165703275531</v>
      </c>
      <c r="H475">
        <v>96.0019267822736</v>
      </c>
      <c r="I475">
        <v>0</v>
      </c>
      <c r="J475">
        <v>0</v>
      </c>
      <c r="K475">
        <v>0</v>
      </c>
      <c r="L475">
        <v>1</v>
      </c>
      <c r="M475">
        <v>0</v>
      </c>
      <c r="N475">
        <v>30</v>
      </c>
      <c r="O475">
        <v>50000</v>
      </c>
      <c r="P475">
        <v>1</v>
      </c>
      <c r="Q475">
        <v>2</v>
      </c>
      <c r="R475">
        <v>2</v>
      </c>
      <c r="S475">
        <v>4</v>
      </c>
      <c r="T475" s="123">
        <f t="shared" si="37"/>
        <v>0</v>
      </c>
      <c r="U475">
        <f t="shared" si="38"/>
        <v>0</v>
      </c>
      <c r="V475">
        <f t="shared" si="39"/>
        <v>0</v>
      </c>
      <c r="W475">
        <f t="shared" si="40"/>
        <v>0</v>
      </c>
      <c r="X475">
        <f t="shared" si="41"/>
        <v>1</v>
      </c>
    </row>
    <row r="476" spans="1:24" hidden="1">
      <c r="A476" t="s">
        <v>156</v>
      </c>
      <c r="B476">
        <v>5</v>
      </c>
      <c r="C476">
        <v>1</v>
      </c>
      <c r="D476">
        <v>5.2143545279383421</v>
      </c>
      <c r="E476">
        <v>6.9123314065510586</v>
      </c>
      <c r="F476">
        <v>2.9383429672446999</v>
      </c>
      <c r="G476">
        <v>0</v>
      </c>
      <c r="H476">
        <v>92.425337186897877</v>
      </c>
      <c r="I476">
        <v>0</v>
      </c>
      <c r="J476">
        <v>0</v>
      </c>
      <c r="K476">
        <v>0</v>
      </c>
      <c r="L476">
        <v>1</v>
      </c>
      <c r="M476">
        <v>0</v>
      </c>
      <c r="N476">
        <v>30</v>
      </c>
      <c r="O476">
        <v>50000</v>
      </c>
      <c r="P476">
        <v>1</v>
      </c>
      <c r="Q476">
        <v>2</v>
      </c>
      <c r="R476">
        <v>2</v>
      </c>
      <c r="S476">
        <v>4</v>
      </c>
      <c r="T476" s="123">
        <f t="shared" si="37"/>
        <v>1</v>
      </c>
      <c r="U476">
        <f t="shared" si="38"/>
        <v>0</v>
      </c>
      <c r="V476">
        <f t="shared" si="39"/>
        <v>0</v>
      </c>
      <c r="W476">
        <f t="shared" si="40"/>
        <v>0</v>
      </c>
      <c r="X476">
        <f t="shared" si="41"/>
        <v>1</v>
      </c>
    </row>
    <row r="477" spans="1:24">
      <c r="A477" t="s">
        <v>156</v>
      </c>
      <c r="B477">
        <v>6</v>
      </c>
      <c r="C477">
        <v>1</v>
      </c>
      <c r="D477">
        <v>8.3092485549132959</v>
      </c>
      <c r="E477">
        <v>7.4421965317919057</v>
      </c>
      <c r="F477">
        <v>14.08959537572254</v>
      </c>
      <c r="G477">
        <v>96.748554913294797</v>
      </c>
      <c r="H477">
        <v>93.400770712909448</v>
      </c>
      <c r="I477">
        <v>0</v>
      </c>
      <c r="J477">
        <v>0</v>
      </c>
      <c r="K477">
        <v>0</v>
      </c>
      <c r="L477">
        <v>1</v>
      </c>
      <c r="M477">
        <v>0</v>
      </c>
      <c r="N477">
        <v>30</v>
      </c>
      <c r="O477">
        <v>50000</v>
      </c>
      <c r="P477">
        <v>1</v>
      </c>
      <c r="Q477">
        <v>2</v>
      </c>
      <c r="R477">
        <v>2</v>
      </c>
      <c r="S477">
        <v>4</v>
      </c>
      <c r="T477" s="123">
        <f t="shared" si="37"/>
        <v>0</v>
      </c>
      <c r="U477">
        <f t="shared" si="38"/>
        <v>0</v>
      </c>
      <c r="V477">
        <f t="shared" si="39"/>
        <v>0</v>
      </c>
      <c r="W477">
        <f t="shared" si="40"/>
        <v>0</v>
      </c>
      <c r="X477">
        <f t="shared" si="41"/>
        <v>1</v>
      </c>
    </row>
    <row r="478" spans="1:24">
      <c r="A478" t="s">
        <v>156</v>
      </c>
      <c r="B478">
        <v>7</v>
      </c>
      <c r="C478">
        <v>1</v>
      </c>
      <c r="D478">
        <v>3.588631984585744</v>
      </c>
      <c r="E478">
        <v>4.1064547206165702</v>
      </c>
      <c r="F478">
        <v>5.4311175337186874</v>
      </c>
      <c r="G478">
        <v>86.644990366088635</v>
      </c>
      <c r="H478">
        <v>75.373314065510598</v>
      </c>
      <c r="I478">
        <v>0</v>
      </c>
      <c r="J478">
        <v>1</v>
      </c>
      <c r="K478">
        <v>0</v>
      </c>
      <c r="L478">
        <v>1</v>
      </c>
      <c r="M478">
        <v>0</v>
      </c>
      <c r="N478">
        <v>30</v>
      </c>
      <c r="O478">
        <v>50000</v>
      </c>
      <c r="P478">
        <v>1</v>
      </c>
      <c r="Q478">
        <v>2</v>
      </c>
      <c r="R478">
        <v>2</v>
      </c>
      <c r="S478">
        <v>4</v>
      </c>
      <c r="T478" s="123">
        <f t="shared" si="37"/>
        <v>0</v>
      </c>
      <c r="U478">
        <f t="shared" si="38"/>
        <v>0</v>
      </c>
      <c r="V478">
        <f t="shared" si="39"/>
        <v>0</v>
      </c>
      <c r="W478">
        <f t="shared" si="40"/>
        <v>0</v>
      </c>
      <c r="X478">
        <f t="shared" si="41"/>
        <v>1</v>
      </c>
    </row>
    <row r="479" spans="1:24">
      <c r="A479" t="s">
        <v>157</v>
      </c>
      <c r="B479">
        <v>1</v>
      </c>
      <c r="C479">
        <v>1</v>
      </c>
      <c r="D479">
        <v>100</v>
      </c>
      <c r="E479">
        <v>0</v>
      </c>
      <c r="F479">
        <v>100</v>
      </c>
      <c r="G479">
        <v>0</v>
      </c>
      <c r="H479">
        <v>0</v>
      </c>
      <c r="I479">
        <v>1</v>
      </c>
      <c r="J479">
        <v>0</v>
      </c>
      <c r="K479">
        <v>1</v>
      </c>
      <c r="L479">
        <v>1</v>
      </c>
      <c r="M479">
        <v>0</v>
      </c>
      <c r="N479">
        <v>32</v>
      </c>
      <c r="O479">
        <v>-99</v>
      </c>
      <c r="P479">
        <v>1</v>
      </c>
      <c r="Q479">
        <v>2</v>
      </c>
      <c r="R479">
        <v>3</v>
      </c>
      <c r="S479">
        <v>4</v>
      </c>
      <c r="T479" s="123">
        <f t="shared" si="37"/>
        <v>0</v>
      </c>
      <c r="U479">
        <f t="shared" si="38"/>
        <v>0</v>
      </c>
      <c r="V479">
        <f t="shared" si="39"/>
        <v>0</v>
      </c>
      <c r="W479">
        <f t="shared" si="40"/>
        <v>0</v>
      </c>
      <c r="X479">
        <f t="shared" si="41"/>
        <v>1</v>
      </c>
    </row>
    <row r="480" spans="1:24" hidden="1">
      <c r="A480" t="s">
        <v>157</v>
      </c>
      <c r="B480">
        <v>2</v>
      </c>
      <c r="C480">
        <v>1</v>
      </c>
      <c r="D480">
        <v>100</v>
      </c>
      <c r="E480">
        <v>96.914893617021278</v>
      </c>
      <c r="F480">
        <v>99.202127659574472</v>
      </c>
      <c r="G480">
        <v>96.042553191489361</v>
      </c>
      <c r="H480">
        <v>50</v>
      </c>
      <c r="I480">
        <v>0</v>
      </c>
      <c r="J480">
        <v>0</v>
      </c>
      <c r="K480">
        <v>1</v>
      </c>
      <c r="L480">
        <v>1</v>
      </c>
      <c r="M480">
        <v>0</v>
      </c>
      <c r="N480">
        <v>32</v>
      </c>
      <c r="O480">
        <v>-99</v>
      </c>
      <c r="P480">
        <v>1</v>
      </c>
      <c r="Q480">
        <v>2</v>
      </c>
      <c r="R480">
        <v>3</v>
      </c>
      <c r="S480">
        <v>4</v>
      </c>
      <c r="T480" s="123">
        <f t="shared" si="37"/>
        <v>1</v>
      </c>
      <c r="U480">
        <f t="shared" si="38"/>
        <v>0</v>
      </c>
      <c r="V480">
        <f t="shared" si="39"/>
        <v>0</v>
      </c>
      <c r="W480">
        <f t="shared" si="40"/>
        <v>0</v>
      </c>
      <c r="X480">
        <f t="shared" si="41"/>
        <v>1</v>
      </c>
    </row>
    <row r="481" spans="1:24">
      <c r="A481" t="s">
        <v>157</v>
      </c>
      <c r="B481">
        <v>3</v>
      </c>
      <c r="C481">
        <v>1</v>
      </c>
      <c r="D481">
        <v>100</v>
      </c>
      <c r="E481">
        <v>100</v>
      </c>
      <c r="F481">
        <v>100</v>
      </c>
      <c r="G481">
        <v>0</v>
      </c>
      <c r="H481">
        <v>0</v>
      </c>
      <c r="I481">
        <v>0</v>
      </c>
      <c r="J481">
        <v>0</v>
      </c>
      <c r="K481">
        <v>1</v>
      </c>
      <c r="L481">
        <v>1</v>
      </c>
      <c r="M481">
        <v>0</v>
      </c>
      <c r="N481">
        <v>32</v>
      </c>
      <c r="O481">
        <v>-99</v>
      </c>
      <c r="P481">
        <v>1</v>
      </c>
      <c r="Q481">
        <v>2</v>
      </c>
      <c r="R481">
        <v>3</v>
      </c>
      <c r="S481">
        <v>4</v>
      </c>
      <c r="T481" s="123">
        <f t="shared" si="37"/>
        <v>0</v>
      </c>
      <c r="U481">
        <f t="shared" si="38"/>
        <v>0</v>
      </c>
      <c r="V481">
        <f t="shared" si="39"/>
        <v>0</v>
      </c>
      <c r="W481">
        <f t="shared" si="40"/>
        <v>0</v>
      </c>
      <c r="X481">
        <f t="shared" si="41"/>
        <v>1</v>
      </c>
    </row>
    <row r="482" spans="1:24">
      <c r="A482" t="s">
        <v>157</v>
      </c>
      <c r="B482">
        <v>4</v>
      </c>
      <c r="C482">
        <v>1</v>
      </c>
      <c r="D482">
        <v>0</v>
      </c>
      <c r="E482">
        <v>100</v>
      </c>
      <c r="F482">
        <v>100</v>
      </c>
      <c r="G482">
        <v>0</v>
      </c>
      <c r="H482">
        <v>0</v>
      </c>
      <c r="I482">
        <v>0</v>
      </c>
      <c r="J482">
        <v>0</v>
      </c>
      <c r="K482">
        <v>0</v>
      </c>
      <c r="L482">
        <v>1</v>
      </c>
      <c r="M482">
        <v>0</v>
      </c>
      <c r="N482">
        <v>32</v>
      </c>
      <c r="O482">
        <v>-99</v>
      </c>
      <c r="P482">
        <v>1</v>
      </c>
      <c r="Q482">
        <v>2</v>
      </c>
      <c r="R482">
        <v>3</v>
      </c>
      <c r="S482">
        <v>4</v>
      </c>
      <c r="T482" s="123">
        <f t="shared" si="37"/>
        <v>0</v>
      </c>
      <c r="U482">
        <f t="shared" si="38"/>
        <v>0</v>
      </c>
      <c r="V482">
        <f t="shared" si="39"/>
        <v>0</v>
      </c>
      <c r="W482">
        <f t="shared" si="40"/>
        <v>0</v>
      </c>
      <c r="X482">
        <f t="shared" si="41"/>
        <v>1</v>
      </c>
    </row>
    <row r="483" spans="1:24">
      <c r="A483" t="s">
        <v>157</v>
      </c>
      <c r="B483">
        <v>5</v>
      </c>
      <c r="C483">
        <v>1</v>
      </c>
      <c r="D483">
        <v>0</v>
      </c>
      <c r="E483">
        <v>100</v>
      </c>
      <c r="F483">
        <v>100</v>
      </c>
      <c r="G483">
        <v>0</v>
      </c>
      <c r="H483">
        <v>0</v>
      </c>
      <c r="I483">
        <v>0</v>
      </c>
      <c r="J483">
        <v>0</v>
      </c>
      <c r="K483">
        <v>0</v>
      </c>
      <c r="L483">
        <v>1</v>
      </c>
      <c r="M483">
        <v>0</v>
      </c>
      <c r="N483">
        <v>32</v>
      </c>
      <c r="O483">
        <v>-99</v>
      </c>
      <c r="P483">
        <v>1</v>
      </c>
      <c r="Q483">
        <v>2</v>
      </c>
      <c r="R483">
        <v>3</v>
      </c>
      <c r="S483">
        <v>4</v>
      </c>
      <c r="T483" s="123">
        <f t="shared" si="37"/>
        <v>0</v>
      </c>
      <c r="U483">
        <f t="shared" si="38"/>
        <v>0</v>
      </c>
      <c r="V483">
        <f t="shared" si="39"/>
        <v>0</v>
      </c>
      <c r="W483">
        <f t="shared" si="40"/>
        <v>0</v>
      </c>
      <c r="X483">
        <f t="shared" si="41"/>
        <v>1</v>
      </c>
    </row>
    <row r="484" spans="1:24">
      <c r="A484" t="s">
        <v>157</v>
      </c>
      <c r="B484">
        <v>6</v>
      </c>
      <c r="C484">
        <v>1</v>
      </c>
      <c r="D484">
        <v>99.851063829787236</v>
      </c>
      <c r="E484">
        <v>0.14893617021276559</v>
      </c>
      <c r="F484">
        <v>99.829787234042556</v>
      </c>
      <c r="G484">
        <v>0.14893617021276559</v>
      </c>
      <c r="H484">
        <v>99.893617021276597</v>
      </c>
      <c r="I484">
        <v>0</v>
      </c>
      <c r="J484">
        <v>0</v>
      </c>
      <c r="K484">
        <v>1</v>
      </c>
      <c r="L484">
        <v>1</v>
      </c>
      <c r="M484">
        <v>0</v>
      </c>
      <c r="N484">
        <v>32</v>
      </c>
      <c r="O484">
        <v>-99</v>
      </c>
      <c r="P484">
        <v>1</v>
      </c>
      <c r="Q484">
        <v>2</v>
      </c>
      <c r="R484">
        <v>3</v>
      </c>
      <c r="S484">
        <v>4</v>
      </c>
      <c r="T484" s="123">
        <f t="shared" si="37"/>
        <v>0</v>
      </c>
      <c r="U484">
        <f t="shared" si="38"/>
        <v>0</v>
      </c>
      <c r="V484">
        <f t="shared" si="39"/>
        <v>0</v>
      </c>
      <c r="W484">
        <f t="shared" si="40"/>
        <v>0</v>
      </c>
      <c r="X484">
        <f t="shared" si="41"/>
        <v>1</v>
      </c>
    </row>
    <row r="485" spans="1:24">
      <c r="A485" t="s">
        <v>157</v>
      </c>
      <c r="B485">
        <v>7</v>
      </c>
      <c r="C485">
        <v>1</v>
      </c>
      <c r="D485">
        <v>0</v>
      </c>
      <c r="E485">
        <v>100</v>
      </c>
      <c r="F485">
        <v>0</v>
      </c>
      <c r="G485">
        <v>0</v>
      </c>
      <c r="H485">
        <v>100</v>
      </c>
      <c r="I485">
        <v>0</v>
      </c>
      <c r="J485">
        <v>1</v>
      </c>
      <c r="K485">
        <v>0</v>
      </c>
      <c r="L485">
        <v>1</v>
      </c>
      <c r="M485">
        <v>0</v>
      </c>
      <c r="N485">
        <v>32</v>
      </c>
      <c r="O485">
        <v>-99</v>
      </c>
      <c r="P485">
        <v>1</v>
      </c>
      <c r="Q485">
        <v>2</v>
      </c>
      <c r="R485">
        <v>3</v>
      </c>
      <c r="S485">
        <v>4</v>
      </c>
      <c r="T485" s="123">
        <f t="shared" si="37"/>
        <v>0</v>
      </c>
      <c r="U485">
        <f t="shared" si="38"/>
        <v>0</v>
      </c>
      <c r="V485">
        <f t="shared" si="39"/>
        <v>0</v>
      </c>
      <c r="W485">
        <f t="shared" si="40"/>
        <v>0</v>
      </c>
      <c r="X485">
        <f t="shared" si="41"/>
        <v>1</v>
      </c>
    </row>
    <row r="486" spans="1:24">
      <c r="A486" t="s">
        <v>158</v>
      </c>
      <c r="B486">
        <v>1</v>
      </c>
      <c r="C486">
        <v>1</v>
      </c>
      <c r="D486">
        <v>87.67725722491474</v>
      </c>
      <c r="E486">
        <v>90.899299946149696</v>
      </c>
      <c r="F486">
        <v>94.507269789983852</v>
      </c>
      <c r="G486">
        <v>12.76252019386107</v>
      </c>
      <c r="H486">
        <v>89.642793035361692</v>
      </c>
      <c r="I486">
        <v>1</v>
      </c>
      <c r="J486">
        <v>0</v>
      </c>
      <c r="K486">
        <v>1</v>
      </c>
      <c r="L486">
        <v>1</v>
      </c>
      <c r="M486">
        <v>1</v>
      </c>
      <c r="N486">
        <v>37</v>
      </c>
      <c r="O486">
        <v>37000</v>
      </c>
      <c r="P486">
        <v>1</v>
      </c>
      <c r="Q486">
        <v>4</v>
      </c>
      <c r="R486">
        <v>3</v>
      </c>
      <c r="S486">
        <v>2</v>
      </c>
      <c r="T486" s="123">
        <f t="shared" si="37"/>
        <v>0</v>
      </c>
      <c r="U486">
        <f t="shared" si="38"/>
        <v>0</v>
      </c>
      <c r="V486">
        <f t="shared" si="39"/>
        <v>1</v>
      </c>
      <c r="W486">
        <f t="shared" si="40"/>
        <v>0</v>
      </c>
      <c r="X486">
        <f t="shared" si="41"/>
        <v>0</v>
      </c>
    </row>
    <row r="487" spans="1:24">
      <c r="A487" t="s">
        <v>158</v>
      </c>
      <c r="B487">
        <v>2</v>
      </c>
      <c r="C487">
        <v>1</v>
      </c>
      <c r="D487">
        <v>92.460958535271942</v>
      </c>
      <c r="E487">
        <v>92.640459522527379</v>
      </c>
      <c r="F487">
        <v>91.841680129240714</v>
      </c>
      <c r="G487">
        <v>7.1890145395799676</v>
      </c>
      <c r="H487">
        <v>98.106264584455218</v>
      </c>
      <c r="I487">
        <v>0</v>
      </c>
      <c r="J487">
        <v>0</v>
      </c>
      <c r="K487">
        <v>1</v>
      </c>
      <c r="L487">
        <v>1</v>
      </c>
      <c r="M487">
        <v>1</v>
      </c>
      <c r="N487">
        <v>37</v>
      </c>
      <c r="O487">
        <v>37000</v>
      </c>
      <c r="P487">
        <v>1</v>
      </c>
      <c r="Q487">
        <v>4</v>
      </c>
      <c r="R487">
        <v>3</v>
      </c>
      <c r="S487">
        <v>2</v>
      </c>
      <c r="T487" s="123">
        <f t="shared" si="37"/>
        <v>0</v>
      </c>
      <c r="U487">
        <f t="shared" si="38"/>
        <v>0</v>
      </c>
      <c r="V487">
        <f t="shared" si="39"/>
        <v>1</v>
      </c>
      <c r="W487">
        <f t="shared" si="40"/>
        <v>0</v>
      </c>
      <c r="X487">
        <f t="shared" si="41"/>
        <v>0</v>
      </c>
    </row>
    <row r="488" spans="1:24" hidden="1">
      <c r="A488" t="s">
        <v>158</v>
      </c>
      <c r="B488">
        <v>3</v>
      </c>
      <c r="C488">
        <v>1</v>
      </c>
      <c r="D488">
        <v>1.6424340333871861</v>
      </c>
      <c r="E488">
        <v>1.5437084903966951</v>
      </c>
      <c r="F488">
        <v>8.8314485729671492</v>
      </c>
      <c r="G488">
        <v>1.382157601866812</v>
      </c>
      <c r="H488">
        <v>2.7104649075569922</v>
      </c>
      <c r="I488">
        <v>0</v>
      </c>
      <c r="J488">
        <v>0</v>
      </c>
      <c r="K488">
        <v>0</v>
      </c>
      <c r="L488">
        <v>1</v>
      </c>
      <c r="M488">
        <v>1</v>
      </c>
      <c r="N488">
        <v>37</v>
      </c>
      <c r="O488">
        <v>37000</v>
      </c>
      <c r="P488">
        <v>1</v>
      </c>
      <c r="Q488">
        <v>4</v>
      </c>
      <c r="R488">
        <v>3</v>
      </c>
      <c r="S488">
        <v>2</v>
      </c>
      <c r="T488" s="123">
        <f t="shared" si="37"/>
        <v>1</v>
      </c>
      <c r="U488">
        <f t="shared" si="38"/>
        <v>0</v>
      </c>
      <c r="V488">
        <f t="shared" si="39"/>
        <v>1</v>
      </c>
      <c r="W488">
        <f t="shared" si="40"/>
        <v>0</v>
      </c>
      <c r="X488">
        <f t="shared" si="41"/>
        <v>0</v>
      </c>
    </row>
    <row r="489" spans="1:24" hidden="1">
      <c r="A489" t="s">
        <v>158</v>
      </c>
      <c r="B489">
        <v>4</v>
      </c>
      <c r="C489">
        <v>1</v>
      </c>
      <c r="D489">
        <v>5.1068030874169779</v>
      </c>
      <c r="E489">
        <v>0.64620355411954544</v>
      </c>
      <c r="F489">
        <v>2.396338179859991</v>
      </c>
      <c r="G489">
        <v>0</v>
      </c>
      <c r="H489">
        <v>0</v>
      </c>
      <c r="I489">
        <v>0</v>
      </c>
      <c r="J489">
        <v>0</v>
      </c>
      <c r="K489">
        <v>0</v>
      </c>
      <c r="L489">
        <v>1</v>
      </c>
      <c r="M489">
        <v>1</v>
      </c>
      <c r="N489">
        <v>37</v>
      </c>
      <c r="O489">
        <v>37000</v>
      </c>
      <c r="P489">
        <v>1</v>
      </c>
      <c r="Q489">
        <v>4</v>
      </c>
      <c r="R489">
        <v>3</v>
      </c>
      <c r="S489">
        <v>2</v>
      </c>
      <c r="T489" s="123">
        <f t="shared" si="37"/>
        <v>1</v>
      </c>
      <c r="U489">
        <f t="shared" si="38"/>
        <v>0</v>
      </c>
      <c r="V489">
        <f t="shared" si="39"/>
        <v>1</v>
      </c>
      <c r="W489">
        <f t="shared" si="40"/>
        <v>0</v>
      </c>
      <c r="X489">
        <f t="shared" si="41"/>
        <v>0</v>
      </c>
    </row>
    <row r="490" spans="1:24" hidden="1">
      <c r="A490" t="s">
        <v>158</v>
      </c>
      <c r="B490">
        <v>5</v>
      </c>
      <c r="C490">
        <v>1</v>
      </c>
      <c r="D490">
        <v>3.8503058654192182</v>
      </c>
      <c r="E490">
        <v>7.4487225620726853</v>
      </c>
      <c r="F490">
        <v>13.503058654192159</v>
      </c>
      <c r="G490">
        <v>8.24037423533645</v>
      </c>
      <c r="H490">
        <v>8.1774019431450125</v>
      </c>
      <c r="I490">
        <v>0</v>
      </c>
      <c r="J490">
        <v>0</v>
      </c>
      <c r="K490">
        <v>0</v>
      </c>
      <c r="L490">
        <v>1</v>
      </c>
      <c r="M490">
        <v>1</v>
      </c>
      <c r="N490">
        <v>37</v>
      </c>
      <c r="O490">
        <v>37000</v>
      </c>
      <c r="P490">
        <v>1</v>
      </c>
      <c r="Q490">
        <v>4</v>
      </c>
      <c r="R490">
        <v>3</v>
      </c>
      <c r="S490">
        <v>2</v>
      </c>
      <c r="T490" s="123">
        <f t="shared" si="37"/>
        <v>1</v>
      </c>
      <c r="U490">
        <f t="shared" si="38"/>
        <v>0</v>
      </c>
      <c r="V490">
        <f t="shared" si="39"/>
        <v>1</v>
      </c>
      <c r="W490">
        <f t="shared" si="40"/>
        <v>0</v>
      </c>
      <c r="X490">
        <f t="shared" si="41"/>
        <v>0</v>
      </c>
    </row>
    <row r="491" spans="1:24">
      <c r="A491" t="s">
        <v>158</v>
      </c>
      <c r="B491">
        <v>6</v>
      </c>
      <c r="C491">
        <v>1</v>
      </c>
      <c r="D491">
        <v>50</v>
      </c>
      <c r="E491">
        <v>5.095744680851066</v>
      </c>
      <c r="F491">
        <v>85.372340425531917</v>
      </c>
      <c r="G491">
        <v>10.797872340425529</v>
      </c>
      <c r="H491">
        <v>15.276595744680851</v>
      </c>
      <c r="I491">
        <v>0</v>
      </c>
      <c r="J491">
        <v>0</v>
      </c>
      <c r="K491">
        <v>1</v>
      </c>
      <c r="L491">
        <v>1</v>
      </c>
      <c r="M491">
        <v>1</v>
      </c>
      <c r="N491">
        <v>37</v>
      </c>
      <c r="O491">
        <v>37000</v>
      </c>
      <c r="P491">
        <v>1</v>
      </c>
      <c r="Q491">
        <v>4</v>
      </c>
      <c r="R491">
        <v>3</v>
      </c>
      <c r="S491">
        <v>2</v>
      </c>
      <c r="T491" s="123">
        <f t="shared" si="37"/>
        <v>0</v>
      </c>
      <c r="U491">
        <f t="shared" si="38"/>
        <v>0</v>
      </c>
      <c r="V491">
        <f t="shared" si="39"/>
        <v>1</v>
      </c>
      <c r="W491">
        <f t="shared" si="40"/>
        <v>0</v>
      </c>
      <c r="X491">
        <f t="shared" si="41"/>
        <v>0</v>
      </c>
    </row>
    <row r="492" spans="1:24" hidden="1">
      <c r="A492" t="s">
        <v>158</v>
      </c>
      <c r="B492">
        <v>7</v>
      </c>
      <c r="C492">
        <v>1</v>
      </c>
      <c r="D492">
        <v>9.1489361702127621</v>
      </c>
      <c r="E492">
        <v>2.7553191489361688</v>
      </c>
      <c r="F492">
        <v>6.2234042553191484</v>
      </c>
      <c r="G492">
        <v>5.6063829787234063</v>
      </c>
      <c r="H492">
        <v>5.9574468085106353</v>
      </c>
      <c r="I492">
        <v>0</v>
      </c>
      <c r="J492">
        <v>1</v>
      </c>
      <c r="K492">
        <v>0</v>
      </c>
      <c r="L492">
        <v>1</v>
      </c>
      <c r="M492">
        <v>1</v>
      </c>
      <c r="N492">
        <v>37</v>
      </c>
      <c r="O492">
        <v>37000</v>
      </c>
      <c r="P492">
        <v>1</v>
      </c>
      <c r="Q492">
        <v>4</v>
      </c>
      <c r="R492">
        <v>3</v>
      </c>
      <c r="S492">
        <v>2</v>
      </c>
      <c r="T492" s="123">
        <f t="shared" si="37"/>
        <v>1</v>
      </c>
      <c r="U492">
        <f t="shared" si="38"/>
        <v>0</v>
      </c>
      <c r="V492">
        <f t="shared" si="39"/>
        <v>1</v>
      </c>
      <c r="W492">
        <f t="shared" si="40"/>
        <v>0</v>
      </c>
      <c r="X492">
        <f t="shared" si="41"/>
        <v>0</v>
      </c>
    </row>
    <row r="493" spans="1:24">
      <c r="A493" t="s">
        <v>159</v>
      </c>
      <c r="B493">
        <v>1</v>
      </c>
      <c r="C493">
        <v>1</v>
      </c>
      <c r="D493">
        <v>27.46907321030217</v>
      </c>
      <c r="E493">
        <v>50</v>
      </c>
      <c r="F493">
        <v>42.384911782599879</v>
      </c>
      <c r="G493">
        <v>31.819103630095309</v>
      </c>
      <c r="H493">
        <v>18.789292232812819</v>
      </c>
      <c r="I493">
        <v>1</v>
      </c>
      <c r="J493">
        <v>0</v>
      </c>
      <c r="K493">
        <v>0</v>
      </c>
      <c r="L493">
        <v>1</v>
      </c>
      <c r="M493">
        <v>0</v>
      </c>
      <c r="N493">
        <v>49</v>
      </c>
      <c r="O493">
        <v>-99</v>
      </c>
      <c r="P493">
        <v>4</v>
      </c>
      <c r="Q493">
        <v>2</v>
      </c>
      <c r="R493">
        <v>3</v>
      </c>
      <c r="S493">
        <v>3</v>
      </c>
      <c r="T493" s="123">
        <f t="shared" si="37"/>
        <v>0</v>
      </c>
      <c r="U493">
        <f t="shared" si="38"/>
        <v>1</v>
      </c>
      <c r="V493">
        <f t="shared" si="39"/>
        <v>0</v>
      </c>
      <c r="W493">
        <f t="shared" si="40"/>
        <v>0</v>
      </c>
      <c r="X493">
        <f t="shared" si="41"/>
        <v>0</v>
      </c>
    </row>
    <row r="494" spans="1:24">
      <c r="A494" t="s">
        <v>159</v>
      </c>
      <c r="B494">
        <v>2</v>
      </c>
      <c r="C494">
        <v>1</v>
      </c>
      <c r="D494">
        <v>20.431961062664769</v>
      </c>
      <c r="E494">
        <v>50</v>
      </c>
      <c r="F494">
        <v>19.712025958223489</v>
      </c>
      <c r="G494">
        <v>18.515514094504159</v>
      </c>
      <c r="H494">
        <v>13.871425674305421</v>
      </c>
      <c r="I494">
        <v>0</v>
      </c>
      <c r="J494">
        <v>0</v>
      </c>
      <c r="K494">
        <v>0</v>
      </c>
      <c r="L494">
        <v>1</v>
      </c>
      <c r="M494">
        <v>0</v>
      </c>
      <c r="N494">
        <v>49</v>
      </c>
      <c r="O494">
        <v>-99</v>
      </c>
      <c r="P494">
        <v>4</v>
      </c>
      <c r="Q494">
        <v>2</v>
      </c>
      <c r="R494">
        <v>3</v>
      </c>
      <c r="S494">
        <v>3</v>
      </c>
      <c r="T494" s="123">
        <f t="shared" si="37"/>
        <v>0</v>
      </c>
      <c r="U494">
        <f t="shared" si="38"/>
        <v>1</v>
      </c>
      <c r="V494">
        <f t="shared" si="39"/>
        <v>0</v>
      </c>
      <c r="W494">
        <f t="shared" si="40"/>
        <v>0</v>
      </c>
      <c r="X494">
        <f t="shared" si="41"/>
        <v>0</v>
      </c>
    </row>
    <row r="495" spans="1:24">
      <c r="A495" t="s">
        <v>159</v>
      </c>
      <c r="B495">
        <v>3</v>
      </c>
      <c r="C495">
        <v>1</v>
      </c>
      <c r="D495">
        <v>67.927398093692972</v>
      </c>
      <c r="E495">
        <v>77.428513486108301</v>
      </c>
      <c r="F495">
        <v>87.548164672480226</v>
      </c>
      <c r="G495">
        <v>38.592577570472521</v>
      </c>
      <c r="H495">
        <v>86.382072601906316</v>
      </c>
      <c r="I495">
        <v>0</v>
      </c>
      <c r="J495">
        <v>0</v>
      </c>
      <c r="K495">
        <v>1</v>
      </c>
      <c r="L495">
        <v>1</v>
      </c>
      <c r="M495">
        <v>0</v>
      </c>
      <c r="N495">
        <v>49</v>
      </c>
      <c r="O495">
        <v>-99</v>
      </c>
      <c r="P495">
        <v>4</v>
      </c>
      <c r="Q495">
        <v>2</v>
      </c>
      <c r="R495">
        <v>3</v>
      </c>
      <c r="S495">
        <v>3</v>
      </c>
      <c r="T495" s="123">
        <f t="shared" si="37"/>
        <v>0</v>
      </c>
      <c r="U495">
        <f t="shared" si="38"/>
        <v>1</v>
      </c>
      <c r="V495">
        <f t="shared" si="39"/>
        <v>0</v>
      </c>
      <c r="W495">
        <f t="shared" si="40"/>
        <v>0</v>
      </c>
      <c r="X495">
        <f t="shared" si="41"/>
        <v>0</v>
      </c>
    </row>
    <row r="496" spans="1:24" hidden="1">
      <c r="A496" t="s">
        <v>159</v>
      </c>
      <c r="B496">
        <v>4</v>
      </c>
      <c r="C496">
        <v>1</v>
      </c>
      <c r="D496">
        <v>12.7357533968769</v>
      </c>
      <c r="E496">
        <v>23.930237274386531</v>
      </c>
      <c r="F496">
        <v>26.475359967552219</v>
      </c>
      <c r="G496">
        <v>21.4662340296086</v>
      </c>
      <c r="H496">
        <v>13.404988846075851</v>
      </c>
      <c r="I496">
        <v>0</v>
      </c>
      <c r="J496">
        <v>0</v>
      </c>
      <c r="K496">
        <v>0</v>
      </c>
      <c r="L496">
        <v>1</v>
      </c>
      <c r="M496">
        <v>0</v>
      </c>
      <c r="N496">
        <v>49</v>
      </c>
      <c r="O496">
        <v>-99</v>
      </c>
      <c r="P496">
        <v>4</v>
      </c>
      <c r="Q496">
        <v>2</v>
      </c>
      <c r="R496">
        <v>3</v>
      </c>
      <c r="S496">
        <v>3</v>
      </c>
      <c r="T496" s="123">
        <f t="shared" si="37"/>
        <v>1</v>
      </c>
      <c r="U496">
        <f t="shared" si="38"/>
        <v>1</v>
      </c>
      <c r="V496">
        <f t="shared" si="39"/>
        <v>0</v>
      </c>
      <c r="W496">
        <f t="shared" si="40"/>
        <v>0</v>
      </c>
      <c r="X496">
        <f t="shared" si="41"/>
        <v>0</v>
      </c>
    </row>
    <row r="497" spans="1:24">
      <c r="A497" t="s">
        <v>159</v>
      </c>
      <c r="B497">
        <v>5</v>
      </c>
      <c r="C497">
        <v>1</v>
      </c>
      <c r="D497">
        <v>6.1489361702127656</v>
      </c>
      <c r="E497">
        <v>28</v>
      </c>
      <c r="F497">
        <v>100</v>
      </c>
      <c r="G497">
        <v>7.7553191489361684</v>
      </c>
      <c r="H497">
        <v>7.9574468085106371</v>
      </c>
      <c r="I497">
        <v>0</v>
      </c>
      <c r="J497">
        <v>0</v>
      </c>
      <c r="K497">
        <v>0</v>
      </c>
      <c r="L497">
        <v>1</v>
      </c>
      <c r="M497">
        <v>0</v>
      </c>
      <c r="N497">
        <v>49</v>
      </c>
      <c r="O497">
        <v>-99</v>
      </c>
      <c r="P497">
        <v>4</v>
      </c>
      <c r="Q497">
        <v>2</v>
      </c>
      <c r="R497">
        <v>3</v>
      </c>
      <c r="S497">
        <v>3</v>
      </c>
      <c r="T497" s="123">
        <f t="shared" si="37"/>
        <v>0</v>
      </c>
      <c r="U497">
        <f t="shared" si="38"/>
        <v>1</v>
      </c>
      <c r="V497">
        <f t="shared" si="39"/>
        <v>0</v>
      </c>
      <c r="W497">
        <f t="shared" si="40"/>
        <v>0</v>
      </c>
      <c r="X497">
        <f t="shared" si="41"/>
        <v>0</v>
      </c>
    </row>
    <row r="498" spans="1:24" hidden="1">
      <c r="A498" t="s">
        <v>159</v>
      </c>
      <c r="B498">
        <v>6</v>
      </c>
      <c r="C498">
        <v>1</v>
      </c>
      <c r="D498">
        <v>16.73404255319149</v>
      </c>
      <c r="E498">
        <v>4.5851063829787204</v>
      </c>
      <c r="F498">
        <v>5.6808510638297891</v>
      </c>
      <c r="G498">
        <v>5.4042553191489384</v>
      </c>
      <c r="H498">
        <v>5.6808510638297891</v>
      </c>
      <c r="I498">
        <v>0</v>
      </c>
      <c r="J498">
        <v>0</v>
      </c>
      <c r="K498">
        <v>0</v>
      </c>
      <c r="L498">
        <v>1</v>
      </c>
      <c r="M498">
        <v>0</v>
      </c>
      <c r="N498">
        <v>49</v>
      </c>
      <c r="O498">
        <v>-99</v>
      </c>
      <c r="P498">
        <v>4</v>
      </c>
      <c r="Q498">
        <v>2</v>
      </c>
      <c r="R498">
        <v>3</v>
      </c>
      <c r="S498">
        <v>3</v>
      </c>
      <c r="T498" s="123">
        <f t="shared" si="37"/>
        <v>1</v>
      </c>
      <c r="U498">
        <f t="shared" si="38"/>
        <v>1</v>
      </c>
      <c r="V498">
        <f t="shared" si="39"/>
        <v>0</v>
      </c>
      <c r="W498">
        <f t="shared" si="40"/>
        <v>0</v>
      </c>
      <c r="X498">
        <f t="shared" si="41"/>
        <v>0</v>
      </c>
    </row>
    <row r="499" spans="1:24">
      <c r="A499" t="s">
        <v>159</v>
      </c>
      <c r="B499">
        <v>7</v>
      </c>
      <c r="C499">
        <v>1</v>
      </c>
      <c r="D499">
        <v>79.404255319148945</v>
      </c>
      <c r="E499">
        <v>91.553191489361694</v>
      </c>
      <c r="F499">
        <v>60.39361702127659</v>
      </c>
      <c r="G499">
        <v>21.042553191489361</v>
      </c>
      <c r="H499">
        <v>17.840425531914899</v>
      </c>
      <c r="I499">
        <v>0</v>
      </c>
      <c r="J499">
        <v>1</v>
      </c>
      <c r="K499">
        <v>1</v>
      </c>
      <c r="L499">
        <v>1</v>
      </c>
      <c r="M499">
        <v>0</v>
      </c>
      <c r="N499">
        <v>49</v>
      </c>
      <c r="O499">
        <v>-99</v>
      </c>
      <c r="P499">
        <v>4</v>
      </c>
      <c r="Q499">
        <v>2</v>
      </c>
      <c r="R499">
        <v>3</v>
      </c>
      <c r="S499">
        <v>3</v>
      </c>
      <c r="T499" s="123">
        <f t="shared" si="37"/>
        <v>0</v>
      </c>
      <c r="U499">
        <f t="shared" si="38"/>
        <v>1</v>
      </c>
      <c r="V499">
        <f t="shared" si="39"/>
        <v>0</v>
      </c>
      <c r="W499">
        <f t="shared" si="40"/>
        <v>0</v>
      </c>
      <c r="X499">
        <f t="shared" si="41"/>
        <v>0</v>
      </c>
    </row>
    <row r="500" spans="1:24">
      <c r="A500" t="s">
        <v>160</v>
      </c>
      <c r="B500">
        <v>1</v>
      </c>
      <c r="C500">
        <v>1</v>
      </c>
      <c r="D500">
        <v>0.35565177052729319</v>
      </c>
      <c r="E500">
        <v>94.038692261547681</v>
      </c>
      <c r="F500">
        <v>96.373898252667388</v>
      </c>
      <c r="G500">
        <v>0.17009432503479191</v>
      </c>
      <c r="H500">
        <v>100</v>
      </c>
      <c r="I500">
        <v>1</v>
      </c>
      <c r="J500">
        <v>0</v>
      </c>
      <c r="K500">
        <v>0</v>
      </c>
      <c r="L500">
        <v>1</v>
      </c>
      <c r="M500">
        <v>0</v>
      </c>
      <c r="N500">
        <v>38</v>
      </c>
      <c r="O500">
        <v>30000</v>
      </c>
      <c r="P500">
        <v>1</v>
      </c>
      <c r="Q500">
        <v>1</v>
      </c>
      <c r="R500">
        <v>4</v>
      </c>
      <c r="S500">
        <v>4</v>
      </c>
      <c r="T500" s="123">
        <f t="shared" si="37"/>
        <v>0</v>
      </c>
      <c r="U500">
        <f t="shared" si="38"/>
        <v>0</v>
      </c>
      <c r="V500">
        <f t="shared" si="39"/>
        <v>0</v>
      </c>
      <c r="W500">
        <f t="shared" si="40"/>
        <v>1</v>
      </c>
      <c r="X500">
        <f t="shared" si="41"/>
        <v>1</v>
      </c>
    </row>
    <row r="501" spans="1:24" hidden="1">
      <c r="A501" t="s">
        <v>160</v>
      </c>
      <c r="B501">
        <v>2</v>
      </c>
      <c r="C501">
        <v>1</v>
      </c>
      <c r="D501">
        <v>93.087985155404368</v>
      </c>
      <c r="E501">
        <v>7.3527137776403304</v>
      </c>
      <c r="F501">
        <v>10.669553115818781</v>
      </c>
      <c r="G501">
        <v>7.5073449822174121</v>
      </c>
      <c r="H501">
        <v>6.6414102365857426</v>
      </c>
      <c r="I501">
        <v>0</v>
      </c>
      <c r="J501">
        <v>0</v>
      </c>
      <c r="K501">
        <v>1</v>
      </c>
      <c r="L501">
        <v>1</v>
      </c>
      <c r="M501">
        <v>0</v>
      </c>
      <c r="N501">
        <v>38</v>
      </c>
      <c r="O501">
        <v>30000</v>
      </c>
      <c r="P501">
        <v>1</v>
      </c>
      <c r="Q501">
        <v>1</v>
      </c>
      <c r="R501">
        <v>4</v>
      </c>
      <c r="S501">
        <v>4</v>
      </c>
      <c r="T501" s="123">
        <f t="shared" si="37"/>
        <v>1</v>
      </c>
      <c r="U501">
        <f t="shared" si="38"/>
        <v>0</v>
      </c>
      <c r="V501">
        <f t="shared" si="39"/>
        <v>0</v>
      </c>
      <c r="W501">
        <f t="shared" si="40"/>
        <v>1</v>
      </c>
      <c r="X501">
        <f t="shared" si="41"/>
        <v>1</v>
      </c>
    </row>
    <row r="502" spans="1:24">
      <c r="A502" t="s">
        <v>160</v>
      </c>
      <c r="B502">
        <v>3</v>
      </c>
      <c r="C502">
        <v>1</v>
      </c>
      <c r="D502">
        <v>50</v>
      </c>
      <c r="E502">
        <v>14.74468085106383</v>
      </c>
      <c r="F502">
        <v>82.829787234042556</v>
      </c>
      <c r="G502">
        <v>13.042553191489359</v>
      </c>
      <c r="H502">
        <v>11.021276595744681</v>
      </c>
      <c r="I502">
        <v>0</v>
      </c>
      <c r="J502">
        <v>0</v>
      </c>
      <c r="K502">
        <v>1</v>
      </c>
      <c r="L502">
        <v>1</v>
      </c>
      <c r="M502">
        <v>0</v>
      </c>
      <c r="N502">
        <v>38</v>
      </c>
      <c r="O502">
        <v>30000</v>
      </c>
      <c r="P502">
        <v>1</v>
      </c>
      <c r="Q502">
        <v>1</v>
      </c>
      <c r="R502">
        <v>4</v>
      </c>
      <c r="S502">
        <v>4</v>
      </c>
      <c r="T502" s="123">
        <f t="shared" si="37"/>
        <v>0</v>
      </c>
      <c r="U502">
        <f t="shared" si="38"/>
        <v>0</v>
      </c>
      <c r="V502">
        <f t="shared" si="39"/>
        <v>0</v>
      </c>
      <c r="W502">
        <f t="shared" si="40"/>
        <v>1</v>
      </c>
      <c r="X502">
        <f t="shared" si="41"/>
        <v>1</v>
      </c>
    </row>
    <row r="503" spans="1:24" hidden="1">
      <c r="A503" t="s">
        <v>160</v>
      </c>
      <c r="B503">
        <v>4</v>
      </c>
      <c r="C503">
        <v>1</v>
      </c>
      <c r="D503">
        <v>8.5106382978722417E-2</v>
      </c>
      <c r="E503">
        <v>9.7765957446808489</v>
      </c>
      <c r="F503">
        <v>0</v>
      </c>
      <c r="G503">
        <v>0</v>
      </c>
      <c r="H503">
        <v>0.27659574468085202</v>
      </c>
      <c r="I503">
        <v>0</v>
      </c>
      <c r="J503">
        <v>0</v>
      </c>
      <c r="K503">
        <v>0</v>
      </c>
      <c r="L503">
        <v>1</v>
      </c>
      <c r="M503">
        <v>0</v>
      </c>
      <c r="N503">
        <v>38</v>
      </c>
      <c r="O503">
        <v>30000</v>
      </c>
      <c r="P503">
        <v>1</v>
      </c>
      <c r="Q503">
        <v>1</v>
      </c>
      <c r="R503">
        <v>4</v>
      </c>
      <c r="S503">
        <v>4</v>
      </c>
      <c r="T503" s="123">
        <f t="shared" si="37"/>
        <v>1</v>
      </c>
      <c r="U503">
        <f t="shared" si="38"/>
        <v>0</v>
      </c>
      <c r="V503">
        <f t="shared" si="39"/>
        <v>0</v>
      </c>
      <c r="W503">
        <f t="shared" si="40"/>
        <v>1</v>
      </c>
      <c r="X503">
        <f t="shared" si="41"/>
        <v>1</v>
      </c>
    </row>
    <row r="504" spans="1:24" hidden="1">
      <c r="A504" t="s">
        <v>160</v>
      </c>
      <c r="B504">
        <v>5</v>
      </c>
      <c r="C504">
        <v>1</v>
      </c>
      <c r="D504">
        <v>0</v>
      </c>
      <c r="E504">
        <v>0</v>
      </c>
      <c r="F504">
        <v>4.8085106382978697</v>
      </c>
      <c r="G504">
        <v>0.54255319148936443</v>
      </c>
      <c r="H504">
        <v>0</v>
      </c>
      <c r="I504">
        <v>0</v>
      </c>
      <c r="J504">
        <v>0</v>
      </c>
      <c r="K504">
        <v>0</v>
      </c>
      <c r="L504">
        <v>1</v>
      </c>
      <c r="M504">
        <v>0</v>
      </c>
      <c r="N504">
        <v>38</v>
      </c>
      <c r="O504">
        <v>30000</v>
      </c>
      <c r="P504">
        <v>1</v>
      </c>
      <c r="Q504">
        <v>1</v>
      </c>
      <c r="R504">
        <v>4</v>
      </c>
      <c r="S504">
        <v>4</v>
      </c>
      <c r="T504" s="123">
        <f t="shared" si="37"/>
        <v>1</v>
      </c>
      <c r="U504">
        <f t="shared" si="38"/>
        <v>0</v>
      </c>
      <c r="V504">
        <f t="shared" si="39"/>
        <v>0</v>
      </c>
      <c r="W504">
        <f t="shared" si="40"/>
        <v>1</v>
      </c>
      <c r="X504">
        <f t="shared" si="41"/>
        <v>1</v>
      </c>
    </row>
    <row r="505" spans="1:24" hidden="1">
      <c r="A505" t="s">
        <v>160</v>
      </c>
      <c r="B505">
        <v>6</v>
      </c>
      <c r="C505">
        <v>1</v>
      </c>
      <c r="D505">
        <v>17.957446808510639</v>
      </c>
      <c r="E505">
        <v>7.2234042553191493</v>
      </c>
      <c r="F505">
        <v>5.4999999999999991</v>
      </c>
      <c r="G505">
        <v>2.7127659574468108</v>
      </c>
      <c r="H505">
        <v>5.4361702127659566</v>
      </c>
      <c r="I505">
        <v>0</v>
      </c>
      <c r="J505">
        <v>0</v>
      </c>
      <c r="K505">
        <v>0</v>
      </c>
      <c r="L505">
        <v>1</v>
      </c>
      <c r="M505">
        <v>0</v>
      </c>
      <c r="N505">
        <v>38</v>
      </c>
      <c r="O505">
        <v>30000</v>
      </c>
      <c r="P505">
        <v>1</v>
      </c>
      <c r="Q505">
        <v>1</v>
      </c>
      <c r="R505">
        <v>4</v>
      </c>
      <c r="S505">
        <v>4</v>
      </c>
      <c r="T505" s="123">
        <f t="shared" si="37"/>
        <v>1</v>
      </c>
      <c r="U505">
        <f t="shared" si="38"/>
        <v>0</v>
      </c>
      <c r="V505">
        <f t="shared" si="39"/>
        <v>0</v>
      </c>
      <c r="W505">
        <f t="shared" si="40"/>
        <v>1</v>
      </c>
      <c r="X505">
        <f t="shared" si="41"/>
        <v>1</v>
      </c>
    </row>
    <row r="506" spans="1:24">
      <c r="A506" t="s">
        <v>160</v>
      </c>
      <c r="B506">
        <v>7</v>
      </c>
      <c r="C506">
        <v>1</v>
      </c>
      <c r="D506">
        <v>0</v>
      </c>
      <c r="E506">
        <v>100</v>
      </c>
      <c r="F506">
        <v>0</v>
      </c>
      <c r="G506">
        <v>100</v>
      </c>
      <c r="H506">
        <v>0</v>
      </c>
      <c r="I506">
        <v>0</v>
      </c>
      <c r="J506">
        <v>1</v>
      </c>
      <c r="K506">
        <v>0</v>
      </c>
      <c r="L506">
        <v>1</v>
      </c>
      <c r="M506">
        <v>0</v>
      </c>
      <c r="N506">
        <v>38</v>
      </c>
      <c r="O506">
        <v>30000</v>
      </c>
      <c r="P506">
        <v>1</v>
      </c>
      <c r="Q506">
        <v>1</v>
      </c>
      <c r="R506">
        <v>4</v>
      </c>
      <c r="S506">
        <v>4</v>
      </c>
      <c r="T506" s="123">
        <f t="shared" si="37"/>
        <v>0</v>
      </c>
      <c r="U506">
        <f t="shared" si="38"/>
        <v>0</v>
      </c>
      <c r="V506">
        <f t="shared" si="39"/>
        <v>0</v>
      </c>
      <c r="W506">
        <f t="shared" si="40"/>
        <v>1</v>
      </c>
      <c r="X506">
        <f t="shared" si="41"/>
        <v>1</v>
      </c>
    </row>
    <row r="507" spans="1:24">
      <c r="A507" t="s">
        <v>161</v>
      </c>
      <c r="B507">
        <v>1</v>
      </c>
      <c r="C507">
        <v>1</v>
      </c>
      <c r="D507">
        <v>79.990485252140815</v>
      </c>
      <c r="E507">
        <v>10.818268315889631</v>
      </c>
      <c r="F507">
        <v>84.90960989533778</v>
      </c>
      <c r="G507">
        <v>16.679352997145571</v>
      </c>
      <c r="H507">
        <v>8.9153187440532804</v>
      </c>
      <c r="I507">
        <v>1</v>
      </c>
      <c r="J507">
        <v>0</v>
      </c>
      <c r="K507">
        <v>1</v>
      </c>
      <c r="L507">
        <v>1</v>
      </c>
      <c r="M507">
        <v>1</v>
      </c>
      <c r="N507">
        <v>24</v>
      </c>
      <c r="O507">
        <v>-99</v>
      </c>
      <c r="P507">
        <v>3</v>
      </c>
      <c r="Q507">
        <v>2</v>
      </c>
      <c r="R507">
        <v>3</v>
      </c>
      <c r="S507">
        <v>3</v>
      </c>
      <c r="T507" s="123">
        <f t="shared" si="37"/>
        <v>0</v>
      </c>
      <c r="U507">
        <f t="shared" si="38"/>
        <v>0</v>
      </c>
      <c r="V507">
        <f t="shared" si="39"/>
        <v>0</v>
      </c>
      <c r="W507">
        <f t="shared" si="40"/>
        <v>0</v>
      </c>
      <c r="X507">
        <f t="shared" si="41"/>
        <v>0</v>
      </c>
    </row>
    <row r="508" spans="1:24" hidden="1">
      <c r="A508" t="s">
        <v>161</v>
      </c>
      <c r="B508">
        <v>2</v>
      </c>
      <c r="C508">
        <v>1</v>
      </c>
      <c r="D508">
        <v>9.3815413891531865</v>
      </c>
      <c r="E508">
        <v>85.861084681255946</v>
      </c>
      <c r="F508">
        <v>66.698382492863942</v>
      </c>
      <c r="G508">
        <v>84.576593720266416</v>
      </c>
      <c r="H508">
        <v>76.850618458610853</v>
      </c>
      <c r="I508">
        <v>0</v>
      </c>
      <c r="J508">
        <v>0</v>
      </c>
      <c r="K508">
        <v>0</v>
      </c>
      <c r="L508">
        <v>1</v>
      </c>
      <c r="M508">
        <v>1</v>
      </c>
      <c r="N508">
        <v>24</v>
      </c>
      <c r="O508">
        <v>-99</v>
      </c>
      <c r="P508">
        <v>3</v>
      </c>
      <c r="Q508">
        <v>2</v>
      </c>
      <c r="R508">
        <v>3</v>
      </c>
      <c r="S508">
        <v>3</v>
      </c>
      <c r="T508" s="123">
        <f t="shared" si="37"/>
        <v>1</v>
      </c>
      <c r="U508">
        <f t="shared" si="38"/>
        <v>0</v>
      </c>
      <c r="V508">
        <f t="shared" si="39"/>
        <v>0</v>
      </c>
      <c r="W508">
        <f t="shared" si="40"/>
        <v>0</v>
      </c>
      <c r="X508">
        <f t="shared" si="41"/>
        <v>0</v>
      </c>
    </row>
    <row r="509" spans="1:24" hidden="1">
      <c r="A509" t="s">
        <v>161</v>
      </c>
      <c r="B509">
        <v>3</v>
      </c>
      <c r="C509">
        <v>1</v>
      </c>
      <c r="D509">
        <v>5.1094196003805878</v>
      </c>
      <c r="E509">
        <v>9.4005708848715503</v>
      </c>
      <c r="F509">
        <v>3.5204567078972411</v>
      </c>
      <c r="G509">
        <v>8.1160799238820189</v>
      </c>
      <c r="H509">
        <v>13.98667935299714</v>
      </c>
      <c r="I509">
        <v>0</v>
      </c>
      <c r="J509">
        <v>0</v>
      </c>
      <c r="K509">
        <v>0</v>
      </c>
      <c r="L509">
        <v>1</v>
      </c>
      <c r="M509">
        <v>1</v>
      </c>
      <c r="N509">
        <v>24</v>
      </c>
      <c r="O509">
        <v>-99</v>
      </c>
      <c r="P509">
        <v>3</v>
      </c>
      <c r="Q509">
        <v>2</v>
      </c>
      <c r="R509">
        <v>3</v>
      </c>
      <c r="S509">
        <v>3</v>
      </c>
      <c r="T509" s="123">
        <f t="shared" si="37"/>
        <v>1</v>
      </c>
      <c r="U509">
        <f t="shared" si="38"/>
        <v>0</v>
      </c>
      <c r="V509">
        <f t="shared" si="39"/>
        <v>0</v>
      </c>
      <c r="W509">
        <f t="shared" si="40"/>
        <v>0</v>
      </c>
      <c r="X509">
        <f t="shared" si="41"/>
        <v>0</v>
      </c>
    </row>
    <row r="510" spans="1:24" hidden="1">
      <c r="A510" t="s">
        <v>161</v>
      </c>
      <c r="B510">
        <v>4</v>
      </c>
      <c r="C510">
        <v>1</v>
      </c>
      <c r="D510">
        <v>29.62145843009754</v>
      </c>
      <c r="E510">
        <v>50</v>
      </c>
      <c r="F510">
        <v>50</v>
      </c>
      <c r="G510">
        <v>41.221551323734317</v>
      </c>
      <c r="H510">
        <v>13.19089642359498</v>
      </c>
      <c r="I510">
        <v>0</v>
      </c>
      <c r="J510">
        <v>0</v>
      </c>
      <c r="K510">
        <v>0</v>
      </c>
      <c r="L510">
        <v>1</v>
      </c>
      <c r="M510">
        <v>1</v>
      </c>
      <c r="N510">
        <v>24</v>
      </c>
      <c r="O510">
        <v>-99</v>
      </c>
      <c r="P510">
        <v>3</v>
      </c>
      <c r="Q510">
        <v>2</v>
      </c>
      <c r="R510">
        <v>3</v>
      </c>
      <c r="S510">
        <v>3</v>
      </c>
      <c r="T510" s="123">
        <f t="shared" si="37"/>
        <v>1</v>
      </c>
      <c r="U510">
        <f t="shared" si="38"/>
        <v>0</v>
      </c>
      <c r="V510">
        <f t="shared" si="39"/>
        <v>0</v>
      </c>
      <c r="W510">
        <f t="shared" si="40"/>
        <v>0</v>
      </c>
      <c r="X510">
        <f t="shared" si="41"/>
        <v>0</v>
      </c>
    </row>
    <row r="511" spans="1:24">
      <c r="A511" t="s">
        <v>161</v>
      </c>
      <c r="B511">
        <v>5</v>
      </c>
      <c r="C511">
        <v>1</v>
      </c>
      <c r="D511">
        <v>93.125870877844875</v>
      </c>
      <c r="E511">
        <v>18.810961449140731</v>
      </c>
      <c r="F511">
        <v>82.176033441709237</v>
      </c>
      <c r="G511">
        <v>8.1281932187645118</v>
      </c>
      <c r="H511">
        <v>14.352066883418489</v>
      </c>
      <c r="I511">
        <v>0</v>
      </c>
      <c r="J511">
        <v>0</v>
      </c>
      <c r="K511">
        <v>1</v>
      </c>
      <c r="L511">
        <v>1</v>
      </c>
      <c r="M511">
        <v>1</v>
      </c>
      <c r="N511">
        <v>24</v>
      </c>
      <c r="O511">
        <v>-99</v>
      </c>
      <c r="P511">
        <v>3</v>
      </c>
      <c r="Q511">
        <v>2</v>
      </c>
      <c r="R511">
        <v>3</v>
      </c>
      <c r="S511">
        <v>3</v>
      </c>
      <c r="T511" s="123">
        <f t="shared" si="37"/>
        <v>0</v>
      </c>
      <c r="U511">
        <f t="shared" si="38"/>
        <v>0</v>
      </c>
      <c r="V511">
        <f t="shared" si="39"/>
        <v>0</v>
      </c>
      <c r="W511">
        <f t="shared" si="40"/>
        <v>0</v>
      </c>
      <c r="X511">
        <f t="shared" si="41"/>
        <v>0</v>
      </c>
    </row>
    <row r="512" spans="1:24" hidden="1">
      <c r="A512" t="s">
        <v>161</v>
      </c>
      <c r="B512">
        <v>6</v>
      </c>
      <c r="C512">
        <v>1</v>
      </c>
      <c r="D512">
        <v>100</v>
      </c>
      <c r="E512">
        <v>5.8639108221086866</v>
      </c>
      <c r="F512">
        <v>4.1686019507663712</v>
      </c>
      <c r="G512">
        <v>3.3441709242916842</v>
      </c>
      <c r="H512">
        <v>0</v>
      </c>
      <c r="I512">
        <v>0</v>
      </c>
      <c r="J512">
        <v>0</v>
      </c>
      <c r="K512">
        <v>1</v>
      </c>
      <c r="L512">
        <v>1</v>
      </c>
      <c r="M512">
        <v>1</v>
      </c>
      <c r="N512">
        <v>24</v>
      </c>
      <c r="O512">
        <v>-99</v>
      </c>
      <c r="P512">
        <v>3</v>
      </c>
      <c r="Q512">
        <v>2</v>
      </c>
      <c r="R512">
        <v>3</v>
      </c>
      <c r="S512">
        <v>3</v>
      </c>
      <c r="T512" s="123">
        <f t="shared" si="37"/>
        <v>1</v>
      </c>
      <c r="U512">
        <f t="shared" si="38"/>
        <v>0</v>
      </c>
      <c r="V512">
        <f t="shared" si="39"/>
        <v>0</v>
      </c>
      <c r="W512">
        <f t="shared" si="40"/>
        <v>0</v>
      </c>
      <c r="X512">
        <f t="shared" si="41"/>
        <v>0</v>
      </c>
    </row>
    <row r="513" spans="1:24">
      <c r="A513" t="s">
        <v>161</v>
      </c>
      <c r="B513">
        <v>7</v>
      </c>
      <c r="C513">
        <v>1</v>
      </c>
      <c r="D513">
        <v>7.0134695773339528</v>
      </c>
      <c r="E513">
        <v>10.485369252206221</v>
      </c>
      <c r="F513">
        <v>10.88016720854622</v>
      </c>
      <c r="G513">
        <v>81.978634463539251</v>
      </c>
      <c r="H513">
        <v>90.861588481189031</v>
      </c>
      <c r="I513">
        <v>0</v>
      </c>
      <c r="J513">
        <v>1</v>
      </c>
      <c r="K513">
        <v>0</v>
      </c>
      <c r="L513">
        <v>1</v>
      </c>
      <c r="M513">
        <v>1</v>
      </c>
      <c r="N513">
        <v>24</v>
      </c>
      <c r="O513">
        <v>-99</v>
      </c>
      <c r="P513">
        <v>3</v>
      </c>
      <c r="Q513">
        <v>2</v>
      </c>
      <c r="R513">
        <v>3</v>
      </c>
      <c r="S513">
        <v>3</v>
      </c>
      <c r="T513" s="123">
        <f t="shared" si="37"/>
        <v>0</v>
      </c>
      <c r="U513">
        <f t="shared" si="38"/>
        <v>0</v>
      </c>
      <c r="V513">
        <f t="shared" si="39"/>
        <v>0</v>
      </c>
      <c r="W513">
        <f t="shared" si="40"/>
        <v>0</v>
      </c>
      <c r="X513">
        <f t="shared" si="41"/>
        <v>0</v>
      </c>
    </row>
    <row r="514" spans="1:24">
      <c r="A514" t="s">
        <v>162</v>
      </c>
      <c r="B514">
        <v>1</v>
      </c>
      <c r="C514">
        <v>1</v>
      </c>
      <c r="D514">
        <v>16.066714662826971</v>
      </c>
      <c r="E514">
        <v>32.193424526037923</v>
      </c>
      <c r="F514">
        <v>12.251019918406531</v>
      </c>
      <c r="G514">
        <v>50</v>
      </c>
      <c r="H514">
        <v>28.029757619390448</v>
      </c>
      <c r="I514">
        <v>1</v>
      </c>
      <c r="J514">
        <v>0</v>
      </c>
      <c r="K514">
        <v>0</v>
      </c>
      <c r="L514">
        <v>1</v>
      </c>
      <c r="M514">
        <v>1</v>
      </c>
      <c r="N514">
        <v>63</v>
      </c>
      <c r="O514">
        <v>-99</v>
      </c>
      <c r="P514">
        <v>1</v>
      </c>
      <c r="Q514">
        <v>1</v>
      </c>
      <c r="R514">
        <v>3</v>
      </c>
      <c r="S514">
        <v>2</v>
      </c>
      <c r="T514" s="123">
        <f t="shared" si="37"/>
        <v>0</v>
      </c>
      <c r="U514">
        <f t="shared" si="38"/>
        <v>0</v>
      </c>
      <c r="V514">
        <f t="shared" si="39"/>
        <v>0</v>
      </c>
      <c r="W514">
        <f t="shared" si="40"/>
        <v>0</v>
      </c>
      <c r="X514">
        <f t="shared" si="41"/>
        <v>0</v>
      </c>
    </row>
    <row r="515" spans="1:24" hidden="1">
      <c r="A515" t="s">
        <v>162</v>
      </c>
      <c r="B515">
        <v>2</v>
      </c>
      <c r="C515">
        <v>1</v>
      </c>
      <c r="D515">
        <v>9.6832253419726459</v>
      </c>
      <c r="E515">
        <v>13.00695944324454</v>
      </c>
      <c r="F515">
        <v>14.014878809695221</v>
      </c>
      <c r="G515">
        <v>10.667146628269739</v>
      </c>
      <c r="H515">
        <v>39.18886489080873</v>
      </c>
      <c r="I515">
        <v>0</v>
      </c>
      <c r="J515">
        <v>0</v>
      </c>
      <c r="K515">
        <v>0</v>
      </c>
      <c r="L515">
        <v>1</v>
      </c>
      <c r="M515">
        <v>1</v>
      </c>
      <c r="N515">
        <v>63</v>
      </c>
      <c r="O515">
        <v>-99</v>
      </c>
      <c r="P515">
        <v>1</v>
      </c>
      <c r="Q515">
        <v>1</v>
      </c>
      <c r="R515">
        <v>3</v>
      </c>
      <c r="S515">
        <v>2</v>
      </c>
      <c r="T515" s="123">
        <f t="shared" si="37"/>
        <v>1</v>
      </c>
      <c r="U515">
        <f t="shared" si="38"/>
        <v>0</v>
      </c>
      <c r="V515">
        <f t="shared" si="39"/>
        <v>0</v>
      </c>
      <c r="W515">
        <f t="shared" si="40"/>
        <v>0</v>
      </c>
      <c r="X515">
        <f t="shared" si="41"/>
        <v>0</v>
      </c>
    </row>
    <row r="516" spans="1:24">
      <c r="A516" t="s">
        <v>162</v>
      </c>
      <c r="B516">
        <v>3</v>
      </c>
      <c r="C516">
        <v>1</v>
      </c>
      <c r="D516">
        <v>15.37077033837293</v>
      </c>
      <c r="E516">
        <v>50</v>
      </c>
      <c r="F516">
        <v>0</v>
      </c>
      <c r="G516">
        <v>0.19198464122870409</v>
      </c>
      <c r="H516">
        <v>4.4036477081833443</v>
      </c>
      <c r="I516">
        <v>0</v>
      </c>
      <c r="J516">
        <v>0</v>
      </c>
      <c r="K516">
        <v>0</v>
      </c>
      <c r="L516">
        <v>1</v>
      </c>
      <c r="M516">
        <v>1</v>
      </c>
      <c r="N516">
        <v>63</v>
      </c>
      <c r="O516">
        <v>-99</v>
      </c>
      <c r="P516">
        <v>1</v>
      </c>
      <c r="Q516">
        <v>1</v>
      </c>
      <c r="R516">
        <v>3</v>
      </c>
      <c r="S516">
        <v>2</v>
      </c>
      <c r="T516" s="123">
        <f t="shared" ref="T516:T579" si="42">IF(OR(IF(AVERAGE(E516:F516)-G516&gt;(10),1,0),IF(AVERAGE(E516:F516)-G516&lt;(-10),1,0)),0,1)</f>
        <v>0</v>
      </c>
      <c r="U516">
        <f t="shared" ref="U516:U579" si="43">IF(P516&gt;3,1,0)</f>
        <v>0</v>
      </c>
      <c r="V516">
        <f t="shared" ref="V516:V579" si="44">IF(Q516&gt;3,1,0)</f>
        <v>0</v>
      </c>
      <c r="W516">
        <f t="shared" ref="W516:W579" si="45">IF(R516&gt;3,1,0)</f>
        <v>0</v>
      </c>
      <c r="X516">
        <f t="shared" ref="X516:X579" si="46">IF(S516&gt;3,1,0)</f>
        <v>0</v>
      </c>
    </row>
    <row r="517" spans="1:24">
      <c r="A517" t="s">
        <v>162</v>
      </c>
      <c r="B517">
        <v>4</v>
      </c>
      <c r="C517">
        <v>1</v>
      </c>
      <c r="D517">
        <v>11.67506599472042</v>
      </c>
      <c r="E517">
        <v>5.6755459563234911</v>
      </c>
      <c r="F517">
        <v>6.8634509239260844</v>
      </c>
      <c r="G517">
        <v>94.780417566594679</v>
      </c>
      <c r="H517">
        <v>0.65994720422365982</v>
      </c>
      <c r="I517">
        <v>0</v>
      </c>
      <c r="J517">
        <v>0</v>
      </c>
      <c r="K517">
        <v>0</v>
      </c>
      <c r="L517">
        <v>1</v>
      </c>
      <c r="M517">
        <v>1</v>
      </c>
      <c r="N517">
        <v>63</v>
      </c>
      <c r="O517">
        <v>-99</v>
      </c>
      <c r="P517">
        <v>1</v>
      </c>
      <c r="Q517">
        <v>1</v>
      </c>
      <c r="R517">
        <v>3</v>
      </c>
      <c r="S517">
        <v>2</v>
      </c>
      <c r="T517" s="123">
        <f t="shared" si="42"/>
        <v>0</v>
      </c>
      <c r="U517">
        <f t="shared" si="43"/>
        <v>0</v>
      </c>
      <c r="V517">
        <f t="shared" si="44"/>
        <v>0</v>
      </c>
      <c r="W517">
        <f t="shared" si="45"/>
        <v>0</v>
      </c>
      <c r="X517">
        <f t="shared" si="46"/>
        <v>0</v>
      </c>
    </row>
    <row r="518" spans="1:24">
      <c r="A518" t="s">
        <v>162</v>
      </c>
      <c r="B518">
        <v>5</v>
      </c>
      <c r="C518">
        <v>1</v>
      </c>
      <c r="D518">
        <v>7.63138948884089</v>
      </c>
      <c r="E518">
        <v>5.4955603551715857</v>
      </c>
      <c r="F518">
        <v>6.527477801775861</v>
      </c>
      <c r="G518">
        <v>94.780417566594679</v>
      </c>
      <c r="H518">
        <v>50</v>
      </c>
      <c r="I518">
        <v>0</v>
      </c>
      <c r="J518">
        <v>0</v>
      </c>
      <c r="K518">
        <v>0</v>
      </c>
      <c r="L518">
        <v>1</v>
      </c>
      <c r="M518">
        <v>1</v>
      </c>
      <c r="N518">
        <v>63</v>
      </c>
      <c r="O518">
        <v>-99</v>
      </c>
      <c r="P518">
        <v>1</v>
      </c>
      <c r="Q518">
        <v>1</v>
      </c>
      <c r="R518">
        <v>3</v>
      </c>
      <c r="S518">
        <v>2</v>
      </c>
      <c r="T518" s="123">
        <f t="shared" si="42"/>
        <v>0</v>
      </c>
      <c r="U518">
        <f t="shared" si="43"/>
        <v>0</v>
      </c>
      <c r="V518">
        <f t="shared" si="44"/>
        <v>0</v>
      </c>
      <c r="W518">
        <f t="shared" si="45"/>
        <v>0</v>
      </c>
      <c r="X518">
        <f t="shared" si="46"/>
        <v>0</v>
      </c>
    </row>
    <row r="519" spans="1:24">
      <c r="A519" t="s">
        <v>162</v>
      </c>
      <c r="B519">
        <v>6</v>
      </c>
      <c r="C519">
        <v>1</v>
      </c>
      <c r="D519">
        <v>5.8675305975521947</v>
      </c>
      <c r="E519">
        <v>12.27501799856012</v>
      </c>
      <c r="F519">
        <v>5.2195824334053276</v>
      </c>
      <c r="G519">
        <v>93.448524118070551</v>
      </c>
      <c r="H519">
        <v>7.4154067674586042</v>
      </c>
      <c r="I519">
        <v>0</v>
      </c>
      <c r="J519">
        <v>0</v>
      </c>
      <c r="K519">
        <v>0</v>
      </c>
      <c r="L519">
        <v>1</v>
      </c>
      <c r="M519">
        <v>1</v>
      </c>
      <c r="N519">
        <v>63</v>
      </c>
      <c r="O519">
        <v>-99</v>
      </c>
      <c r="P519">
        <v>1</v>
      </c>
      <c r="Q519">
        <v>1</v>
      </c>
      <c r="R519">
        <v>3</v>
      </c>
      <c r="S519">
        <v>2</v>
      </c>
      <c r="T519" s="123">
        <f t="shared" si="42"/>
        <v>0</v>
      </c>
      <c r="U519">
        <f t="shared" si="43"/>
        <v>0</v>
      </c>
      <c r="V519">
        <f t="shared" si="44"/>
        <v>0</v>
      </c>
      <c r="W519">
        <f t="shared" si="45"/>
        <v>0</v>
      </c>
      <c r="X519">
        <f t="shared" si="46"/>
        <v>0</v>
      </c>
    </row>
    <row r="520" spans="1:24">
      <c r="A520" t="s">
        <v>162</v>
      </c>
      <c r="B520">
        <v>7</v>
      </c>
      <c r="C520">
        <v>1</v>
      </c>
      <c r="D520">
        <v>8.3993280537557009</v>
      </c>
      <c r="E520">
        <v>4.5116390688744898</v>
      </c>
      <c r="F520">
        <v>3.707703383729299</v>
      </c>
      <c r="G520">
        <v>95.488360931125513</v>
      </c>
      <c r="H520">
        <v>7.1994240460763139</v>
      </c>
      <c r="I520">
        <v>0</v>
      </c>
      <c r="J520">
        <v>1</v>
      </c>
      <c r="K520">
        <v>0</v>
      </c>
      <c r="L520">
        <v>1</v>
      </c>
      <c r="M520">
        <v>1</v>
      </c>
      <c r="N520">
        <v>63</v>
      </c>
      <c r="O520">
        <v>-99</v>
      </c>
      <c r="P520">
        <v>1</v>
      </c>
      <c r="Q520">
        <v>1</v>
      </c>
      <c r="R520">
        <v>3</v>
      </c>
      <c r="S520">
        <v>2</v>
      </c>
      <c r="T520" s="123">
        <f t="shared" si="42"/>
        <v>0</v>
      </c>
      <c r="U520">
        <f t="shared" si="43"/>
        <v>0</v>
      </c>
      <c r="V520">
        <f t="shared" si="44"/>
        <v>0</v>
      </c>
      <c r="W520">
        <f t="shared" si="45"/>
        <v>0</v>
      </c>
      <c r="X520">
        <f t="shared" si="46"/>
        <v>0</v>
      </c>
    </row>
    <row r="521" spans="1:24">
      <c r="A521" t="s">
        <v>163</v>
      </c>
      <c r="B521">
        <v>1</v>
      </c>
      <c r="C521">
        <v>1</v>
      </c>
      <c r="D521">
        <v>95.643810816926901</v>
      </c>
      <c r="E521">
        <v>96.498076487893186</v>
      </c>
      <c r="F521">
        <v>97.550350758090062</v>
      </c>
      <c r="G521">
        <v>1.8839103869653759</v>
      </c>
      <c r="H521">
        <v>18.488345779588141</v>
      </c>
      <c r="I521">
        <v>1</v>
      </c>
      <c r="J521">
        <v>0</v>
      </c>
      <c r="K521">
        <v>1</v>
      </c>
      <c r="L521">
        <v>1</v>
      </c>
      <c r="M521">
        <v>0</v>
      </c>
      <c r="N521">
        <v>35</v>
      </c>
      <c r="O521">
        <v>35000</v>
      </c>
      <c r="P521">
        <v>1</v>
      </c>
      <c r="Q521">
        <v>1</v>
      </c>
      <c r="R521">
        <v>1</v>
      </c>
      <c r="S521">
        <v>1</v>
      </c>
      <c r="T521" s="123">
        <f t="shared" si="42"/>
        <v>0</v>
      </c>
      <c r="U521">
        <f t="shared" si="43"/>
        <v>0</v>
      </c>
      <c r="V521">
        <f t="shared" si="44"/>
        <v>0</v>
      </c>
      <c r="W521">
        <f t="shared" si="45"/>
        <v>0</v>
      </c>
      <c r="X521">
        <f t="shared" si="46"/>
        <v>0</v>
      </c>
    </row>
    <row r="522" spans="1:24">
      <c r="A522" t="s">
        <v>163</v>
      </c>
      <c r="B522">
        <v>2</v>
      </c>
      <c r="C522">
        <v>1</v>
      </c>
      <c r="D522">
        <v>6.5059968318624151</v>
      </c>
      <c r="E522">
        <v>8.0165195745643789</v>
      </c>
      <c r="F522">
        <v>2.6533152296899729</v>
      </c>
      <c r="G522">
        <v>93.295994568906991</v>
      </c>
      <c r="H522">
        <v>91.98348042543563</v>
      </c>
      <c r="I522">
        <v>0</v>
      </c>
      <c r="J522">
        <v>0</v>
      </c>
      <c r="K522">
        <v>0</v>
      </c>
      <c r="L522">
        <v>1</v>
      </c>
      <c r="M522">
        <v>0</v>
      </c>
      <c r="N522">
        <v>35</v>
      </c>
      <c r="O522">
        <v>35000</v>
      </c>
      <c r="P522">
        <v>1</v>
      </c>
      <c r="Q522">
        <v>1</v>
      </c>
      <c r="R522">
        <v>1</v>
      </c>
      <c r="S522">
        <v>1</v>
      </c>
      <c r="T522" s="123">
        <f t="shared" si="42"/>
        <v>0</v>
      </c>
      <c r="U522">
        <f t="shared" si="43"/>
        <v>0</v>
      </c>
      <c r="V522">
        <f t="shared" si="44"/>
        <v>0</v>
      </c>
      <c r="W522">
        <f t="shared" si="45"/>
        <v>0</v>
      </c>
      <c r="X522">
        <f t="shared" si="46"/>
        <v>0</v>
      </c>
    </row>
    <row r="523" spans="1:24">
      <c r="A523" t="s">
        <v>163</v>
      </c>
      <c r="B523">
        <v>3</v>
      </c>
      <c r="C523">
        <v>1</v>
      </c>
      <c r="D523">
        <v>20.323876475018832</v>
      </c>
      <c r="E523">
        <v>37.484308310318852</v>
      </c>
      <c r="F523">
        <v>25.608837559628419</v>
      </c>
      <c r="G523">
        <v>45.003766005523467</v>
      </c>
      <c r="H523">
        <v>50</v>
      </c>
      <c r="I523">
        <v>0</v>
      </c>
      <c r="J523">
        <v>0</v>
      </c>
      <c r="K523">
        <v>0</v>
      </c>
      <c r="L523">
        <v>1</v>
      </c>
      <c r="M523">
        <v>0</v>
      </c>
      <c r="N523">
        <v>35</v>
      </c>
      <c r="O523">
        <v>35000</v>
      </c>
      <c r="P523">
        <v>1</v>
      </c>
      <c r="Q523">
        <v>1</v>
      </c>
      <c r="R523">
        <v>1</v>
      </c>
      <c r="S523">
        <v>1</v>
      </c>
      <c r="T523" s="123">
        <f t="shared" si="42"/>
        <v>0</v>
      </c>
      <c r="U523">
        <f t="shared" si="43"/>
        <v>0</v>
      </c>
      <c r="V523">
        <f t="shared" si="44"/>
        <v>0</v>
      </c>
      <c r="W523">
        <f t="shared" si="45"/>
        <v>0</v>
      </c>
      <c r="X523">
        <f t="shared" si="46"/>
        <v>0</v>
      </c>
    </row>
    <row r="524" spans="1:24">
      <c r="A524" t="s">
        <v>163</v>
      </c>
      <c r="B524">
        <v>4</v>
      </c>
      <c r="C524">
        <v>1</v>
      </c>
      <c r="D524">
        <v>13.406979663570169</v>
      </c>
      <c r="E524">
        <v>21.340697966357009</v>
      </c>
      <c r="F524">
        <v>1.908109465227215</v>
      </c>
      <c r="G524">
        <v>0</v>
      </c>
      <c r="H524">
        <v>21.993472257092641</v>
      </c>
      <c r="I524">
        <v>0</v>
      </c>
      <c r="J524">
        <v>0</v>
      </c>
      <c r="K524">
        <v>0</v>
      </c>
      <c r="L524">
        <v>1</v>
      </c>
      <c r="M524">
        <v>0</v>
      </c>
      <c r="N524">
        <v>35</v>
      </c>
      <c r="O524">
        <v>35000</v>
      </c>
      <c r="P524">
        <v>1</v>
      </c>
      <c r="Q524">
        <v>1</v>
      </c>
      <c r="R524">
        <v>1</v>
      </c>
      <c r="S524">
        <v>1</v>
      </c>
      <c r="T524" s="123">
        <f t="shared" si="42"/>
        <v>0</v>
      </c>
      <c r="U524">
        <f t="shared" si="43"/>
        <v>0</v>
      </c>
      <c r="V524">
        <f t="shared" si="44"/>
        <v>0</v>
      </c>
      <c r="W524">
        <f t="shared" si="45"/>
        <v>0</v>
      </c>
      <c r="X524">
        <f t="shared" si="46"/>
        <v>0</v>
      </c>
    </row>
    <row r="525" spans="1:24">
      <c r="A525" t="s">
        <v>163</v>
      </c>
      <c r="B525">
        <v>5</v>
      </c>
      <c r="C525">
        <v>1</v>
      </c>
      <c r="D525">
        <v>8.7998995731860425</v>
      </c>
      <c r="E525">
        <v>3.5651518955561121</v>
      </c>
      <c r="F525">
        <v>11.724830529751451</v>
      </c>
      <c r="G525">
        <v>42.75671604318353</v>
      </c>
      <c r="H525">
        <v>11.724830529751451</v>
      </c>
      <c r="I525">
        <v>0</v>
      </c>
      <c r="J525">
        <v>0</v>
      </c>
      <c r="K525">
        <v>0</v>
      </c>
      <c r="L525">
        <v>1</v>
      </c>
      <c r="M525">
        <v>0</v>
      </c>
      <c r="N525">
        <v>35</v>
      </c>
      <c r="O525">
        <v>35000</v>
      </c>
      <c r="P525">
        <v>1</v>
      </c>
      <c r="Q525">
        <v>1</v>
      </c>
      <c r="R525">
        <v>1</v>
      </c>
      <c r="S525">
        <v>1</v>
      </c>
      <c r="T525" s="123">
        <f t="shared" si="42"/>
        <v>0</v>
      </c>
      <c r="U525">
        <f t="shared" si="43"/>
        <v>0</v>
      </c>
      <c r="V525">
        <f t="shared" si="44"/>
        <v>0</v>
      </c>
      <c r="W525">
        <f t="shared" si="45"/>
        <v>0</v>
      </c>
      <c r="X525">
        <f t="shared" si="46"/>
        <v>0</v>
      </c>
    </row>
    <row r="526" spans="1:24">
      <c r="A526" t="s">
        <v>163</v>
      </c>
      <c r="B526">
        <v>6</v>
      </c>
      <c r="C526">
        <v>1</v>
      </c>
      <c r="D526">
        <v>19.055987948782331</v>
      </c>
      <c r="E526">
        <v>13.005272407732869</v>
      </c>
      <c r="F526">
        <v>11.73738388149636</v>
      </c>
      <c r="G526">
        <v>71.93070549836807</v>
      </c>
      <c r="H526">
        <v>1.908109465227215</v>
      </c>
      <c r="I526">
        <v>0</v>
      </c>
      <c r="J526">
        <v>0</v>
      </c>
      <c r="K526">
        <v>0</v>
      </c>
      <c r="L526">
        <v>1</v>
      </c>
      <c r="M526">
        <v>0</v>
      </c>
      <c r="N526">
        <v>35</v>
      </c>
      <c r="O526">
        <v>35000</v>
      </c>
      <c r="P526">
        <v>1</v>
      </c>
      <c r="Q526">
        <v>1</v>
      </c>
      <c r="R526">
        <v>1</v>
      </c>
      <c r="S526">
        <v>1</v>
      </c>
      <c r="T526" s="123">
        <f t="shared" si="42"/>
        <v>0</v>
      </c>
      <c r="U526">
        <f t="shared" si="43"/>
        <v>0</v>
      </c>
      <c r="V526">
        <f t="shared" si="44"/>
        <v>0</v>
      </c>
      <c r="W526">
        <f t="shared" si="45"/>
        <v>0</v>
      </c>
      <c r="X526">
        <f t="shared" si="46"/>
        <v>0</v>
      </c>
    </row>
    <row r="527" spans="1:24">
      <c r="A527" t="s">
        <v>163</v>
      </c>
      <c r="B527">
        <v>7</v>
      </c>
      <c r="C527">
        <v>1</v>
      </c>
      <c r="D527">
        <v>1.87044940999247</v>
      </c>
      <c r="E527">
        <v>22.847100175746931</v>
      </c>
      <c r="F527">
        <v>3.9919658548832562</v>
      </c>
      <c r="G527">
        <v>89.743911624403722</v>
      </c>
      <c r="H527">
        <v>83.228722068792365</v>
      </c>
      <c r="I527">
        <v>0</v>
      </c>
      <c r="J527">
        <v>1</v>
      </c>
      <c r="K527">
        <v>0</v>
      </c>
      <c r="L527">
        <v>1</v>
      </c>
      <c r="M527">
        <v>0</v>
      </c>
      <c r="N527">
        <v>35</v>
      </c>
      <c r="O527">
        <v>35000</v>
      </c>
      <c r="P527">
        <v>1</v>
      </c>
      <c r="Q527">
        <v>1</v>
      </c>
      <c r="R527">
        <v>1</v>
      </c>
      <c r="S527">
        <v>1</v>
      </c>
      <c r="T527" s="123">
        <f t="shared" si="42"/>
        <v>0</v>
      </c>
      <c r="U527">
        <f t="shared" si="43"/>
        <v>0</v>
      </c>
      <c r="V527">
        <f t="shared" si="44"/>
        <v>0</v>
      </c>
      <c r="W527">
        <f t="shared" si="45"/>
        <v>0</v>
      </c>
      <c r="X527">
        <f t="shared" si="46"/>
        <v>0</v>
      </c>
    </row>
    <row r="528" spans="1:24" hidden="1">
      <c r="A528" t="s">
        <v>164</v>
      </c>
      <c r="B528">
        <v>1</v>
      </c>
      <c r="C528">
        <v>1</v>
      </c>
      <c r="D528">
        <v>4.4175392670157079</v>
      </c>
      <c r="E528">
        <v>2.9973821989528799</v>
      </c>
      <c r="F528">
        <v>2.9973821989528799</v>
      </c>
      <c r="G528">
        <v>2.7748691099476419</v>
      </c>
      <c r="H528">
        <v>3.3115183246073321</v>
      </c>
      <c r="I528">
        <v>1</v>
      </c>
      <c r="J528">
        <v>0</v>
      </c>
      <c r="K528">
        <v>0</v>
      </c>
      <c r="L528">
        <v>1</v>
      </c>
      <c r="M528">
        <v>1</v>
      </c>
      <c r="N528">
        <v>50</v>
      </c>
      <c r="O528">
        <v>-99</v>
      </c>
      <c r="P528">
        <v>2</v>
      </c>
      <c r="Q528">
        <v>3</v>
      </c>
      <c r="R528">
        <v>4</v>
      </c>
      <c r="S528">
        <v>5</v>
      </c>
      <c r="T528" s="123">
        <f t="shared" si="42"/>
        <v>1</v>
      </c>
      <c r="U528">
        <f t="shared" si="43"/>
        <v>0</v>
      </c>
      <c r="V528">
        <f t="shared" si="44"/>
        <v>0</v>
      </c>
      <c r="W528">
        <f t="shared" si="45"/>
        <v>1</v>
      </c>
      <c r="X528">
        <f t="shared" si="46"/>
        <v>1</v>
      </c>
    </row>
    <row r="529" spans="1:24" hidden="1">
      <c r="A529" t="s">
        <v>164</v>
      </c>
      <c r="B529">
        <v>2</v>
      </c>
      <c r="C529">
        <v>1</v>
      </c>
      <c r="D529">
        <v>4.2473821989528817</v>
      </c>
      <c r="E529">
        <v>3.3638743455497391</v>
      </c>
      <c r="F529">
        <v>4.5157068062827213</v>
      </c>
      <c r="G529">
        <v>3.3180628272251318</v>
      </c>
      <c r="H529">
        <v>7.7159685863874339</v>
      </c>
      <c r="I529">
        <v>0</v>
      </c>
      <c r="J529">
        <v>0</v>
      </c>
      <c r="K529">
        <v>0</v>
      </c>
      <c r="L529">
        <v>1</v>
      </c>
      <c r="M529">
        <v>1</v>
      </c>
      <c r="N529">
        <v>50</v>
      </c>
      <c r="O529">
        <v>-99</v>
      </c>
      <c r="P529">
        <v>2</v>
      </c>
      <c r="Q529">
        <v>3</v>
      </c>
      <c r="R529">
        <v>4</v>
      </c>
      <c r="S529">
        <v>5</v>
      </c>
      <c r="T529" s="123">
        <f t="shared" si="42"/>
        <v>1</v>
      </c>
      <c r="U529">
        <f t="shared" si="43"/>
        <v>0</v>
      </c>
      <c r="V529">
        <f t="shared" si="44"/>
        <v>0</v>
      </c>
      <c r="W529">
        <f t="shared" si="45"/>
        <v>1</v>
      </c>
      <c r="X529">
        <f t="shared" si="46"/>
        <v>1</v>
      </c>
    </row>
    <row r="530" spans="1:24" hidden="1">
      <c r="A530" t="s">
        <v>164</v>
      </c>
      <c r="B530">
        <v>3</v>
      </c>
      <c r="C530">
        <v>1</v>
      </c>
      <c r="D530">
        <v>6.0994764397905747</v>
      </c>
      <c r="E530">
        <v>0</v>
      </c>
      <c r="F530">
        <v>0</v>
      </c>
      <c r="G530">
        <v>2.8752699784017288</v>
      </c>
      <c r="H530">
        <v>0</v>
      </c>
      <c r="I530">
        <v>0</v>
      </c>
      <c r="J530">
        <v>0</v>
      </c>
      <c r="K530">
        <v>0</v>
      </c>
      <c r="L530">
        <v>1</v>
      </c>
      <c r="M530">
        <v>1</v>
      </c>
      <c r="N530">
        <v>50</v>
      </c>
      <c r="O530">
        <v>-99</v>
      </c>
      <c r="P530">
        <v>2</v>
      </c>
      <c r="Q530">
        <v>3</v>
      </c>
      <c r="R530">
        <v>4</v>
      </c>
      <c r="S530">
        <v>5</v>
      </c>
      <c r="T530" s="123">
        <f t="shared" si="42"/>
        <v>1</v>
      </c>
      <c r="U530">
        <f t="shared" si="43"/>
        <v>0</v>
      </c>
      <c r="V530">
        <f t="shared" si="44"/>
        <v>0</v>
      </c>
      <c r="W530">
        <f t="shared" si="45"/>
        <v>1</v>
      </c>
      <c r="X530">
        <f t="shared" si="46"/>
        <v>1</v>
      </c>
    </row>
    <row r="531" spans="1:24" hidden="1">
      <c r="A531" t="s">
        <v>164</v>
      </c>
      <c r="B531">
        <v>4</v>
      </c>
      <c r="C531">
        <v>1</v>
      </c>
      <c r="D531">
        <v>1.518628509719222</v>
      </c>
      <c r="E531">
        <v>1.977591792656586</v>
      </c>
      <c r="F531">
        <v>3.9956803455723562</v>
      </c>
      <c r="G531">
        <v>1.4646328293736519</v>
      </c>
      <c r="H531">
        <v>1.680615550755937</v>
      </c>
      <c r="I531">
        <v>0</v>
      </c>
      <c r="J531">
        <v>0</v>
      </c>
      <c r="K531">
        <v>0</v>
      </c>
      <c r="L531">
        <v>1</v>
      </c>
      <c r="M531">
        <v>1</v>
      </c>
      <c r="N531">
        <v>50</v>
      </c>
      <c r="O531">
        <v>-99</v>
      </c>
      <c r="P531">
        <v>2</v>
      </c>
      <c r="Q531">
        <v>3</v>
      </c>
      <c r="R531">
        <v>4</v>
      </c>
      <c r="S531">
        <v>5</v>
      </c>
      <c r="T531" s="123">
        <f t="shared" si="42"/>
        <v>1</v>
      </c>
      <c r="U531">
        <f t="shared" si="43"/>
        <v>0</v>
      </c>
      <c r="V531">
        <f t="shared" si="44"/>
        <v>0</v>
      </c>
      <c r="W531">
        <f t="shared" si="45"/>
        <v>1</v>
      </c>
      <c r="X531">
        <f t="shared" si="46"/>
        <v>1</v>
      </c>
    </row>
    <row r="532" spans="1:24" hidden="1">
      <c r="A532" t="s">
        <v>164</v>
      </c>
      <c r="B532">
        <v>5</v>
      </c>
      <c r="C532">
        <v>1</v>
      </c>
      <c r="D532">
        <v>4.0496760259179254</v>
      </c>
      <c r="E532">
        <v>0</v>
      </c>
      <c r="F532">
        <v>13.667656587472999</v>
      </c>
      <c r="G532">
        <v>5.615550755939525</v>
      </c>
      <c r="H532">
        <v>3.9484341252699782</v>
      </c>
      <c r="I532">
        <v>0</v>
      </c>
      <c r="J532">
        <v>0</v>
      </c>
      <c r="K532">
        <v>0</v>
      </c>
      <c r="L532">
        <v>1</v>
      </c>
      <c r="M532">
        <v>1</v>
      </c>
      <c r="N532">
        <v>50</v>
      </c>
      <c r="O532">
        <v>-99</v>
      </c>
      <c r="P532">
        <v>2</v>
      </c>
      <c r="Q532">
        <v>3</v>
      </c>
      <c r="R532">
        <v>4</v>
      </c>
      <c r="S532">
        <v>5</v>
      </c>
      <c r="T532" s="123">
        <f t="shared" si="42"/>
        <v>1</v>
      </c>
      <c r="U532">
        <f t="shared" si="43"/>
        <v>0</v>
      </c>
      <c r="V532">
        <f t="shared" si="44"/>
        <v>0</v>
      </c>
      <c r="W532">
        <f t="shared" si="45"/>
        <v>1</v>
      </c>
      <c r="X532">
        <f t="shared" si="46"/>
        <v>1</v>
      </c>
    </row>
    <row r="533" spans="1:24" hidden="1">
      <c r="A533" t="s">
        <v>164</v>
      </c>
      <c r="B533">
        <v>6</v>
      </c>
      <c r="C533">
        <v>1</v>
      </c>
      <c r="D533">
        <v>2.4230561555075578</v>
      </c>
      <c r="E533">
        <v>2.7537796976241919</v>
      </c>
      <c r="F533">
        <v>12.979211663066961</v>
      </c>
      <c r="G533">
        <v>1.6266198704103669</v>
      </c>
      <c r="H533">
        <v>2.4770518358531342</v>
      </c>
      <c r="I533">
        <v>0</v>
      </c>
      <c r="J533">
        <v>0</v>
      </c>
      <c r="K533">
        <v>0</v>
      </c>
      <c r="L533">
        <v>1</v>
      </c>
      <c r="M533">
        <v>1</v>
      </c>
      <c r="N533">
        <v>50</v>
      </c>
      <c r="O533">
        <v>-99</v>
      </c>
      <c r="P533">
        <v>2</v>
      </c>
      <c r="Q533">
        <v>3</v>
      </c>
      <c r="R533">
        <v>4</v>
      </c>
      <c r="S533">
        <v>5</v>
      </c>
      <c r="T533" s="123">
        <f t="shared" si="42"/>
        <v>1</v>
      </c>
      <c r="U533">
        <f t="shared" si="43"/>
        <v>0</v>
      </c>
      <c r="V533">
        <f t="shared" si="44"/>
        <v>0</v>
      </c>
      <c r="W533">
        <f t="shared" si="45"/>
        <v>1</v>
      </c>
      <c r="X533">
        <f t="shared" si="46"/>
        <v>1</v>
      </c>
    </row>
    <row r="534" spans="1:24">
      <c r="A534" t="s">
        <v>164</v>
      </c>
      <c r="B534">
        <v>7</v>
      </c>
      <c r="C534">
        <v>1</v>
      </c>
      <c r="D534">
        <v>18.51063829787234</v>
      </c>
      <c r="E534">
        <v>11.4468085106383</v>
      </c>
      <c r="F534">
        <v>12.9468085106383</v>
      </c>
      <c r="G534">
        <v>33.244680851063833</v>
      </c>
      <c r="H534">
        <v>50</v>
      </c>
      <c r="I534">
        <v>0</v>
      </c>
      <c r="J534">
        <v>1</v>
      </c>
      <c r="K534">
        <v>0</v>
      </c>
      <c r="L534">
        <v>1</v>
      </c>
      <c r="M534">
        <v>1</v>
      </c>
      <c r="N534">
        <v>50</v>
      </c>
      <c r="O534">
        <v>-99</v>
      </c>
      <c r="P534">
        <v>2</v>
      </c>
      <c r="Q534">
        <v>3</v>
      </c>
      <c r="R534">
        <v>4</v>
      </c>
      <c r="S534">
        <v>5</v>
      </c>
      <c r="T534" s="123">
        <f t="shared" si="42"/>
        <v>0</v>
      </c>
      <c r="U534">
        <f t="shared" si="43"/>
        <v>0</v>
      </c>
      <c r="V534">
        <f t="shared" si="44"/>
        <v>0</v>
      </c>
      <c r="W534">
        <f t="shared" si="45"/>
        <v>1</v>
      </c>
      <c r="X534">
        <f t="shared" si="46"/>
        <v>1</v>
      </c>
    </row>
    <row r="535" spans="1:24">
      <c r="A535" t="s">
        <v>165</v>
      </c>
      <c r="B535">
        <v>1</v>
      </c>
      <c r="C535">
        <v>1</v>
      </c>
      <c r="D535">
        <v>95.855064507274221</v>
      </c>
      <c r="E535">
        <v>99.149052978314572</v>
      </c>
      <c r="F535">
        <v>98.229481196815811</v>
      </c>
      <c r="G535">
        <v>3.060664287674991</v>
      </c>
      <c r="H535">
        <v>4.1449354927257769</v>
      </c>
      <c r="I535">
        <v>1</v>
      </c>
      <c r="J535">
        <v>0</v>
      </c>
      <c r="K535">
        <v>1</v>
      </c>
      <c r="L535">
        <v>1</v>
      </c>
      <c r="M535">
        <v>1</v>
      </c>
      <c r="N535">
        <v>30</v>
      </c>
      <c r="O535">
        <v>75000</v>
      </c>
      <c r="P535">
        <v>5</v>
      </c>
      <c r="Q535">
        <v>4</v>
      </c>
      <c r="R535">
        <v>5</v>
      </c>
      <c r="S535">
        <v>5</v>
      </c>
      <c r="T535" s="123">
        <f t="shared" si="42"/>
        <v>0</v>
      </c>
      <c r="U535">
        <f t="shared" si="43"/>
        <v>1</v>
      </c>
      <c r="V535">
        <f t="shared" si="44"/>
        <v>1</v>
      </c>
      <c r="W535">
        <f t="shared" si="45"/>
        <v>1</v>
      </c>
      <c r="X535">
        <f t="shared" si="46"/>
        <v>1</v>
      </c>
    </row>
    <row r="536" spans="1:24">
      <c r="A536" t="s">
        <v>165</v>
      </c>
      <c r="B536">
        <v>2</v>
      </c>
      <c r="C536">
        <v>1</v>
      </c>
      <c r="D536">
        <v>97.255009607466377</v>
      </c>
      <c r="E536">
        <v>92.698325555860549</v>
      </c>
      <c r="F536">
        <v>94.359044743343404</v>
      </c>
      <c r="G536">
        <v>0.87839692561075822</v>
      </c>
      <c r="H536">
        <v>1.4548449080428241</v>
      </c>
      <c r="I536">
        <v>0</v>
      </c>
      <c r="J536">
        <v>0</v>
      </c>
      <c r="K536">
        <v>1</v>
      </c>
      <c r="L536">
        <v>1</v>
      </c>
      <c r="M536">
        <v>1</v>
      </c>
      <c r="N536">
        <v>30</v>
      </c>
      <c r="O536">
        <v>75000</v>
      </c>
      <c r="P536">
        <v>5</v>
      </c>
      <c r="Q536">
        <v>4</v>
      </c>
      <c r="R536">
        <v>5</v>
      </c>
      <c r="S536">
        <v>5</v>
      </c>
      <c r="T536" s="123">
        <f t="shared" si="42"/>
        <v>0</v>
      </c>
      <c r="U536">
        <f t="shared" si="43"/>
        <v>1</v>
      </c>
      <c r="V536">
        <f t="shared" si="44"/>
        <v>1</v>
      </c>
      <c r="W536">
        <f t="shared" si="45"/>
        <v>1</v>
      </c>
      <c r="X536">
        <f t="shared" si="46"/>
        <v>1</v>
      </c>
    </row>
    <row r="537" spans="1:24">
      <c r="A537" t="s">
        <v>165</v>
      </c>
      <c r="B537">
        <v>3</v>
      </c>
      <c r="C537">
        <v>1</v>
      </c>
      <c r="D537">
        <v>84.257480098819656</v>
      </c>
      <c r="E537">
        <v>50</v>
      </c>
      <c r="F537">
        <v>63.752401866593473</v>
      </c>
      <c r="G537">
        <v>5.640955256656599</v>
      </c>
      <c r="H537">
        <v>17.183639857260498</v>
      </c>
      <c r="I537">
        <v>0</v>
      </c>
      <c r="J537">
        <v>0</v>
      </c>
      <c r="K537">
        <v>1</v>
      </c>
      <c r="L537">
        <v>1</v>
      </c>
      <c r="M537">
        <v>1</v>
      </c>
      <c r="N537">
        <v>30</v>
      </c>
      <c r="O537">
        <v>75000</v>
      </c>
      <c r="P537">
        <v>5</v>
      </c>
      <c r="Q537">
        <v>4</v>
      </c>
      <c r="R537">
        <v>5</v>
      </c>
      <c r="S537">
        <v>5</v>
      </c>
      <c r="T537" s="123">
        <f t="shared" si="42"/>
        <v>0</v>
      </c>
      <c r="U537">
        <f t="shared" si="43"/>
        <v>1</v>
      </c>
      <c r="V537">
        <f t="shared" si="44"/>
        <v>1</v>
      </c>
      <c r="W537">
        <f t="shared" si="45"/>
        <v>1</v>
      </c>
      <c r="X537">
        <f t="shared" si="46"/>
        <v>1</v>
      </c>
    </row>
    <row r="538" spans="1:24">
      <c r="A538" t="s">
        <v>165</v>
      </c>
      <c r="B538">
        <v>4</v>
      </c>
      <c r="C538">
        <v>1</v>
      </c>
      <c r="D538">
        <v>96.11583859456492</v>
      </c>
      <c r="E538">
        <v>93.466922865769959</v>
      </c>
      <c r="F538">
        <v>95.264891572879492</v>
      </c>
      <c r="G538">
        <v>4.2959099643151264</v>
      </c>
      <c r="H538">
        <v>100</v>
      </c>
      <c r="I538">
        <v>0</v>
      </c>
      <c r="J538">
        <v>0</v>
      </c>
      <c r="K538">
        <v>1</v>
      </c>
      <c r="L538">
        <v>1</v>
      </c>
      <c r="M538">
        <v>1</v>
      </c>
      <c r="N538">
        <v>30</v>
      </c>
      <c r="O538">
        <v>75000</v>
      </c>
      <c r="P538">
        <v>5</v>
      </c>
      <c r="Q538">
        <v>4</v>
      </c>
      <c r="R538">
        <v>5</v>
      </c>
      <c r="S538">
        <v>5</v>
      </c>
      <c r="T538" s="123">
        <f t="shared" si="42"/>
        <v>0</v>
      </c>
      <c r="U538">
        <f t="shared" si="43"/>
        <v>1</v>
      </c>
      <c r="V538">
        <f t="shared" si="44"/>
        <v>1</v>
      </c>
      <c r="W538">
        <f t="shared" si="45"/>
        <v>1</v>
      </c>
      <c r="X538">
        <f t="shared" si="46"/>
        <v>1</v>
      </c>
    </row>
    <row r="539" spans="1:24">
      <c r="A539" t="s">
        <v>165</v>
      </c>
      <c r="B539">
        <v>5</v>
      </c>
      <c r="C539">
        <v>1</v>
      </c>
      <c r="D539">
        <v>97.474608838869074</v>
      </c>
      <c r="E539">
        <v>98.421630524293164</v>
      </c>
      <c r="F539">
        <v>97.680483118309084</v>
      </c>
      <c r="G539">
        <v>1.1117211089761161</v>
      </c>
      <c r="H539">
        <v>4.007685973099095</v>
      </c>
      <c r="I539">
        <v>0</v>
      </c>
      <c r="J539">
        <v>0</v>
      </c>
      <c r="K539">
        <v>1</v>
      </c>
      <c r="L539">
        <v>1</v>
      </c>
      <c r="M539">
        <v>1</v>
      </c>
      <c r="N539">
        <v>30</v>
      </c>
      <c r="O539">
        <v>75000</v>
      </c>
      <c r="P539">
        <v>5</v>
      </c>
      <c r="Q539">
        <v>4</v>
      </c>
      <c r="R539">
        <v>5</v>
      </c>
      <c r="S539">
        <v>5</v>
      </c>
      <c r="T539" s="123">
        <f t="shared" si="42"/>
        <v>0</v>
      </c>
      <c r="U539">
        <f t="shared" si="43"/>
        <v>1</v>
      </c>
      <c r="V539">
        <f t="shared" si="44"/>
        <v>1</v>
      </c>
      <c r="W539">
        <f t="shared" si="45"/>
        <v>1</v>
      </c>
      <c r="X539">
        <f t="shared" si="46"/>
        <v>1</v>
      </c>
    </row>
    <row r="540" spans="1:24">
      <c r="A540" t="s">
        <v>165</v>
      </c>
      <c r="B540">
        <v>6</v>
      </c>
      <c r="C540">
        <v>1</v>
      </c>
      <c r="D540">
        <v>97.790282734010418</v>
      </c>
      <c r="E540">
        <v>94.043370848202017</v>
      </c>
      <c r="F540">
        <v>96.802086192698326</v>
      </c>
      <c r="G540">
        <v>5.2017567938512199</v>
      </c>
      <c r="H540">
        <v>95.690365083722213</v>
      </c>
      <c r="I540">
        <v>0</v>
      </c>
      <c r="J540">
        <v>0</v>
      </c>
      <c r="K540">
        <v>1</v>
      </c>
      <c r="L540">
        <v>1</v>
      </c>
      <c r="M540">
        <v>1</v>
      </c>
      <c r="N540">
        <v>30</v>
      </c>
      <c r="O540">
        <v>75000</v>
      </c>
      <c r="P540">
        <v>5</v>
      </c>
      <c r="Q540">
        <v>4</v>
      </c>
      <c r="R540">
        <v>5</v>
      </c>
      <c r="S540">
        <v>5</v>
      </c>
      <c r="T540" s="123">
        <f t="shared" si="42"/>
        <v>0</v>
      </c>
      <c r="U540">
        <f t="shared" si="43"/>
        <v>1</v>
      </c>
      <c r="V540">
        <f t="shared" si="44"/>
        <v>1</v>
      </c>
      <c r="W540">
        <f t="shared" si="45"/>
        <v>1</v>
      </c>
      <c r="X540">
        <f t="shared" si="46"/>
        <v>1</v>
      </c>
    </row>
    <row r="541" spans="1:24">
      <c r="A541" t="s">
        <v>165</v>
      </c>
      <c r="B541">
        <v>7</v>
      </c>
      <c r="C541">
        <v>1</v>
      </c>
      <c r="D541">
        <v>96.225638210266268</v>
      </c>
      <c r="E541">
        <v>97.00796047213835</v>
      </c>
      <c r="F541">
        <v>96.060938786714246</v>
      </c>
      <c r="G541">
        <v>2.3057919297282461</v>
      </c>
      <c r="H541">
        <v>3.060664287674991</v>
      </c>
      <c r="I541">
        <v>0</v>
      </c>
      <c r="J541">
        <v>1</v>
      </c>
      <c r="K541">
        <v>1</v>
      </c>
      <c r="L541">
        <v>1</v>
      </c>
      <c r="M541">
        <v>1</v>
      </c>
      <c r="N541">
        <v>30</v>
      </c>
      <c r="O541">
        <v>75000</v>
      </c>
      <c r="P541">
        <v>5</v>
      </c>
      <c r="Q541">
        <v>4</v>
      </c>
      <c r="R541">
        <v>5</v>
      </c>
      <c r="S541">
        <v>5</v>
      </c>
      <c r="T541" s="123">
        <f t="shared" si="42"/>
        <v>0</v>
      </c>
      <c r="U541">
        <f t="shared" si="43"/>
        <v>1</v>
      </c>
      <c r="V541">
        <f t="shared" si="44"/>
        <v>1</v>
      </c>
      <c r="W541">
        <f t="shared" si="45"/>
        <v>1</v>
      </c>
      <c r="X541">
        <f t="shared" si="46"/>
        <v>1</v>
      </c>
    </row>
    <row r="542" spans="1:24">
      <c r="A542" t="s">
        <v>166</v>
      </c>
      <c r="B542">
        <v>1</v>
      </c>
      <c r="C542">
        <v>1</v>
      </c>
      <c r="D542">
        <v>94.805414551607441</v>
      </c>
      <c r="E542">
        <v>98.891708967851102</v>
      </c>
      <c r="F542">
        <v>99.33164128595601</v>
      </c>
      <c r="G542">
        <v>6.3028764805414532</v>
      </c>
      <c r="H542">
        <v>16.920473773265659</v>
      </c>
      <c r="I542">
        <v>1</v>
      </c>
      <c r="J542">
        <v>0</v>
      </c>
      <c r="K542">
        <v>1</v>
      </c>
      <c r="L542">
        <v>1</v>
      </c>
      <c r="M542">
        <v>0</v>
      </c>
      <c r="N542">
        <v>28</v>
      </c>
      <c r="O542">
        <v>25000</v>
      </c>
      <c r="P542">
        <v>2</v>
      </c>
      <c r="Q542">
        <v>4</v>
      </c>
      <c r="R542">
        <v>5</v>
      </c>
      <c r="S542">
        <v>4</v>
      </c>
      <c r="T542" s="123">
        <f t="shared" si="42"/>
        <v>0</v>
      </c>
      <c r="U542">
        <f t="shared" si="43"/>
        <v>0</v>
      </c>
      <c r="V542">
        <f t="shared" si="44"/>
        <v>1</v>
      </c>
      <c r="W542">
        <f t="shared" si="45"/>
        <v>1</v>
      </c>
      <c r="X542">
        <f t="shared" si="46"/>
        <v>1</v>
      </c>
    </row>
    <row r="543" spans="1:24">
      <c r="A543" t="s">
        <v>166</v>
      </c>
      <c r="B543">
        <v>2</v>
      </c>
      <c r="C543">
        <v>1</v>
      </c>
      <c r="D543">
        <v>99.323181049069376</v>
      </c>
      <c r="E543">
        <v>84.086294416243661</v>
      </c>
      <c r="F543">
        <v>99.737732656514382</v>
      </c>
      <c r="G543">
        <v>4.7800338409475449</v>
      </c>
      <c r="H543">
        <v>0.54991539763113439</v>
      </c>
      <c r="I543">
        <v>0</v>
      </c>
      <c r="J543">
        <v>0</v>
      </c>
      <c r="K543">
        <v>1</v>
      </c>
      <c r="L543">
        <v>1</v>
      </c>
      <c r="M543">
        <v>0</v>
      </c>
      <c r="N543">
        <v>28</v>
      </c>
      <c r="O543">
        <v>25000</v>
      </c>
      <c r="P543">
        <v>2</v>
      </c>
      <c r="Q543">
        <v>4</v>
      </c>
      <c r="R543">
        <v>5</v>
      </c>
      <c r="S543">
        <v>4</v>
      </c>
      <c r="T543" s="123">
        <f t="shared" si="42"/>
        <v>0</v>
      </c>
      <c r="U543">
        <f t="shared" si="43"/>
        <v>0</v>
      </c>
      <c r="V543">
        <f t="shared" si="44"/>
        <v>1</v>
      </c>
      <c r="W543">
        <f t="shared" si="45"/>
        <v>1</v>
      </c>
      <c r="X543">
        <f t="shared" si="46"/>
        <v>1</v>
      </c>
    </row>
    <row r="544" spans="1:24">
      <c r="A544" t="s">
        <v>166</v>
      </c>
      <c r="B544">
        <v>3</v>
      </c>
      <c r="C544">
        <v>1</v>
      </c>
      <c r="D544">
        <v>99.610829103214883</v>
      </c>
      <c r="E544">
        <v>98.48561759729273</v>
      </c>
      <c r="F544">
        <v>97.64805414551607</v>
      </c>
      <c r="G544">
        <v>28.079526226734352</v>
      </c>
      <c r="H544">
        <v>1.1082910321488999</v>
      </c>
      <c r="I544">
        <v>0</v>
      </c>
      <c r="J544">
        <v>0</v>
      </c>
      <c r="K544">
        <v>1</v>
      </c>
      <c r="L544">
        <v>1</v>
      </c>
      <c r="M544">
        <v>0</v>
      </c>
      <c r="N544">
        <v>28</v>
      </c>
      <c r="O544">
        <v>25000</v>
      </c>
      <c r="P544">
        <v>2</v>
      </c>
      <c r="Q544">
        <v>4</v>
      </c>
      <c r="R544">
        <v>5</v>
      </c>
      <c r="S544">
        <v>4</v>
      </c>
      <c r="T544" s="123">
        <f t="shared" si="42"/>
        <v>0</v>
      </c>
      <c r="U544">
        <f t="shared" si="43"/>
        <v>0</v>
      </c>
      <c r="V544">
        <f t="shared" si="44"/>
        <v>1</v>
      </c>
      <c r="W544">
        <f t="shared" si="45"/>
        <v>1</v>
      </c>
      <c r="X544">
        <f t="shared" si="46"/>
        <v>1</v>
      </c>
    </row>
    <row r="545" spans="1:24">
      <c r="A545" t="s">
        <v>166</v>
      </c>
      <c r="B545">
        <v>4</v>
      </c>
      <c r="C545">
        <v>1</v>
      </c>
      <c r="D545">
        <v>96.818613485280153</v>
      </c>
      <c r="E545">
        <v>81.600189933523268</v>
      </c>
      <c r="F545">
        <v>86.609686609686605</v>
      </c>
      <c r="G545">
        <v>2.9083570750237429</v>
      </c>
      <c r="H545">
        <v>50</v>
      </c>
      <c r="I545">
        <v>0</v>
      </c>
      <c r="J545">
        <v>0</v>
      </c>
      <c r="K545">
        <v>1</v>
      </c>
      <c r="L545">
        <v>1</v>
      </c>
      <c r="M545">
        <v>0</v>
      </c>
      <c r="N545">
        <v>28</v>
      </c>
      <c r="O545">
        <v>25000</v>
      </c>
      <c r="P545">
        <v>2</v>
      </c>
      <c r="Q545">
        <v>4</v>
      </c>
      <c r="R545">
        <v>5</v>
      </c>
      <c r="S545">
        <v>4</v>
      </c>
      <c r="T545" s="123">
        <f t="shared" si="42"/>
        <v>0</v>
      </c>
      <c r="U545">
        <f t="shared" si="43"/>
        <v>0</v>
      </c>
      <c r="V545">
        <f t="shared" si="44"/>
        <v>1</v>
      </c>
      <c r="W545">
        <f t="shared" si="45"/>
        <v>1</v>
      </c>
      <c r="X545">
        <f t="shared" si="46"/>
        <v>1</v>
      </c>
    </row>
    <row r="546" spans="1:24">
      <c r="A546" t="s">
        <v>166</v>
      </c>
      <c r="B546">
        <v>5</v>
      </c>
      <c r="C546">
        <v>1</v>
      </c>
      <c r="D546">
        <v>100</v>
      </c>
      <c r="E546">
        <v>100</v>
      </c>
      <c r="F546">
        <v>98.646723646723643</v>
      </c>
      <c r="G546">
        <v>3.4900284900284899</v>
      </c>
      <c r="H546">
        <v>16.785375118708451</v>
      </c>
      <c r="I546">
        <v>0</v>
      </c>
      <c r="J546">
        <v>0</v>
      </c>
      <c r="K546">
        <v>1</v>
      </c>
      <c r="L546">
        <v>1</v>
      </c>
      <c r="M546">
        <v>0</v>
      </c>
      <c r="N546">
        <v>28</v>
      </c>
      <c r="O546">
        <v>25000</v>
      </c>
      <c r="P546">
        <v>2</v>
      </c>
      <c r="Q546">
        <v>4</v>
      </c>
      <c r="R546">
        <v>5</v>
      </c>
      <c r="S546">
        <v>4</v>
      </c>
      <c r="T546" s="123">
        <f t="shared" si="42"/>
        <v>0</v>
      </c>
      <c r="U546">
        <f t="shared" si="43"/>
        <v>0</v>
      </c>
      <c r="V546">
        <f t="shared" si="44"/>
        <v>1</v>
      </c>
      <c r="W546">
        <f t="shared" si="45"/>
        <v>1</v>
      </c>
      <c r="X546">
        <f t="shared" si="46"/>
        <v>1</v>
      </c>
    </row>
    <row r="547" spans="1:24">
      <c r="A547" t="s">
        <v>166</v>
      </c>
      <c r="B547">
        <v>6</v>
      </c>
      <c r="C547">
        <v>1</v>
      </c>
      <c r="D547">
        <v>94.646248812915474</v>
      </c>
      <c r="E547">
        <v>96.735517568850909</v>
      </c>
      <c r="F547">
        <v>58.641975308641968</v>
      </c>
      <c r="G547">
        <v>2.8015194681861368</v>
      </c>
      <c r="H547">
        <v>2.2554605887939232</v>
      </c>
      <c r="I547">
        <v>0</v>
      </c>
      <c r="J547">
        <v>0</v>
      </c>
      <c r="K547">
        <v>1</v>
      </c>
      <c r="L547">
        <v>1</v>
      </c>
      <c r="M547">
        <v>0</v>
      </c>
      <c r="N547">
        <v>28</v>
      </c>
      <c r="O547">
        <v>25000</v>
      </c>
      <c r="P547">
        <v>2</v>
      </c>
      <c r="Q547">
        <v>4</v>
      </c>
      <c r="R547">
        <v>5</v>
      </c>
      <c r="S547">
        <v>4</v>
      </c>
      <c r="T547" s="123">
        <f t="shared" si="42"/>
        <v>0</v>
      </c>
      <c r="U547">
        <f t="shared" si="43"/>
        <v>0</v>
      </c>
      <c r="V547">
        <f t="shared" si="44"/>
        <v>1</v>
      </c>
      <c r="W547">
        <f t="shared" si="45"/>
        <v>1</v>
      </c>
      <c r="X547">
        <f t="shared" si="46"/>
        <v>1</v>
      </c>
    </row>
    <row r="548" spans="1:24">
      <c r="A548" t="s">
        <v>166</v>
      </c>
      <c r="B548">
        <v>7</v>
      </c>
      <c r="C548">
        <v>1</v>
      </c>
      <c r="D548">
        <v>97.07977207977207</v>
      </c>
      <c r="E548">
        <v>97.210351377018043</v>
      </c>
      <c r="F548">
        <v>95.489078822412154</v>
      </c>
      <c r="G548">
        <v>9.6035137701804381</v>
      </c>
      <c r="H548">
        <v>20.156695156695161</v>
      </c>
      <c r="I548">
        <v>0</v>
      </c>
      <c r="J548">
        <v>1</v>
      </c>
      <c r="K548">
        <v>1</v>
      </c>
      <c r="L548">
        <v>1</v>
      </c>
      <c r="M548">
        <v>0</v>
      </c>
      <c r="N548">
        <v>28</v>
      </c>
      <c r="O548">
        <v>25000</v>
      </c>
      <c r="P548">
        <v>2</v>
      </c>
      <c r="Q548">
        <v>4</v>
      </c>
      <c r="R548">
        <v>5</v>
      </c>
      <c r="S548">
        <v>4</v>
      </c>
      <c r="T548" s="123">
        <f t="shared" si="42"/>
        <v>0</v>
      </c>
      <c r="U548">
        <f t="shared" si="43"/>
        <v>0</v>
      </c>
      <c r="V548">
        <f t="shared" si="44"/>
        <v>1</v>
      </c>
      <c r="W548">
        <f t="shared" si="45"/>
        <v>1</v>
      </c>
      <c r="X548">
        <f t="shared" si="46"/>
        <v>1</v>
      </c>
    </row>
    <row r="549" spans="1:24">
      <c r="A549" t="s">
        <v>167</v>
      </c>
      <c r="B549">
        <v>1</v>
      </c>
      <c r="C549">
        <v>1</v>
      </c>
      <c r="D549">
        <v>94.474002418379683</v>
      </c>
      <c r="E549">
        <v>87.799274486094319</v>
      </c>
      <c r="F549">
        <v>85.973397823458285</v>
      </c>
      <c r="G549">
        <v>50</v>
      </c>
      <c r="H549">
        <v>50</v>
      </c>
      <c r="I549">
        <v>1</v>
      </c>
      <c r="J549">
        <v>0</v>
      </c>
      <c r="K549">
        <v>1</v>
      </c>
      <c r="L549">
        <v>1</v>
      </c>
      <c r="M549">
        <v>0</v>
      </c>
      <c r="N549">
        <v>38</v>
      </c>
      <c r="O549">
        <v>92000</v>
      </c>
      <c r="P549">
        <v>1</v>
      </c>
      <c r="Q549">
        <v>1</v>
      </c>
      <c r="R549">
        <v>4</v>
      </c>
      <c r="S549">
        <v>2</v>
      </c>
      <c r="T549" s="123">
        <f t="shared" si="42"/>
        <v>0</v>
      </c>
      <c r="U549">
        <f t="shared" si="43"/>
        <v>0</v>
      </c>
      <c r="V549">
        <f t="shared" si="44"/>
        <v>0</v>
      </c>
      <c r="W549">
        <f t="shared" si="45"/>
        <v>1</v>
      </c>
      <c r="X549">
        <f t="shared" si="46"/>
        <v>0</v>
      </c>
    </row>
    <row r="550" spans="1:24">
      <c r="A550" t="s">
        <v>167</v>
      </c>
      <c r="B550">
        <v>2</v>
      </c>
      <c r="C550">
        <v>1</v>
      </c>
      <c r="D550">
        <v>95.997581620314392</v>
      </c>
      <c r="E550">
        <v>98.863361547763006</v>
      </c>
      <c r="F550">
        <v>78.996372430471581</v>
      </c>
      <c r="G550">
        <v>16.2515114873035</v>
      </c>
      <c r="H550">
        <v>19.044740024183788</v>
      </c>
      <c r="I550">
        <v>0</v>
      </c>
      <c r="J550">
        <v>0</v>
      </c>
      <c r="K550">
        <v>1</v>
      </c>
      <c r="L550">
        <v>1</v>
      </c>
      <c r="M550">
        <v>0</v>
      </c>
      <c r="N550">
        <v>38</v>
      </c>
      <c r="O550">
        <v>92000</v>
      </c>
      <c r="P550">
        <v>1</v>
      </c>
      <c r="Q550">
        <v>1</v>
      </c>
      <c r="R550">
        <v>4</v>
      </c>
      <c r="S550">
        <v>2</v>
      </c>
      <c r="T550" s="123">
        <f t="shared" si="42"/>
        <v>0</v>
      </c>
      <c r="U550">
        <f t="shared" si="43"/>
        <v>0</v>
      </c>
      <c r="V550">
        <f t="shared" si="44"/>
        <v>0</v>
      </c>
      <c r="W550">
        <f t="shared" si="45"/>
        <v>1</v>
      </c>
      <c r="X550">
        <f t="shared" si="46"/>
        <v>0</v>
      </c>
    </row>
    <row r="551" spans="1:24">
      <c r="A551" t="s">
        <v>167</v>
      </c>
      <c r="B551">
        <v>3</v>
      </c>
      <c r="C551">
        <v>1</v>
      </c>
      <c r="D551">
        <v>4.8367593712212829</v>
      </c>
      <c r="E551">
        <v>11.75332527206772</v>
      </c>
      <c r="F551">
        <v>4.4135429262394226</v>
      </c>
      <c r="G551">
        <v>81.934703748488516</v>
      </c>
      <c r="H551">
        <v>2.7327690447400239</v>
      </c>
      <c r="I551">
        <v>0</v>
      </c>
      <c r="J551">
        <v>0</v>
      </c>
      <c r="K551">
        <v>0</v>
      </c>
      <c r="L551">
        <v>1</v>
      </c>
      <c r="M551">
        <v>0</v>
      </c>
      <c r="N551">
        <v>38</v>
      </c>
      <c r="O551">
        <v>92000</v>
      </c>
      <c r="P551">
        <v>1</v>
      </c>
      <c r="Q551">
        <v>1</v>
      </c>
      <c r="R551">
        <v>4</v>
      </c>
      <c r="S551">
        <v>2</v>
      </c>
      <c r="T551" s="123">
        <f t="shared" si="42"/>
        <v>0</v>
      </c>
      <c r="U551">
        <f t="shared" si="43"/>
        <v>0</v>
      </c>
      <c r="V551">
        <f t="shared" si="44"/>
        <v>0</v>
      </c>
      <c r="W551">
        <f t="shared" si="45"/>
        <v>1</v>
      </c>
      <c r="X551">
        <f t="shared" si="46"/>
        <v>0</v>
      </c>
    </row>
    <row r="552" spans="1:24">
      <c r="A552" t="s">
        <v>167</v>
      </c>
      <c r="B552">
        <v>4</v>
      </c>
      <c r="C552">
        <v>1</v>
      </c>
      <c r="D552">
        <v>4.4377267230955253</v>
      </c>
      <c r="E552">
        <v>11.281741233373641</v>
      </c>
      <c r="F552">
        <v>1.777509068923822</v>
      </c>
      <c r="G552">
        <v>82.756952841596132</v>
      </c>
      <c r="H552">
        <v>86.7956469165659</v>
      </c>
      <c r="I552">
        <v>0</v>
      </c>
      <c r="J552">
        <v>0</v>
      </c>
      <c r="K552">
        <v>0</v>
      </c>
      <c r="L552">
        <v>1</v>
      </c>
      <c r="M552">
        <v>0</v>
      </c>
      <c r="N552">
        <v>38</v>
      </c>
      <c r="O552">
        <v>92000</v>
      </c>
      <c r="P552">
        <v>1</v>
      </c>
      <c r="Q552">
        <v>1</v>
      </c>
      <c r="R552">
        <v>4</v>
      </c>
      <c r="S552">
        <v>2</v>
      </c>
      <c r="T552" s="123">
        <f t="shared" si="42"/>
        <v>0</v>
      </c>
      <c r="U552">
        <f t="shared" si="43"/>
        <v>0</v>
      </c>
      <c r="V552">
        <f t="shared" si="44"/>
        <v>0</v>
      </c>
      <c r="W552">
        <f t="shared" si="45"/>
        <v>1</v>
      </c>
      <c r="X552">
        <f t="shared" si="46"/>
        <v>0</v>
      </c>
    </row>
    <row r="553" spans="1:24">
      <c r="A553" t="s">
        <v>167</v>
      </c>
      <c r="B553">
        <v>5</v>
      </c>
      <c r="C553">
        <v>1</v>
      </c>
      <c r="D553">
        <v>3.7605804111245482</v>
      </c>
      <c r="E553">
        <v>3.9540507859733949</v>
      </c>
      <c r="F553">
        <v>36.964933494558643</v>
      </c>
      <c r="G553">
        <v>93.712212817412336</v>
      </c>
      <c r="H553">
        <v>94.220072551390572</v>
      </c>
      <c r="I553">
        <v>0</v>
      </c>
      <c r="J553">
        <v>0</v>
      </c>
      <c r="K553">
        <v>0</v>
      </c>
      <c r="L553">
        <v>1</v>
      </c>
      <c r="M553">
        <v>0</v>
      </c>
      <c r="N553">
        <v>38</v>
      </c>
      <c r="O553">
        <v>92000</v>
      </c>
      <c r="P553">
        <v>1</v>
      </c>
      <c r="Q553">
        <v>1</v>
      </c>
      <c r="R553">
        <v>4</v>
      </c>
      <c r="S553">
        <v>2</v>
      </c>
      <c r="T553" s="123">
        <f t="shared" si="42"/>
        <v>0</v>
      </c>
      <c r="U553">
        <f t="shared" si="43"/>
        <v>0</v>
      </c>
      <c r="V553">
        <f t="shared" si="44"/>
        <v>0</v>
      </c>
      <c r="W553">
        <f t="shared" si="45"/>
        <v>1</v>
      </c>
      <c r="X553">
        <f t="shared" si="46"/>
        <v>0</v>
      </c>
    </row>
    <row r="554" spans="1:24">
      <c r="A554" t="s">
        <v>167</v>
      </c>
      <c r="B554">
        <v>6</v>
      </c>
      <c r="C554">
        <v>1</v>
      </c>
      <c r="D554">
        <v>9.9153567110036249</v>
      </c>
      <c r="E554">
        <v>0</v>
      </c>
      <c r="F554">
        <v>1.5719467956469171</v>
      </c>
      <c r="G554">
        <v>85.066505441354295</v>
      </c>
      <c r="H554">
        <v>90.084643288996375</v>
      </c>
      <c r="I554">
        <v>0</v>
      </c>
      <c r="J554">
        <v>0</v>
      </c>
      <c r="K554">
        <v>0</v>
      </c>
      <c r="L554">
        <v>1</v>
      </c>
      <c r="M554">
        <v>0</v>
      </c>
      <c r="N554">
        <v>38</v>
      </c>
      <c r="O554">
        <v>92000</v>
      </c>
      <c r="P554">
        <v>1</v>
      </c>
      <c r="Q554">
        <v>1</v>
      </c>
      <c r="R554">
        <v>4</v>
      </c>
      <c r="S554">
        <v>2</v>
      </c>
      <c r="T554" s="123">
        <f t="shared" si="42"/>
        <v>0</v>
      </c>
      <c r="U554">
        <f t="shared" si="43"/>
        <v>0</v>
      </c>
      <c r="V554">
        <f t="shared" si="44"/>
        <v>0</v>
      </c>
      <c r="W554">
        <f t="shared" si="45"/>
        <v>1</v>
      </c>
      <c r="X554">
        <f t="shared" si="46"/>
        <v>0</v>
      </c>
    </row>
    <row r="555" spans="1:24">
      <c r="A555" t="s">
        <v>167</v>
      </c>
      <c r="B555">
        <v>7</v>
      </c>
      <c r="C555">
        <v>1</v>
      </c>
      <c r="D555">
        <v>4.3530834340991529</v>
      </c>
      <c r="E555">
        <v>3.1197097944377248</v>
      </c>
      <c r="F555">
        <v>7.6783555018137832</v>
      </c>
      <c r="G555">
        <v>94.667472793228541</v>
      </c>
      <c r="H555">
        <v>91.378476420798066</v>
      </c>
      <c r="I555">
        <v>0</v>
      </c>
      <c r="J555">
        <v>1</v>
      </c>
      <c r="K555">
        <v>0</v>
      </c>
      <c r="L555">
        <v>1</v>
      </c>
      <c r="M555">
        <v>0</v>
      </c>
      <c r="N555">
        <v>38</v>
      </c>
      <c r="O555">
        <v>92000</v>
      </c>
      <c r="P555">
        <v>1</v>
      </c>
      <c r="Q555">
        <v>1</v>
      </c>
      <c r="R555">
        <v>4</v>
      </c>
      <c r="S555">
        <v>2</v>
      </c>
      <c r="T555" s="123">
        <f t="shared" si="42"/>
        <v>0</v>
      </c>
      <c r="U555">
        <f t="shared" si="43"/>
        <v>0</v>
      </c>
      <c r="V555">
        <f t="shared" si="44"/>
        <v>0</v>
      </c>
      <c r="W555">
        <f t="shared" si="45"/>
        <v>1</v>
      </c>
      <c r="X555">
        <f t="shared" si="46"/>
        <v>0</v>
      </c>
    </row>
    <row r="556" spans="1:24">
      <c r="A556" t="s">
        <v>168</v>
      </c>
      <c r="B556">
        <v>1</v>
      </c>
      <c r="C556">
        <v>1</v>
      </c>
      <c r="D556">
        <v>99.041970802919707</v>
      </c>
      <c r="E556">
        <v>97.741788321167888</v>
      </c>
      <c r="F556">
        <v>91.571624087591246</v>
      </c>
      <c r="G556">
        <v>2.2582116788321169</v>
      </c>
      <c r="H556">
        <v>40.066149635036503</v>
      </c>
      <c r="I556">
        <v>1</v>
      </c>
      <c r="J556">
        <v>0</v>
      </c>
      <c r="K556">
        <v>1</v>
      </c>
      <c r="L556">
        <v>1</v>
      </c>
      <c r="M556">
        <v>0</v>
      </c>
      <c r="N556">
        <v>31</v>
      </c>
      <c r="O556">
        <v>95000</v>
      </c>
      <c r="P556">
        <v>1</v>
      </c>
      <c r="Q556">
        <v>2</v>
      </c>
      <c r="R556">
        <v>3</v>
      </c>
      <c r="S556">
        <v>2</v>
      </c>
      <c r="T556" s="123">
        <f t="shared" si="42"/>
        <v>0</v>
      </c>
      <c r="U556">
        <f t="shared" si="43"/>
        <v>0</v>
      </c>
      <c r="V556">
        <f t="shared" si="44"/>
        <v>0</v>
      </c>
      <c r="W556">
        <f t="shared" si="45"/>
        <v>0</v>
      </c>
      <c r="X556">
        <f t="shared" si="46"/>
        <v>0</v>
      </c>
    </row>
    <row r="557" spans="1:24">
      <c r="A557" t="s">
        <v>168</v>
      </c>
      <c r="B557">
        <v>2</v>
      </c>
      <c r="C557">
        <v>1</v>
      </c>
      <c r="D557">
        <v>5.360401459854014</v>
      </c>
      <c r="E557">
        <v>10.994525547445249</v>
      </c>
      <c r="F557">
        <v>8.6564781021897801</v>
      </c>
      <c r="G557">
        <v>98.049726277372258</v>
      </c>
      <c r="H557">
        <v>90.967153284671525</v>
      </c>
      <c r="I557">
        <v>0</v>
      </c>
      <c r="J557">
        <v>0</v>
      </c>
      <c r="K557">
        <v>0</v>
      </c>
      <c r="L557">
        <v>1</v>
      </c>
      <c r="M557">
        <v>0</v>
      </c>
      <c r="N557">
        <v>31</v>
      </c>
      <c r="O557">
        <v>95000</v>
      </c>
      <c r="P557">
        <v>1</v>
      </c>
      <c r="Q557">
        <v>2</v>
      </c>
      <c r="R557">
        <v>3</v>
      </c>
      <c r="S557">
        <v>2</v>
      </c>
      <c r="T557" s="123">
        <f t="shared" si="42"/>
        <v>0</v>
      </c>
      <c r="U557">
        <f t="shared" si="43"/>
        <v>0</v>
      </c>
      <c r="V557">
        <f t="shared" si="44"/>
        <v>0</v>
      </c>
      <c r="W557">
        <f t="shared" si="45"/>
        <v>0</v>
      </c>
      <c r="X557">
        <f t="shared" si="46"/>
        <v>0</v>
      </c>
    </row>
    <row r="558" spans="1:24">
      <c r="A558" t="s">
        <v>168</v>
      </c>
      <c r="B558">
        <v>3</v>
      </c>
      <c r="C558">
        <v>1</v>
      </c>
      <c r="D558">
        <v>3.4443430656934342</v>
      </c>
      <c r="E558">
        <v>6.4781021897810209</v>
      </c>
      <c r="F558">
        <v>6.8088503649635026</v>
      </c>
      <c r="G558">
        <v>98.471715328467141</v>
      </c>
      <c r="H558">
        <v>88.252737226277375</v>
      </c>
      <c r="I558">
        <v>0</v>
      </c>
      <c r="J558">
        <v>0</v>
      </c>
      <c r="K558">
        <v>0</v>
      </c>
      <c r="L558">
        <v>1</v>
      </c>
      <c r="M558">
        <v>0</v>
      </c>
      <c r="N558">
        <v>31</v>
      </c>
      <c r="O558">
        <v>95000</v>
      </c>
      <c r="P558">
        <v>1</v>
      </c>
      <c r="Q558">
        <v>2</v>
      </c>
      <c r="R558">
        <v>3</v>
      </c>
      <c r="S558">
        <v>2</v>
      </c>
      <c r="T558" s="123">
        <f t="shared" si="42"/>
        <v>0</v>
      </c>
      <c r="U558">
        <f t="shared" si="43"/>
        <v>0</v>
      </c>
      <c r="V558">
        <f t="shared" si="44"/>
        <v>0</v>
      </c>
      <c r="W558">
        <f t="shared" si="45"/>
        <v>0</v>
      </c>
      <c r="X558">
        <f t="shared" si="46"/>
        <v>0</v>
      </c>
    </row>
    <row r="559" spans="1:24">
      <c r="A559" t="s">
        <v>168</v>
      </c>
      <c r="B559">
        <v>4</v>
      </c>
      <c r="C559">
        <v>1</v>
      </c>
      <c r="D559">
        <v>0.94662408759124128</v>
      </c>
      <c r="E559">
        <v>0</v>
      </c>
      <c r="F559">
        <v>6.9571167883211658</v>
      </c>
      <c r="G559">
        <v>99.566605839416056</v>
      </c>
      <c r="H559">
        <v>99.475364963503637</v>
      </c>
      <c r="I559">
        <v>0</v>
      </c>
      <c r="J559">
        <v>0</v>
      </c>
      <c r="K559">
        <v>0</v>
      </c>
      <c r="L559">
        <v>1</v>
      </c>
      <c r="M559">
        <v>0</v>
      </c>
      <c r="N559">
        <v>31</v>
      </c>
      <c r="O559">
        <v>95000</v>
      </c>
      <c r="P559">
        <v>1</v>
      </c>
      <c r="Q559">
        <v>2</v>
      </c>
      <c r="R559">
        <v>3</v>
      </c>
      <c r="S559">
        <v>2</v>
      </c>
      <c r="T559" s="123">
        <f t="shared" si="42"/>
        <v>0</v>
      </c>
      <c r="U559">
        <f t="shared" si="43"/>
        <v>0</v>
      </c>
      <c r="V559">
        <f t="shared" si="44"/>
        <v>0</v>
      </c>
      <c r="W559">
        <f t="shared" si="45"/>
        <v>0</v>
      </c>
      <c r="X559">
        <f t="shared" si="46"/>
        <v>0</v>
      </c>
    </row>
    <row r="560" spans="1:24">
      <c r="A560" t="s">
        <v>168</v>
      </c>
      <c r="B560">
        <v>5</v>
      </c>
      <c r="C560">
        <v>1</v>
      </c>
      <c r="D560">
        <v>1.7449817518248201</v>
      </c>
      <c r="E560">
        <v>3.0907846715328482</v>
      </c>
      <c r="F560">
        <v>7.3334854014598552</v>
      </c>
      <c r="G560">
        <v>78.752281021897801</v>
      </c>
      <c r="H560">
        <v>95.643248175182478</v>
      </c>
      <c r="I560">
        <v>0</v>
      </c>
      <c r="J560">
        <v>0</v>
      </c>
      <c r="K560">
        <v>0</v>
      </c>
      <c r="L560">
        <v>1</v>
      </c>
      <c r="M560">
        <v>0</v>
      </c>
      <c r="N560">
        <v>31</v>
      </c>
      <c r="O560">
        <v>95000</v>
      </c>
      <c r="P560">
        <v>1</v>
      </c>
      <c r="Q560">
        <v>2</v>
      </c>
      <c r="R560">
        <v>3</v>
      </c>
      <c r="S560">
        <v>2</v>
      </c>
      <c r="T560" s="123">
        <f t="shared" si="42"/>
        <v>0</v>
      </c>
      <c r="U560">
        <f t="shared" si="43"/>
        <v>0</v>
      </c>
      <c r="V560">
        <f t="shared" si="44"/>
        <v>0</v>
      </c>
      <c r="W560">
        <f t="shared" si="45"/>
        <v>0</v>
      </c>
      <c r="X560">
        <f t="shared" si="46"/>
        <v>0</v>
      </c>
    </row>
    <row r="561" spans="1:24">
      <c r="A561" t="s">
        <v>168</v>
      </c>
      <c r="B561">
        <v>6</v>
      </c>
      <c r="C561">
        <v>1</v>
      </c>
      <c r="D561">
        <v>4.9726277372262757</v>
      </c>
      <c r="E561">
        <v>2.9197080291970821</v>
      </c>
      <c r="F561">
        <v>6.877281021897808</v>
      </c>
      <c r="G561">
        <v>93.077098540145982</v>
      </c>
      <c r="H561">
        <v>96.259124087591246</v>
      </c>
      <c r="I561">
        <v>0</v>
      </c>
      <c r="J561">
        <v>0</v>
      </c>
      <c r="K561">
        <v>0</v>
      </c>
      <c r="L561">
        <v>1</v>
      </c>
      <c r="M561">
        <v>0</v>
      </c>
      <c r="N561">
        <v>31</v>
      </c>
      <c r="O561">
        <v>95000</v>
      </c>
      <c r="P561">
        <v>1</v>
      </c>
      <c r="Q561">
        <v>2</v>
      </c>
      <c r="R561">
        <v>3</v>
      </c>
      <c r="S561">
        <v>2</v>
      </c>
      <c r="T561" s="123">
        <f t="shared" si="42"/>
        <v>0</v>
      </c>
      <c r="U561">
        <f t="shared" si="43"/>
        <v>0</v>
      </c>
      <c r="V561">
        <f t="shared" si="44"/>
        <v>0</v>
      </c>
      <c r="W561">
        <f t="shared" si="45"/>
        <v>0</v>
      </c>
      <c r="X561">
        <f t="shared" si="46"/>
        <v>0</v>
      </c>
    </row>
    <row r="562" spans="1:24">
      <c r="A562" t="s">
        <v>168</v>
      </c>
      <c r="B562">
        <v>7</v>
      </c>
      <c r="C562">
        <v>1</v>
      </c>
      <c r="D562">
        <v>3.0801786973900791</v>
      </c>
      <c r="E562">
        <v>50</v>
      </c>
      <c r="F562">
        <v>13.719727251351991</v>
      </c>
      <c r="G562">
        <v>92.899130025864096</v>
      </c>
      <c r="H562">
        <v>91.241476604749593</v>
      </c>
      <c r="I562">
        <v>0</v>
      </c>
      <c r="J562">
        <v>1</v>
      </c>
      <c r="K562">
        <v>0</v>
      </c>
      <c r="L562">
        <v>1</v>
      </c>
      <c r="M562">
        <v>0</v>
      </c>
      <c r="N562">
        <v>31</v>
      </c>
      <c r="O562">
        <v>95000</v>
      </c>
      <c r="P562">
        <v>1</v>
      </c>
      <c r="Q562">
        <v>2</v>
      </c>
      <c r="R562">
        <v>3</v>
      </c>
      <c r="S562">
        <v>2</v>
      </c>
      <c r="T562" s="123">
        <f t="shared" si="42"/>
        <v>0</v>
      </c>
      <c r="U562">
        <f t="shared" si="43"/>
        <v>0</v>
      </c>
      <c r="V562">
        <f t="shared" si="44"/>
        <v>0</v>
      </c>
      <c r="W562">
        <f t="shared" si="45"/>
        <v>0</v>
      </c>
      <c r="X562">
        <f t="shared" si="46"/>
        <v>0</v>
      </c>
    </row>
    <row r="563" spans="1:24">
      <c r="A563" t="s">
        <v>169</v>
      </c>
      <c r="B563">
        <v>1</v>
      </c>
      <c r="C563">
        <v>1</v>
      </c>
      <c r="D563">
        <v>5.6632041550139842</v>
      </c>
      <c r="E563">
        <v>9.278865361566119</v>
      </c>
      <c r="F563">
        <v>8.9792249300839018</v>
      </c>
      <c r="G563">
        <v>90.681182580902913</v>
      </c>
      <c r="H563">
        <v>18.68757491010787</v>
      </c>
      <c r="I563">
        <v>1</v>
      </c>
      <c r="J563">
        <v>0</v>
      </c>
      <c r="K563">
        <v>0</v>
      </c>
      <c r="L563">
        <v>1</v>
      </c>
      <c r="M563">
        <v>1</v>
      </c>
      <c r="N563">
        <v>21</v>
      </c>
      <c r="O563">
        <v>75000</v>
      </c>
      <c r="P563">
        <v>3</v>
      </c>
      <c r="Q563">
        <v>2</v>
      </c>
      <c r="R563">
        <v>3</v>
      </c>
      <c r="S563">
        <v>3</v>
      </c>
      <c r="T563" s="123">
        <f t="shared" si="42"/>
        <v>0</v>
      </c>
      <c r="U563">
        <f t="shared" si="43"/>
        <v>0</v>
      </c>
      <c r="V563">
        <f t="shared" si="44"/>
        <v>0</v>
      </c>
      <c r="W563">
        <f t="shared" si="45"/>
        <v>0</v>
      </c>
      <c r="X563">
        <f t="shared" si="46"/>
        <v>0</v>
      </c>
    </row>
    <row r="564" spans="1:24">
      <c r="A564" t="s">
        <v>169</v>
      </c>
      <c r="B564">
        <v>2</v>
      </c>
      <c r="C564">
        <v>1</v>
      </c>
      <c r="D564">
        <v>3.8154214942069502</v>
      </c>
      <c r="E564">
        <v>8.1502197363164228</v>
      </c>
      <c r="F564">
        <v>16.320415501398319</v>
      </c>
      <c r="G564">
        <v>94.506592089492614</v>
      </c>
      <c r="H564">
        <v>92.01957650819017</v>
      </c>
      <c r="I564">
        <v>0</v>
      </c>
      <c r="J564">
        <v>0</v>
      </c>
      <c r="K564">
        <v>0</v>
      </c>
      <c r="L564">
        <v>1</v>
      </c>
      <c r="M564">
        <v>1</v>
      </c>
      <c r="N564">
        <v>21</v>
      </c>
      <c r="O564">
        <v>75000</v>
      </c>
      <c r="P564">
        <v>3</v>
      </c>
      <c r="Q564">
        <v>2</v>
      </c>
      <c r="R564">
        <v>3</v>
      </c>
      <c r="S564">
        <v>3</v>
      </c>
      <c r="T564" s="123">
        <f t="shared" si="42"/>
        <v>0</v>
      </c>
      <c r="U564">
        <f t="shared" si="43"/>
        <v>0</v>
      </c>
      <c r="V564">
        <f t="shared" si="44"/>
        <v>0</v>
      </c>
      <c r="W564">
        <f t="shared" si="45"/>
        <v>0</v>
      </c>
      <c r="X564">
        <f t="shared" si="46"/>
        <v>0</v>
      </c>
    </row>
    <row r="565" spans="1:24" hidden="1">
      <c r="A565" t="s">
        <v>169</v>
      </c>
      <c r="B565">
        <v>3</v>
      </c>
      <c r="C565">
        <v>1</v>
      </c>
      <c r="D565">
        <v>14.82221334398721</v>
      </c>
      <c r="E565">
        <v>7.321214542548943</v>
      </c>
      <c r="F565">
        <v>1.148621654015181</v>
      </c>
      <c r="G565">
        <v>0</v>
      </c>
      <c r="H565">
        <v>85.337594886136642</v>
      </c>
      <c r="I565">
        <v>0</v>
      </c>
      <c r="J565">
        <v>0</v>
      </c>
      <c r="K565">
        <v>0</v>
      </c>
      <c r="L565">
        <v>1</v>
      </c>
      <c r="M565">
        <v>1</v>
      </c>
      <c r="N565">
        <v>21</v>
      </c>
      <c r="O565">
        <v>75000</v>
      </c>
      <c r="P565">
        <v>3</v>
      </c>
      <c r="Q565">
        <v>2</v>
      </c>
      <c r="R565">
        <v>3</v>
      </c>
      <c r="S565">
        <v>3</v>
      </c>
      <c r="T565" s="123">
        <f t="shared" si="42"/>
        <v>1</v>
      </c>
      <c r="U565">
        <f t="shared" si="43"/>
        <v>0</v>
      </c>
      <c r="V565">
        <f t="shared" si="44"/>
        <v>0</v>
      </c>
      <c r="W565">
        <f t="shared" si="45"/>
        <v>0</v>
      </c>
      <c r="X565">
        <f t="shared" si="46"/>
        <v>0</v>
      </c>
    </row>
    <row r="566" spans="1:24" hidden="1">
      <c r="A566" t="s">
        <v>169</v>
      </c>
      <c r="B566">
        <v>4</v>
      </c>
      <c r="C566">
        <v>1</v>
      </c>
      <c r="D566">
        <v>24.425078673444691</v>
      </c>
      <c r="E566">
        <v>50</v>
      </c>
      <c r="F566">
        <v>7.4437182280319538</v>
      </c>
      <c r="G566">
        <v>32.48608085209392</v>
      </c>
      <c r="H566">
        <v>94.359719196320498</v>
      </c>
      <c r="I566">
        <v>0</v>
      </c>
      <c r="J566">
        <v>0</v>
      </c>
      <c r="K566">
        <v>0</v>
      </c>
      <c r="L566">
        <v>1</v>
      </c>
      <c r="M566">
        <v>1</v>
      </c>
      <c r="N566">
        <v>21</v>
      </c>
      <c r="O566">
        <v>75000</v>
      </c>
      <c r="P566">
        <v>3</v>
      </c>
      <c r="Q566">
        <v>2</v>
      </c>
      <c r="R566">
        <v>3</v>
      </c>
      <c r="S566">
        <v>3</v>
      </c>
      <c r="T566" s="123">
        <f t="shared" si="42"/>
        <v>1</v>
      </c>
      <c r="U566">
        <f t="shared" si="43"/>
        <v>0</v>
      </c>
      <c r="V566">
        <f t="shared" si="44"/>
        <v>0</v>
      </c>
      <c r="W566">
        <f t="shared" si="45"/>
        <v>0</v>
      </c>
      <c r="X566">
        <f t="shared" si="46"/>
        <v>0</v>
      </c>
    </row>
    <row r="567" spans="1:24">
      <c r="A567" t="s">
        <v>169</v>
      </c>
      <c r="B567">
        <v>5</v>
      </c>
      <c r="C567">
        <v>1</v>
      </c>
      <c r="D567">
        <v>10.30016945049625</v>
      </c>
      <c r="E567">
        <v>11.72839506172839</v>
      </c>
      <c r="F567">
        <v>32.728152989590903</v>
      </c>
      <c r="G567">
        <v>82.873396272089082</v>
      </c>
      <c r="H567">
        <v>92.955700798838052</v>
      </c>
      <c r="I567">
        <v>0</v>
      </c>
      <c r="J567">
        <v>0</v>
      </c>
      <c r="K567">
        <v>0</v>
      </c>
      <c r="L567">
        <v>1</v>
      </c>
      <c r="M567">
        <v>1</v>
      </c>
      <c r="N567">
        <v>21</v>
      </c>
      <c r="O567">
        <v>75000</v>
      </c>
      <c r="P567">
        <v>3</v>
      </c>
      <c r="Q567">
        <v>2</v>
      </c>
      <c r="R567">
        <v>3</v>
      </c>
      <c r="S567">
        <v>3</v>
      </c>
      <c r="T567" s="123">
        <f t="shared" si="42"/>
        <v>0</v>
      </c>
      <c r="U567">
        <f t="shared" si="43"/>
        <v>0</v>
      </c>
      <c r="V567">
        <f t="shared" si="44"/>
        <v>0</v>
      </c>
      <c r="W567">
        <f t="shared" si="45"/>
        <v>0</v>
      </c>
      <c r="X567">
        <f t="shared" si="46"/>
        <v>0</v>
      </c>
    </row>
    <row r="568" spans="1:24">
      <c r="A568" t="s">
        <v>169</v>
      </c>
      <c r="B568">
        <v>6</v>
      </c>
      <c r="C568">
        <v>1</v>
      </c>
      <c r="D568">
        <v>36.698136044541272</v>
      </c>
      <c r="E568">
        <v>2.493343016218835</v>
      </c>
      <c r="F568">
        <v>5.2408617768094912</v>
      </c>
      <c r="G568">
        <v>63.301863955458728</v>
      </c>
      <c r="H568">
        <v>77.184701040910198</v>
      </c>
      <c r="I568">
        <v>0</v>
      </c>
      <c r="J568">
        <v>0</v>
      </c>
      <c r="K568">
        <v>0</v>
      </c>
      <c r="L568">
        <v>1</v>
      </c>
      <c r="M568">
        <v>1</v>
      </c>
      <c r="N568">
        <v>21</v>
      </c>
      <c r="O568">
        <v>75000</v>
      </c>
      <c r="P568">
        <v>3</v>
      </c>
      <c r="Q568">
        <v>2</v>
      </c>
      <c r="R568">
        <v>3</v>
      </c>
      <c r="S568">
        <v>3</v>
      </c>
      <c r="T568" s="123">
        <f t="shared" si="42"/>
        <v>0</v>
      </c>
      <c r="U568">
        <f t="shared" si="43"/>
        <v>0</v>
      </c>
      <c r="V568">
        <f t="shared" si="44"/>
        <v>0</v>
      </c>
      <c r="W568">
        <f t="shared" si="45"/>
        <v>0</v>
      </c>
      <c r="X568">
        <f t="shared" si="46"/>
        <v>0</v>
      </c>
    </row>
    <row r="569" spans="1:24">
      <c r="A569" t="s">
        <v>169</v>
      </c>
      <c r="B569">
        <v>7</v>
      </c>
      <c r="C569">
        <v>1</v>
      </c>
      <c r="D569">
        <v>18.579036552892759</v>
      </c>
      <c r="E569">
        <v>6.0396998305495053</v>
      </c>
      <c r="F569">
        <v>7.6494795449043806</v>
      </c>
      <c r="G569">
        <v>93.960300169450491</v>
      </c>
      <c r="H569">
        <v>88.090050835148872</v>
      </c>
      <c r="I569">
        <v>0</v>
      </c>
      <c r="J569">
        <v>1</v>
      </c>
      <c r="K569">
        <v>0</v>
      </c>
      <c r="L569">
        <v>1</v>
      </c>
      <c r="M569">
        <v>1</v>
      </c>
      <c r="N569">
        <v>21</v>
      </c>
      <c r="O569">
        <v>75000</v>
      </c>
      <c r="P569">
        <v>3</v>
      </c>
      <c r="Q569">
        <v>2</v>
      </c>
      <c r="R569">
        <v>3</v>
      </c>
      <c r="S569">
        <v>3</v>
      </c>
      <c r="T569" s="123">
        <f t="shared" si="42"/>
        <v>0</v>
      </c>
      <c r="U569">
        <f t="shared" si="43"/>
        <v>0</v>
      </c>
      <c r="V569">
        <f t="shared" si="44"/>
        <v>0</v>
      </c>
      <c r="W569">
        <f t="shared" si="45"/>
        <v>0</v>
      </c>
      <c r="X569">
        <f t="shared" si="46"/>
        <v>0</v>
      </c>
    </row>
    <row r="570" spans="1:24">
      <c r="A570" t="s">
        <v>170</v>
      </c>
      <c r="B570">
        <v>1</v>
      </c>
      <c r="C570">
        <v>1</v>
      </c>
      <c r="D570">
        <v>94.623655913978496</v>
      </c>
      <c r="E570">
        <v>49.354838709677423</v>
      </c>
      <c r="F570">
        <v>5.913978494623656</v>
      </c>
      <c r="G570">
        <v>3.333333333333333</v>
      </c>
      <c r="H570">
        <v>7.2043010752688152</v>
      </c>
      <c r="I570">
        <v>1</v>
      </c>
      <c r="J570">
        <v>0</v>
      </c>
      <c r="K570">
        <v>1</v>
      </c>
      <c r="L570">
        <v>1</v>
      </c>
      <c r="M570">
        <v>0</v>
      </c>
      <c r="N570">
        <v>61</v>
      </c>
      <c r="O570">
        <v>120000</v>
      </c>
      <c r="P570">
        <v>3</v>
      </c>
      <c r="Q570">
        <v>4</v>
      </c>
      <c r="R570">
        <v>4</v>
      </c>
      <c r="S570">
        <v>4</v>
      </c>
      <c r="T570" s="123">
        <f t="shared" si="42"/>
        <v>0</v>
      </c>
      <c r="U570">
        <f t="shared" si="43"/>
        <v>0</v>
      </c>
      <c r="V570">
        <f t="shared" si="44"/>
        <v>1</v>
      </c>
      <c r="W570">
        <f t="shared" si="45"/>
        <v>1</v>
      </c>
      <c r="X570">
        <f t="shared" si="46"/>
        <v>1</v>
      </c>
    </row>
    <row r="571" spans="1:24">
      <c r="A571" t="s">
        <v>170</v>
      </c>
      <c r="B571">
        <v>2</v>
      </c>
      <c r="C571">
        <v>1</v>
      </c>
      <c r="D571">
        <v>1.0752688172042999</v>
      </c>
      <c r="E571">
        <v>0.96774193548387344</v>
      </c>
      <c r="F571">
        <v>1.8279569892473151</v>
      </c>
      <c r="G571">
        <v>98.172043010752688</v>
      </c>
      <c r="H571">
        <v>90.107526881720432</v>
      </c>
      <c r="I571">
        <v>0</v>
      </c>
      <c r="J571">
        <v>0</v>
      </c>
      <c r="K571">
        <v>0</v>
      </c>
      <c r="L571">
        <v>1</v>
      </c>
      <c r="M571">
        <v>0</v>
      </c>
      <c r="N571">
        <v>61</v>
      </c>
      <c r="O571">
        <v>120000</v>
      </c>
      <c r="P571">
        <v>3</v>
      </c>
      <c r="Q571">
        <v>4</v>
      </c>
      <c r="R571">
        <v>4</v>
      </c>
      <c r="S571">
        <v>4</v>
      </c>
      <c r="T571" s="123">
        <f t="shared" si="42"/>
        <v>0</v>
      </c>
      <c r="U571">
        <f t="shared" si="43"/>
        <v>0</v>
      </c>
      <c r="V571">
        <f t="shared" si="44"/>
        <v>1</v>
      </c>
      <c r="W571">
        <f t="shared" si="45"/>
        <v>1</v>
      </c>
      <c r="X571">
        <f t="shared" si="46"/>
        <v>1</v>
      </c>
    </row>
    <row r="572" spans="1:24">
      <c r="A572" t="s">
        <v>170</v>
      </c>
      <c r="B572">
        <v>3</v>
      </c>
      <c r="C572">
        <v>1</v>
      </c>
      <c r="D572">
        <v>1.720430107526882</v>
      </c>
      <c r="E572">
        <v>0</v>
      </c>
      <c r="F572">
        <v>0.21505376344085891</v>
      </c>
      <c r="G572">
        <v>94.623655913978496</v>
      </c>
      <c r="H572">
        <v>89.354838709677423</v>
      </c>
      <c r="I572">
        <v>0</v>
      </c>
      <c r="J572">
        <v>0</v>
      </c>
      <c r="K572">
        <v>0</v>
      </c>
      <c r="L572">
        <v>1</v>
      </c>
      <c r="M572">
        <v>0</v>
      </c>
      <c r="N572">
        <v>61</v>
      </c>
      <c r="O572">
        <v>120000</v>
      </c>
      <c r="P572">
        <v>3</v>
      </c>
      <c r="Q572">
        <v>4</v>
      </c>
      <c r="R572">
        <v>4</v>
      </c>
      <c r="S572">
        <v>4</v>
      </c>
      <c r="T572" s="123">
        <f t="shared" si="42"/>
        <v>0</v>
      </c>
      <c r="U572">
        <f t="shared" si="43"/>
        <v>0</v>
      </c>
      <c r="V572">
        <f t="shared" si="44"/>
        <v>1</v>
      </c>
      <c r="W572">
        <f t="shared" si="45"/>
        <v>1</v>
      </c>
      <c r="X572">
        <f t="shared" si="46"/>
        <v>1</v>
      </c>
    </row>
    <row r="573" spans="1:24">
      <c r="A573" t="s">
        <v>170</v>
      </c>
      <c r="B573">
        <v>4</v>
      </c>
      <c r="C573">
        <v>1</v>
      </c>
      <c r="D573">
        <v>50</v>
      </c>
      <c r="E573">
        <v>7.0833333333333304</v>
      </c>
      <c r="F573">
        <v>3.7768817204301088</v>
      </c>
      <c r="G573">
        <v>96.236559139784944</v>
      </c>
      <c r="H573">
        <v>94.731182795698913</v>
      </c>
      <c r="I573">
        <v>0</v>
      </c>
      <c r="J573">
        <v>0</v>
      </c>
      <c r="K573">
        <v>0</v>
      </c>
      <c r="L573">
        <v>1</v>
      </c>
      <c r="M573">
        <v>0</v>
      </c>
      <c r="N573">
        <v>61</v>
      </c>
      <c r="O573">
        <v>120000</v>
      </c>
      <c r="P573">
        <v>3</v>
      </c>
      <c r="Q573">
        <v>4</v>
      </c>
      <c r="R573">
        <v>4</v>
      </c>
      <c r="S573">
        <v>4</v>
      </c>
      <c r="T573" s="123">
        <f t="shared" si="42"/>
        <v>0</v>
      </c>
      <c r="U573">
        <f t="shared" si="43"/>
        <v>0</v>
      </c>
      <c r="V573">
        <f t="shared" si="44"/>
        <v>1</v>
      </c>
      <c r="W573">
        <f t="shared" si="45"/>
        <v>1</v>
      </c>
      <c r="X573">
        <f t="shared" si="46"/>
        <v>1</v>
      </c>
    </row>
    <row r="574" spans="1:24">
      <c r="A574" t="s">
        <v>170</v>
      </c>
      <c r="B574">
        <v>5</v>
      </c>
      <c r="C574">
        <v>1</v>
      </c>
      <c r="D574">
        <v>2.4731182795698912</v>
      </c>
      <c r="E574">
        <v>1.0752688172042999</v>
      </c>
      <c r="F574">
        <v>16.236559139784941</v>
      </c>
      <c r="G574">
        <v>98.27956989247312</v>
      </c>
      <c r="H574">
        <v>87.849462365591393</v>
      </c>
      <c r="I574">
        <v>0</v>
      </c>
      <c r="J574">
        <v>0</v>
      </c>
      <c r="K574">
        <v>0</v>
      </c>
      <c r="L574">
        <v>1</v>
      </c>
      <c r="M574">
        <v>0</v>
      </c>
      <c r="N574">
        <v>61</v>
      </c>
      <c r="O574">
        <v>120000</v>
      </c>
      <c r="P574">
        <v>3</v>
      </c>
      <c r="Q574">
        <v>4</v>
      </c>
      <c r="R574">
        <v>4</v>
      </c>
      <c r="S574">
        <v>4</v>
      </c>
      <c r="T574" s="123">
        <f t="shared" si="42"/>
        <v>0</v>
      </c>
      <c r="U574">
        <f t="shared" si="43"/>
        <v>0</v>
      </c>
      <c r="V574">
        <f t="shared" si="44"/>
        <v>1</v>
      </c>
      <c r="W574">
        <f t="shared" si="45"/>
        <v>1</v>
      </c>
      <c r="X574">
        <f t="shared" si="46"/>
        <v>1</v>
      </c>
    </row>
    <row r="575" spans="1:24">
      <c r="A575" t="s">
        <v>170</v>
      </c>
      <c r="B575">
        <v>6</v>
      </c>
      <c r="C575">
        <v>1</v>
      </c>
      <c r="D575">
        <v>11.0752688172043</v>
      </c>
      <c r="E575">
        <v>1.397849462365591</v>
      </c>
      <c r="F575">
        <v>96.451612903225808</v>
      </c>
      <c r="G575">
        <v>97.419354838709666</v>
      </c>
      <c r="H575">
        <v>97.204301075268816</v>
      </c>
      <c r="I575">
        <v>0</v>
      </c>
      <c r="J575">
        <v>0</v>
      </c>
      <c r="K575">
        <v>0</v>
      </c>
      <c r="L575">
        <v>1</v>
      </c>
      <c r="M575">
        <v>0</v>
      </c>
      <c r="N575">
        <v>61</v>
      </c>
      <c r="O575">
        <v>120000</v>
      </c>
      <c r="P575">
        <v>3</v>
      </c>
      <c r="Q575">
        <v>4</v>
      </c>
      <c r="R575">
        <v>4</v>
      </c>
      <c r="S575">
        <v>4</v>
      </c>
      <c r="T575" s="123">
        <f t="shared" si="42"/>
        <v>0</v>
      </c>
      <c r="U575">
        <f t="shared" si="43"/>
        <v>0</v>
      </c>
      <c r="V575">
        <f t="shared" si="44"/>
        <v>1</v>
      </c>
      <c r="W575">
        <f t="shared" si="45"/>
        <v>1</v>
      </c>
      <c r="X575">
        <f t="shared" si="46"/>
        <v>1</v>
      </c>
    </row>
    <row r="576" spans="1:24">
      <c r="A576" t="s">
        <v>170</v>
      </c>
      <c r="B576">
        <v>7</v>
      </c>
      <c r="C576">
        <v>1</v>
      </c>
      <c r="D576">
        <v>0.21505376344085891</v>
      </c>
      <c r="E576">
        <v>8.2795698924731163</v>
      </c>
      <c r="F576">
        <v>0.21505376344085891</v>
      </c>
      <c r="G576">
        <v>99.018817204301087</v>
      </c>
      <c r="H576">
        <v>96.895161290322591</v>
      </c>
      <c r="I576">
        <v>0</v>
      </c>
      <c r="J576">
        <v>1</v>
      </c>
      <c r="K576">
        <v>0</v>
      </c>
      <c r="L576">
        <v>1</v>
      </c>
      <c r="M576">
        <v>0</v>
      </c>
      <c r="N576">
        <v>61</v>
      </c>
      <c r="O576">
        <v>120000</v>
      </c>
      <c r="P576">
        <v>3</v>
      </c>
      <c r="Q576">
        <v>4</v>
      </c>
      <c r="R576">
        <v>4</v>
      </c>
      <c r="S576">
        <v>4</v>
      </c>
      <c r="T576" s="123">
        <f t="shared" si="42"/>
        <v>0</v>
      </c>
      <c r="U576">
        <f t="shared" si="43"/>
        <v>0</v>
      </c>
      <c r="V576">
        <f t="shared" si="44"/>
        <v>1</v>
      </c>
      <c r="W576">
        <f t="shared" si="45"/>
        <v>1</v>
      </c>
      <c r="X576">
        <f t="shared" si="46"/>
        <v>1</v>
      </c>
    </row>
    <row r="577" spans="1:24">
      <c r="A577" t="s">
        <v>171</v>
      </c>
      <c r="B577">
        <v>1</v>
      </c>
      <c r="C577">
        <v>1</v>
      </c>
      <c r="D577">
        <v>92.829388908512882</v>
      </c>
      <c r="E577">
        <v>98.843164959378299</v>
      </c>
      <c r="F577">
        <v>77.013422818791938</v>
      </c>
      <c r="G577">
        <v>6.6319321794418906</v>
      </c>
      <c r="H577">
        <v>5.7400211939244103</v>
      </c>
      <c r="I577">
        <v>1</v>
      </c>
      <c r="J577">
        <v>0</v>
      </c>
      <c r="K577">
        <v>1</v>
      </c>
      <c r="L577">
        <v>1</v>
      </c>
      <c r="M577">
        <v>0</v>
      </c>
      <c r="N577">
        <v>32</v>
      </c>
      <c r="O577">
        <v>45000</v>
      </c>
      <c r="P577">
        <v>5</v>
      </c>
      <c r="Q577">
        <v>4</v>
      </c>
      <c r="R577">
        <v>5</v>
      </c>
      <c r="S577">
        <v>4</v>
      </c>
      <c r="T577" s="123">
        <f t="shared" si="42"/>
        <v>0</v>
      </c>
      <c r="U577">
        <f t="shared" si="43"/>
        <v>1</v>
      </c>
      <c r="V577">
        <f t="shared" si="44"/>
        <v>1</v>
      </c>
      <c r="W577">
        <f t="shared" si="45"/>
        <v>1</v>
      </c>
      <c r="X577">
        <f t="shared" si="46"/>
        <v>1</v>
      </c>
    </row>
    <row r="578" spans="1:24">
      <c r="A578" t="s">
        <v>171</v>
      </c>
      <c r="B578">
        <v>2</v>
      </c>
      <c r="C578">
        <v>1</v>
      </c>
      <c r="D578">
        <v>100</v>
      </c>
      <c r="E578">
        <v>99.408336276933952</v>
      </c>
      <c r="F578">
        <v>18.262098198516419</v>
      </c>
      <c r="G578">
        <v>87.177675732956544</v>
      </c>
      <c r="H578">
        <v>8.8308018368067778</v>
      </c>
      <c r="I578">
        <v>0</v>
      </c>
      <c r="J578">
        <v>0</v>
      </c>
      <c r="K578">
        <v>1</v>
      </c>
      <c r="L578">
        <v>1</v>
      </c>
      <c r="M578">
        <v>0</v>
      </c>
      <c r="N578">
        <v>32</v>
      </c>
      <c r="O578">
        <v>45000</v>
      </c>
      <c r="P578">
        <v>5</v>
      </c>
      <c r="Q578">
        <v>4</v>
      </c>
      <c r="R578">
        <v>5</v>
      </c>
      <c r="S578">
        <v>4</v>
      </c>
      <c r="T578" s="123">
        <f t="shared" si="42"/>
        <v>0</v>
      </c>
      <c r="U578">
        <f t="shared" si="43"/>
        <v>1</v>
      </c>
      <c r="V578">
        <f t="shared" si="44"/>
        <v>1</v>
      </c>
      <c r="W578">
        <f t="shared" si="45"/>
        <v>1</v>
      </c>
      <c r="X578">
        <f t="shared" si="46"/>
        <v>1</v>
      </c>
    </row>
    <row r="579" spans="1:24">
      <c r="A579" t="s">
        <v>171</v>
      </c>
      <c r="B579">
        <v>3</v>
      </c>
      <c r="C579">
        <v>1</v>
      </c>
      <c r="D579">
        <v>5.2896503002472617</v>
      </c>
      <c r="E579">
        <v>2.2165312610385008</v>
      </c>
      <c r="F579">
        <v>2.207700459201694</v>
      </c>
      <c r="G579">
        <v>66.601907453196745</v>
      </c>
      <c r="H579">
        <v>88.94383610031791</v>
      </c>
      <c r="I579">
        <v>0</v>
      </c>
      <c r="J579">
        <v>0</v>
      </c>
      <c r="K579">
        <v>0</v>
      </c>
      <c r="L579">
        <v>1</v>
      </c>
      <c r="M579">
        <v>0</v>
      </c>
      <c r="N579">
        <v>32</v>
      </c>
      <c r="O579">
        <v>45000</v>
      </c>
      <c r="P579">
        <v>5</v>
      </c>
      <c r="Q579">
        <v>4</v>
      </c>
      <c r="R579">
        <v>5</v>
      </c>
      <c r="S579">
        <v>4</v>
      </c>
      <c r="T579" s="123">
        <f t="shared" si="42"/>
        <v>0</v>
      </c>
      <c r="U579">
        <f t="shared" si="43"/>
        <v>1</v>
      </c>
      <c r="V579">
        <f t="shared" si="44"/>
        <v>1</v>
      </c>
      <c r="W579">
        <f t="shared" si="45"/>
        <v>1</v>
      </c>
      <c r="X579">
        <f t="shared" si="46"/>
        <v>1</v>
      </c>
    </row>
    <row r="580" spans="1:24">
      <c r="A580" t="s">
        <v>171</v>
      </c>
      <c r="B580">
        <v>4</v>
      </c>
      <c r="C580">
        <v>1</v>
      </c>
      <c r="D580">
        <v>50</v>
      </c>
      <c r="E580">
        <v>92.45143840668797</v>
      </c>
      <c r="F580">
        <v>98.512417014998775</v>
      </c>
      <c r="G580">
        <v>63.535775756085563</v>
      </c>
      <c r="H580">
        <v>24.010327022375211</v>
      </c>
      <c r="I580">
        <v>0</v>
      </c>
      <c r="J580">
        <v>0</v>
      </c>
      <c r="K580">
        <v>1</v>
      </c>
      <c r="L580">
        <v>1</v>
      </c>
      <c r="M580">
        <v>0</v>
      </c>
      <c r="N580">
        <v>32</v>
      </c>
      <c r="O580">
        <v>45000</v>
      </c>
      <c r="P580">
        <v>5</v>
      </c>
      <c r="Q580">
        <v>4</v>
      </c>
      <c r="R580">
        <v>5</v>
      </c>
      <c r="S580">
        <v>4</v>
      </c>
      <c r="T580" s="123">
        <f t="shared" ref="T580:T643" si="47">IF(OR(IF(AVERAGE(E580:F580)-G580&gt;(10),1,0),IF(AVERAGE(E580:F580)-G580&lt;(-10),1,0)),0,1)</f>
        <v>0</v>
      </c>
      <c r="U580">
        <f t="shared" ref="U580:U643" si="48">IF(P580&gt;3,1,0)</f>
        <v>1</v>
      </c>
      <c r="V580">
        <f t="shared" ref="V580:V643" si="49">IF(Q580&gt;3,1,0)</f>
        <v>1</v>
      </c>
      <c r="W580">
        <f t="shared" ref="W580:W643" si="50">IF(R580&gt;3,1,0)</f>
        <v>1</v>
      </c>
      <c r="X580">
        <f t="shared" ref="X580:X643" si="51">IF(S580&gt;3,1,0)</f>
        <v>1</v>
      </c>
    </row>
    <row r="581" spans="1:24" hidden="1">
      <c r="A581" t="s">
        <v>171</v>
      </c>
      <c r="B581">
        <v>5</v>
      </c>
      <c r="C581">
        <v>1</v>
      </c>
      <c r="D581">
        <v>3.5161052372756352</v>
      </c>
      <c r="E581">
        <v>2.680108187853453</v>
      </c>
      <c r="F581">
        <v>2.040816326530615</v>
      </c>
      <c r="G581">
        <v>1.831817064175068</v>
      </c>
      <c r="H581">
        <v>69.252520285222531</v>
      </c>
      <c r="I581">
        <v>0</v>
      </c>
      <c r="J581">
        <v>0</v>
      </c>
      <c r="K581">
        <v>0</v>
      </c>
      <c r="L581">
        <v>1</v>
      </c>
      <c r="M581">
        <v>0</v>
      </c>
      <c r="N581">
        <v>32</v>
      </c>
      <c r="O581">
        <v>45000</v>
      </c>
      <c r="P581">
        <v>5</v>
      </c>
      <c r="Q581">
        <v>4</v>
      </c>
      <c r="R581">
        <v>5</v>
      </c>
      <c r="S581">
        <v>4</v>
      </c>
      <c r="T581" s="123">
        <f t="shared" si="47"/>
        <v>1</v>
      </c>
      <c r="U581">
        <f t="shared" si="48"/>
        <v>1</v>
      </c>
      <c r="V581">
        <f t="shared" si="49"/>
        <v>1</v>
      </c>
      <c r="W581">
        <f t="shared" si="50"/>
        <v>1</v>
      </c>
      <c r="X581">
        <f t="shared" si="51"/>
        <v>1</v>
      </c>
    </row>
    <row r="582" spans="1:24">
      <c r="A582" t="s">
        <v>171</v>
      </c>
      <c r="B582">
        <v>6</v>
      </c>
      <c r="C582">
        <v>1</v>
      </c>
      <c r="D582">
        <v>14.371772805507741</v>
      </c>
      <c r="E582">
        <v>7.794443078436192</v>
      </c>
      <c r="F582">
        <v>2.6555200393410359</v>
      </c>
      <c r="G582">
        <v>76.395377428079669</v>
      </c>
      <c r="H582">
        <v>7.3518564052126862</v>
      </c>
      <c r="I582">
        <v>0</v>
      </c>
      <c r="J582">
        <v>0</v>
      </c>
      <c r="K582">
        <v>0</v>
      </c>
      <c r="L582">
        <v>1</v>
      </c>
      <c r="M582">
        <v>0</v>
      </c>
      <c r="N582">
        <v>32</v>
      </c>
      <c r="O582">
        <v>45000</v>
      </c>
      <c r="P582">
        <v>5</v>
      </c>
      <c r="Q582">
        <v>4</v>
      </c>
      <c r="R582">
        <v>5</v>
      </c>
      <c r="S582">
        <v>4</v>
      </c>
      <c r="T582" s="123">
        <f t="shared" si="47"/>
        <v>0</v>
      </c>
      <c r="U582">
        <f t="shared" si="48"/>
        <v>1</v>
      </c>
      <c r="V582">
        <f t="shared" si="49"/>
        <v>1</v>
      </c>
      <c r="W582">
        <f t="shared" si="50"/>
        <v>1</v>
      </c>
      <c r="X582">
        <f t="shared" si="51"/>
        <v>1</v>
      </c>
    </row>
    <row r="583" spans="1:24">
      <c r="A583" t="s">
        <v>171</v>
      </c>
      <c r="B583">
        <v>7</v>
      </c>
      <c r="C583">
        <v>1</v>
      </c>
      <c r="D583">
        <v>22.5473321858864</v>
      </c>
      <c r="E583">
        <v>8.8148512417014988</v>
      </c>
      <c r="F583">
        <v>9.8352594049668056</v>
      </c>
      <c r="G583">
        <v>94.246373248094415</v>
      </c>
      <c r="H583">
        <v>94.246373248094415</v>
      </c>
      <c r="I583">
        <v>0</v>
      </c>
      <c r="J583">
        <v>1</v>
      </c>
      <c r="K583">
        <v>0</v>
      </c>
      <c r="L583">
        <v>1</v>
      </c>
      <c r="M583">
        <v>0</v>
      </c>
      <c r="N583">
        <v>32</v>
      </c>
      <c r="O583">
        <v>45000</v>
      </c>
      <c r="P583">
        <v>5</v>
      </c>
      <c r="Q583">
        <v>4</v>
      </c>
      <c r="R583">
        <v>5</v>
      </c>
      <c r="S583">
        <v>4</v>
      </c>
      <c r="T583" s="123">
        <f t="shared" si="47"/>
        <v>0</v>
      </c>
      <c r="U583">
        <f t="shared" si="48"/>
        <v>1</v>
      </c>
      <c r="V583">
        <f t="shared" si="49"/>
        <v>1</v>
      </c>
      <c r="W583">
        <f t="shared" si="50"/>
        <v>1</v>
      </c>
      <c r="X583">
        <f t="shared" si="51"/>
        <v>1</v>
      </c>
    </row>
    <row r="584" spans="1:24" hidden="1">
      <c r="A584" t="s">
        <v>172</v>
      </c>
      <c r="B584">
        <v>1</v>
      </c>
      <c r="C584">
        <v>1</v>
      </c>
      <c r="D584">
        <v>4.2601319509896314</v>
      </c>
      <c r="E584">
        <v>4.4910461828463699</v>
      </c>
      <c r="F584">
        <v>3.939679547596608</v>
      </c>
      <c r="G584">
        <v>3.3930254476908561</v>
      </c>
      <c r="H584">
        <v>3.232799245994344</v>
      </c>
      <c r="I584">
        <v>1</v>
      </c>
      <c r="J584">
        <v>0</v>
      </c>
      <c r="K584">
        <v>0</v>
      </c>
      <c r="L584">
        <v>1</v>
      </c>
      <c r="M584">
        <v>1</v>
      </c>
      <c r="N584">
        <v>58</v>
      </c>
      <c r="O584">
        <v>30000</v>
      </c>
      <c r="P584">
        <v>1</v>
      </c>
      <c r="Q584">
        <v>1</v>
      </c>
      <c r="R584">
        <v>5</v>
      </c>
      <c r="S584">
        <v>5</v>
      </c>
      <c r="T584" s="123">
        <f t="shared" si="47"/>
        <v>1</v>
      </c>
      <c r="U584">
        <f t="shared" si="48"/>
        <v>0</v>
      </c>
      <c r="V584">
        <f t="shared" si="49"/>
        <v>0</v>
      </c>
      <c r="W584">
        <f t="shared" si="50"/>
        <v>1</v>
      </c>
      <c r="X584">
        <f t="shared" si="51"/>
        <v>1</v>
      </c>
    </row>
    <row r="585" spans="1:24" hidden="1">
      <c r="A585" t="s">
        <v>172</v>
      </c>
      <c r="B585">
        <v>2</v>
      </c>
      <c r="C585">
        <v>1</v>
      </c>
      <c r="D585">
        <v>1.107445805843543</v>
      </c>
      <c r="E585">
        <v>0.87181903864279042</v>
      </c>
      <c r="F585">
        <v>1.819038642789822</v>
      </c>
      <c r="G585">
        <v>1.0226201696512729</v>
      </c>
      <c r="H585">
        <v>1.6588124410933101</v>
      </c>
      <c r="I585">
        <v>0</v>
      </c>
      <c r="J585">
        <v>0</v>
      </c>
      <c r="K585">
        <v>0</v>
      </c>
      <c r="L585">
        <v>1</v>
      </c>
      <c r="M585">
        <v>1</v>
      </c>
      <c r="N585">
        <v>58</v>
      </c>
      <c r="O585">
        <v>30000</v>
      </c>
      <c r="P585">
        <v>1</v>
      </c>
      <c r="Q585">
        <v>1</v>
      </c>
      <c r="R585">
        <v>5</v>
      </c>
      <c r="S585">
        <v>5</v>
      </c>
      <c r="T585" s="123">
        <f t="shared" si="47"/>
        <v>1</v>
      </c>
      <c r="U585">
        <f t="shared" si="48"/>
        <v>0</v>
      </c>
      <c r="V585">
        <f t="shared" si="49"/>
        <v>0</v>
      </c>
      <c r="W585">
        <f t="shared" si="50"/>
        <v>1</v>
      </c>
      <c r="X585">
        <f t="shared" si="51"/>
        <v>1</v>
      </c>
    </row>
    <row r="586" spans="1:24" hidden="1">
      <c r="A586" t="s">
        <v>172</v>
      </c>
      <c r="B586">
        <v>3</v>
      </c>
      <c r="C586">
        <v>1</v>
      </c>
      <c r="D586">
        <v>0.80113100848256402</v>
      </c>
      <c r="E586">
        <v>0.94721960414703155</v>
      </c>
      <c r="F586">
        <v>0.70688030160226401</v>
      </c>
      <c r="G586">
        <v>3.7040527803958501</v>
      </c>
      <c r="H586">
        <v>1.102733270499529</v>
      </c>
      <c r="I586">
        <v>0</v>
      </c>
      <c r="J586">
        <v>0</v>
      </c>
      <c r="K586">
        <v>0</v>
      </c>
      <c r="L586">
        <v>1</v>
      </c>
      <c r="M586">
        <v>1</v>
      </c>
      <c r="N586">
        <v>58</v>
      </c>
      <c r="O586">
        <v>30000</v>
      </c>
      <c r="P586">
        <v>1</v>
      </c>
      <c r="Q586">
        <v>1</v>
      </c>
      <c r="R586">
        <v>5</v>
      </c>
      <c r="S586">
        <v>5</v>
      </c>
      <c r="T586" s="123">
        <f t="shared" si="47"/>
        <v>1</v>
      </c>
      <c r="U586">
        <f t="shared" si="48"/>
        <v>0</v>
      </c>
      <c r="V586">
        <f t="shared" si="49"/>
        <v>0</v>
      </c>
      <c r="W586">
        <f t="shared" si="50"/>
        <v>1</v>
      </c>
      <c r="X586">
        <f t="shared" si="51"/>
        <v>1</v>
      </c>
    </row>
    <row r="587" spans="1:24" hidden="1">
      <c r="A587" t="s">
        <v>172</v>
      </c>
      <c r="B587">
        <v>4</v>
      </c>
      <c r="C587">
        <v>1</v>
      </c>
      <c r="D587">
        <v>3.9443920829406229</v>
      </c>
      <c r="E587">
        <v>1.663524976437325</v>
      </c>
      <c r="F587">
        <v>11.102733270499529</v>
      </c>
      <c r="G587">
        <v>1.1828463713477839</v>
      </c>
      <c r="H587">
        <v>1.8850141376060341</v>
      </c>
      <c r="I587">
        <v>0</v>
      </c>
      <c r="J587">
        <v>0</v>
      </c>
      <c r="K587">
        <v>0</v>
      </c>
      <c r="L587">
        <v>1</v>
      </c>
      <c r="M587">
        <v>1</v>
      </c>
      <c r="N587">
        <v>58</v>
      </c>
      <c r="O587">
        <v>30000</v>
      </c>
      <c r="P587">
        <v>1</v>
      </c>
      <c r="Q587">
        <v>1</v>
      </c>
      <c r="R587">
        <v>5</v>
      </c>
      <c r="S587">
        <v>5</v>
      </c>
      <c r="T587" s="123">
        <f t="shared" si="47"/>
        <v>1</v>
      </c>
      <c r="U587">
        <f t="shared" si="48"/>
        <v>0</v>
      </c>
      <c r="V587">
        <f t="shared" si="49"/>
        <v>0</v>
      </c>
      <c r="W587">
        <f t="shared" si="50"/>
        <v>1</v>
      </c>
      <c r="X587">
        <f t="shared" si="51"/>
        <v>1</v>
      </c>
    </row>
    <row r="588" spans="1:24" hidden="1">
      <c r="A588" t="s">
        <v>172</v>
      </c>
      <c r="B588">
        <v>5</v>
      </c>
      <c r="C588">
        <v>1</v>
      </c>
      <c r="D588">
        <v>0.71159283694627873</v>
      </c>
      <c r="E588">
        <v>0.8671065032987757</v>
      </c>
      <c r="F588">
        <v>0.6361922714420376</v>
      </c>
      <c r="G588">
        <v>0.71159283694627873</v>
      </c>
      <c r="H588">
        <v>1.6588124410933101</v>
      </c>
      <c r="I588">
        <v>0</v>
      </c>
      <c r="J588">
        <v>0</v>
      </c>
      <c r="K588">
        <v>0</v>
      </c>
      <c r="L588">
        <v>1</v>
      </c>
      <c r="M588">
        <v>1</v>
      </c>
      <c r="N588">
        <v>58</v>
      </c>
      <c r="O588">
        <v>30000</v>
      </c>
      <c r="P588">
        <v>1</v>
      </c>
      <c r="Q588">
        <v>1</v>
      </c>
      <c r="R588">
        <v>5</v>
      </c>
      <c r="S588">
        <v>5</v>
      </c>
      <c r="T588" s="123">
        <f t="shared" si="47"/>
        <v>1</v>
      </c>
      <c r="U588">
        <f t="shared" si="48"/>
        <v>0</v>
      </c>
      <c r="V588">
        <f t="shared" si="49"/>
        <v>0</v>
      </c>
      <c r="W588">
        <f t="shared" si="50"/>
        <v>1</v>
      </c>
      <c r="X588">
        <f t="shared" si="51"/>
        <v>1</v>
      </c>
    </row>
    <row r="589" spans="1:24" hidden="1">
      <c r="A589" t="s">
        <v>172</v>
      </c>
      <c r="B589">
        <v>6</v>
      </c>
      <c r="C589">
        <v>1</v>
      </c>
      <c r="D589">
        <v>0.24033930254476751</v>
      </c>
      <c r="E589">
        <v>0.48067860508954058</v>
      </c>
      <c r="F589">
        <v>0</v>
      </c>
      <c r="G589">
        <v>1.26295947219604</v>
      </c>
      <c r="H589">
        <v>0</v>
      </c>
      <c r="I589">
        <v>0</v>
      </c>
      <c r="J589">
        <v>0</v>
      </c>
      <c r="K589">
        <v>0</v>
      </c>
      <c r="L589">
        <v>1</v>
      </c>
      <c r="M589">
        <v>1</v>
      </c>
      <c r="N589">
        <v>58</v>
      </c>
      <c r="O589">
        <v>30000</v>
      </c>
      <c r="P589">
        <v>1</v>
      </c>
      <c r="Q589">
        <v>1</v>
      </c>
      <c r="R589">
        <v>5</v>
      </c>
      <c r="S589">
        <v>5</v>
      </c>
      <c r="T589" s="123">
        <f t="shared" si="47"/>
        <v>1</v>
      </c>
      <c r="U589">
        <f t="shared" si="48"/>
        <v>0</v>
      </c>
      <c r="V589">
        <f t="shared" si="49"/>
        <v>0</v>
      </c>
      <c r="W589">
        <f t="shared" si="50"/>
        <v>1</v>
      </c>
      <c r="X589">
        <f t="shared" si="51"/>
        <v>1</v>
      </c>
    </row>
    <row r="590" spans="1:24">
      <c r="A590" t="s">
        <v>172</v>
      </c>
      <c r="B590">
        <v>7</v>
      </c>
      <c r="C590">
        <v>1</v>
      </c>
      <c r="D590">
        <v>9.3998131714152287</v>
      </c>
      <c r="E590">
        <v>7.6015880429705751</v>
      </c>
      <c r="F590">
        <v>12.447454460532461</v>
      </c>
      <c r="G590">
        <v>50</v>
      </c>
      <c r="H590">
        <v>50</v>
      </c>
      <c r="I590">
        <v>0</v>
      </c>
      <c r="J590">
        <v>1</v>
      </c>
      <c r="K590">
        <v>0</v>
      </c>
      <c r="L590">
        <v>1</v>
      </c>
      <c r="M590">
        <v>1</v>
      </c>
      <c r="N590">
        <v>58</v>
      </c>
      <c r="O590">
        <v>30000</v>
      </c>
      <c r="P590">
        <v>1</v>
      </c>
      <c r="Q590">
        <v>1</v>
      </c>
      <c r="R590">
        <v>5</v>
      </c>
      <c r="S590">
        <v>5</v>
      </c>
      <c r="T590" s="123">
        <f t="shared" si="47"/>
        <v>0</v>
      </c>
      <c r="U590">
        <f t="shared" si="48"/>
        <v>0</v>
      </c>
      <c r="V590">
        <f t="shared" si="49"/>
        <v>0</v>
      </c>
      <c r="W590">
        <f t="shared" si="50"/>
        <v>1</v>
      </c>
      <c r="X590">
        <f t="shared" si="51"/>
        <v>1</v>
      </c>
    </row>
    <row r="591" spans="1:24">
      <c r="A591" t="s">
        <v>173</v>
      </c>
      <c r="B591">
        <v>1</v>
      </c>
      <c r="C591">
        <v>1</v>
      </c>
      <c r="D591">
        <v>89.064102564102569</v>
      </c>
      <c r="E591">
        <v>97.846153846153854</v>
      </c>
      <c r="F591">
        <v>96.358974358974365</v>
      </c>
      <c r="G591">
        <v>3.320512820512822</v>
      </c>
      <c r="H591">
        <v>4.0641025641025621</v>
      </c>
      <c r="I591">
        <v>1</v>
      </c>
      <c r="J591">
        <v>0</v>
      </c>
      <c r="K591">
        <v>1</v>
      </c>
      <c r="L591">
        <v>1</v>
      </c>
      <c r="M591">
        <v>0</v>
      </c>
      <c r="N591">
        <v>29</v>
      </c>
      <c r="O591">
        <v>-99</v>
      </c>
      <c r="P591">
        <v>2</v>
      </c>
      <c r="Q591">
        <v>3</v>
      </c>
      <c r="R591">
        <v>4</v>
      </c>
      <c r="S591">
        <v>3</v>
      </c>
      <c r="T591" s="123">
        <f t="shared" si="47"/>
        <v>0</v>
      </c>
      <c r="U591">
        <f t="shared" si="48"/>
        <v>0</v>
      </c>
      <c r="V591">
        <f t="shared" si="49"/>
        <v>0</v>
      </c>
      <c r="W591">
        <f t="shared" si="50"/>
        <v>1</v>
      </c>
      <c r="X591">
        <f t="shared" si="51"/>
        <v>0</v>
      </c>
    </row>
    <row r="592" spans="1:24">
      <c r="A592" t="s">
        <v>173</v>
      </c>
      <c r="B592">
        <v>2</v>
      </c>
      <c r="C592">
        <v>1</v>
      </c>
      <c r="D592">
        <v>7.5000000000000009</v>
      </c>
      <c r="E592">
        <v>10.935897435897431</v>
      </c>
      <c r="F592">
        <v>16.92307692307692</v>
      </c>
      <c r="G592">
        <v>85.230769230769226</v>
      </c>
      <c r="H592">
        <v>6</v>
      </c>
      <c r="I592">
        <v>0</v>
      </c>
      <c r="J592">
        <v>0</v>
      </c>
      <c r="K592">
        <v>0</v>
      </c>
      <c r="L592">
        <v>1</v>
      </c>
      <c r="M592">
        <v>0</v>
      </c>
      <c r="N592">
        <v>29</v>
      </c>
      <c r="O592">
        <v>-99</v>
      </c>
      <c r="P592">
        <v>2</v>
      </c>
      <c r="Q592">
        <v>3</v>
      </c>
      <c r="R592">
        <v>4</v>
      </c>
      <c r="S592">
        <v>3</v>
      </c>
      <c r="T592" s="123">
        <f t="shared" si="47"/>
        <v>0</v>
      </c>
      <c r="U592">
        <f t="shared" si="48"/>
        <v>0</v>
      </c>
      <c r="V592">
        <f t="shared" si="49"/>
        <v>0</v>
      </c>
      <c r="W592">
        <f t="shared" si="50"/>
        <v>1</v>
      </c>
      <c r="X592">
        <f t="shared" si="51"/>
        <v>0</v>
      </c>
    </row>
    <row r="593" spans="1:24">
      <c r="A593" t="s">
        <v>173</v>
      </c>
      <c r="B593">
        <v>3</v>
      </c>
      <c r="C593">
        <v>1</v>
      </c>
      <c r="D593">
        <v>1.0000000000000011</v>
      </c>
      <c r="E593">
        <v>14.57692307692308</v>
      </c>
      <c r="F593">
        <v>5.7051282051282071</v>
      </c>
      <c r="G593">
        <v>97.115384615384613</v>
      </c>
      <c r="H593">
        <v>1.0000000000000011</v>
      </c>
      <c r="I593">
        <v>0</v>
      </c>
      <c r="J593">
        <v>0</v>
      </c>
      <c r="K593">
        <v>0</v>
      </c>
      <c r="L593">
        <v>1</v>
      </c>
      <c r="M593">
        <v>0</v>
      </c>
      <c r="N593">
        <v>29</v>
      </c>
      <c r="O593">
        <v>-99</v>
      </c>
      <c r="P593">
        <v>2</v>
      </c>
      <c r="Q593">
        <v>3</v>
      </c>
      <c r="R593">
        <v>4</v>
      </c>
      <c r="S593">
        <v>3</v>
      </c>
      <c r="T593" s="123">
        <f t="shared" si="47"/>
        <v>0</v>
      </c>
      <c r="U593">
        <f t="shared" si="48"/>
        <v>0</v>
      </c>
      <c r="V593">
        <f t="shared" si="49"/>
        <v>0</v>
      </c>
      <c r="W593">
        <f t="shared" si="50"/>
        <v>1</v>
      </c>
      <c r="X593">
        <f t="shared" si="51"/>
        <v>0</v>
      </c>
    </row>
    <row r="594" spans="1:24">
      <c r="A594" t="s">
        <v>173</v>
      </c>
      <c r="B594">
        <v>4</v>
      </c>
      <c r="C594">
        <v>1</v>
      </c>
      <c r="D594">
        <v>4.4871794871794881</v>
      </c>
      <c r="E594">
        <v>9.2179487179487207</v>
      </c>
      <c r="F594">
        <v>9.8461538461538485</v>
      </c>
      <c r="G594">
        <v>95.051282051282044</v>
      </c>
      <c r="H594">
        <v>22.910256410256409</v>
      </c>
      <c r="I594">
        <v>0</v>
      </c>
      <c r="J594">
        <v>0</v>
      </c>
      <c r="K594">
        <v>0</v>
      </c>
      <c r="L594">
        <v>1</v>
      </c>
      <c r="M594">
        <v>0</v>
      </c>
      <c r="N594">
        <v>29</v>
      </c>
      <c r="O594">
        <v>-99</v>
      </c>
      <c r="P594">
        <v>2</v>
      </c>
      <c r="Q594">
        <v>3</v>
      </c>
      <c r="R594">
        <v>4</v>
      </c>
      <c r="S594">
        <v>3</v>
      </c>
      <c r="T594" s="123">
        <f t="shared" si="47"/>
        <v>0</v>
      </c>
      <c r="U594">
        <f t="shared" si="48"/>
        <v>0</v>
      </c>
      <c r="V594">
        <f t="shared" si="49"/>
        <v>0</v>
      </c>
      <c r="W594">
        <f t="shared" si="50"/>
        <v>1</v>
      </c>
      <c r="X594">
        <f t="shared" si="51"/>
        <v>0</v>
      </c>
    </row>
    <row r="595" spans="1:24">
      <c r="A595" t="s">
        <v>173</v>
      </c>
      <c r="B595">
        <v>5</v>
      </c>
      <c r="C595">
        <v>1</v>
      </c>
      <c r="D595">
        <v>8.3589743589743577</v>
      </c>
      <c r="E595">
        <v>3.653846153846152</v>
      </c>
      <c r="F595">
        <v>2.166666666666667</v>
      </c>
      <c r="G595">
        <v>91.628205128205138</v>
      </c>
      <c r="H595">
        <v>0</v>
      </c>
      <c r="I595">
        <v>0</v>
      </c>
      <c r="J595">
        <v>0</v>
      </c>
      <c r="K595">
        <v>0</v>
      </c>
      <c r="L595">
        <v>1</v>
      </c>
      <c r="M595">
        <v>0</v>
      </c>
      <c r="N595">
        <v>29</v>
      </c>
      <c r="O595">
        <v>-99</v>
      </c>
      <c r="P595">
        <v>2</v>
      </c>
      <c r="Q595">
        <v>3</v>
      </c>
      <c r="R595">
        <v>4</v>
      </c>
      <c r="S595">
        <v>3</v>
      </c>
      <c r="T595" s="123">
        <f t="shared" si="47"/>
        <v>0</v>
      </c>
      <c r="U595">
        <f t="shared" si="48"/>
        <v>0</v>
      </c>
      <c r="V595">
        <f t="shared" si="49"/>
        <v>0</v>
      </c>
      <c r="W595">
        <f t="shared" si="50"/>
        <v>1</v>
      </c>
      <c r="X595">
        <f t="shared" si="51"/>
        <v>0</v>
      </c>
    </row>
    <row r="596" spans="1:24">
      <c r="A596" t="s">
        <v>173</v>
      </c>
      <c r="B596">
        <v>6</v>
      </c>
      <c r="C596">
        <v>1</v>
      </c>
      <c r="D596">
        <v>13.07692307692307</v>
      </c>
      <c r="E596">
        <v>9.8461538461538485</v>
      </c>
      <c r="F596">
        <v>6.6538461538461551</v>
      </c>
      <c r="G596">
        <v>94.192307692307679</v>
      </c>
      <c r="H596">
        <v>2.5769230769230771</v>
      </c>
      <c r="I596">
        <v>0</v>
      </c>
      <c r="J596">
        <v>0</v>
      </c>
      <c r="K596">
        <v>0</v>
      </c>
      <c r="L596">
        <v>1</v>
      </c>
      <c r="M596">
        <v>0</v>
      </c>
      <c r="N596">
        <v>29</v>
      </c>
      <c r="O596">
        <v>-99</v>
      </c>
      <c r="P596">
        <v>2</v>
      </c>
      <c r="Q596">
        <v>3</v>
      </c>
      <c r="R596">
        <v>4</v>
      </c>
      <c r="S596">
        <v>3</v>
      </c>
      <c r="T596" s="123">
        <f t="shared" si="47"/>
        <v>0</v>
      </c>
      <c r="U596">
        <f t="shared" si="48"/>
        <v>0</v>
      </c>
      <c r="V596">
        <f t="shared" si="49"/>
        <v>0</v>
      </c>
      <c r="W596">
        <f t="shared" si="50"/>
        <v>1</v>
      </c>
      <c r="X596">
        <f t="shared" si="51"/>
        <v>0</v>
      </c>
    </row>
    <row r="597" spans="1:24">
      <c r="A597" t="s">
        <v>173</v>
      </c>
      <c r="B597">
        <v>7</v>
      </c>
      <c r="C597">
        <v>1</v>
      </c>
      <c r="D597">
        <v>6.4358974358974361</v>
      </c>
      <c r="E597">
        <v>4.9358974358974352</v>
      </c>
      <c r="F597">
        <v>50</v>
      </c>
      <c r="G597">
        <v>92.923076923076934</v>
      </c>
      <c r="H597">
        <v>11.756410256410261</v>
      </c>
      <c r="I597">
        <v>0</v>
      </c>
      <c r="J597">
        <v>1</v>
      </c>
      <c r="K597">
        <v>0</v>
      </c>
      <c r="L597">
        <v>1</v>
      </c>
      <c r="M597">
        <v>0</v>
      </c>
      <c r="N597">
        <v>29</v>
      </c>
      <c r="O597">
        <v>-99</v>
      </c>
      <c r="P597">
        <v>2</v>
      </c>
      <c r="Q597">
        <v>3</v>
      </c>
      <c r="R597">
        <v>4</v>
      </c>
      <c r="S597">
        <v>3</v>
      </c>
      <c r="T597" s="123">
        <f t="shared" si="47"/>
        <v>0</v>
      </c>
      <c r="U597">
        <f t="shared" si="48"/>
        <v>0</v>
      </c>
      <c r="V597">
        <f t="shared" si="49"/>
        <v>0</v>
      </c>
      <c r="W597">
        <f t="shared" si="50"/>
        <v>1</v>
      </c>
      <c r="X597">
        <f t="shared" si="51"/>
        <v>0</v>
      </c>
    </row>
    <row r="598" spans="1:24">
      <c r="A598" t="s">
        <v>174</v>
      </c>
      <c r="B598">
        <v>1</v>
      </c>
      <c r="C598">
        <v>1</v>
      </c>
      <c r="D598">
        <v>99.387090595671324</v>
      </c>
      <c r="E598">
        <v>98.946561961310081</v>
      </c>
      <c r="F598">
        <v>91.12239034667688</v>
      </c>
      <c r="G598">
        <v>0.97682436314882048</v>
      </c>
      <c r="H598">
        <v>0.54587243823022158</v>
      </c>
      <c r="I598">
        <v>1</v>
      </c>
      <c r="J598">
        <v>0</v>
      </c>
      <c r="K598">
        <v>1</v>
      </c>
      <c r="L598">
        <v>1</v>
      </c>
      <c r="M598">
        <v>0</v>
      </c>
      <c r="N598">
        <v>54</v>
      </c>
      <c r="O598">
        <v>65000</v>
      </c>
      <c r="P598">
        <v>2</v>
      </c>
      <c r="Q598">
        <v>4</v>
      </c>
      <c r="R598">
        <v>4</v>
      </c>
      <c r="S598">
        <v>3</v>
      </c>
      <c r="T598" s="123">
        <f t="shared" si="47"/>
        <v>0</v>
      </c>
      <c r="U598">
        <f t="shared" si="48"/>
        <v>0</v>
      </c>
      <c r="V598">
        <f t="shared" si="49"/>
        <v>1</v>
      </c>
      <c r="W598">
        <f t="shared" si="50"/>
        <v>1</v>
      </c>
      <c r="X598">
        <f t="shared" si="51"/>
        <v>0</v>
      </c>
    </row>
    <row r="599" spans="1:24">
      <c r="A599" t="s">
        <v>174</v>
      </c>
      <c r="B599">
        <v>2</v>
      </c>
      <c r="C599">
        <v>1</v>
      </c>
      <c r="D599">
        <v>100</v>
      </c>
      <c r="E599">
        <v>93.420800612909403</v>
      </c>
      <c r="F599">
        <v>99.387090595671324</v>
      </c>
      <c r="G599">
        <v>0.74698333652556959</v>
      </c>
      <c r="H599">
        <v>13.64681095575561</v>
      </c>
      <c r="I599">
        <v>0</v>
      </c>
      <c r="J599">
        <v>0</v>
      </c>
      <c r="K599">
        <v>1</v>
      </c>
      <c r="L599">
        <v>1</v>
      </c>
      <c r="M599">
        <v>0</v>
      </c>
      <c r="N599">
        <v>54</v>
      </c>
      <c r="O599">
        <v>65000</v>
      </c>
      <c r="P599">
        <v>2</v>
      </c>
      <c r="Q599">
        <v>4</v>
      </c>
      <c r="R599">
        <v>4</v>
      </c>
      <c r="S599">
        <v>3</v>
      </c>
      <c r="T599" s="123">
        <f t="shared" si="47"/>
        <v>0</v>
      </c>
      <c r="U599">
        <f t="shared" si="48"/>
        <v>0</v>
      </c>
      <c r="V599">
        <f t="shared" si="49"/>
        <v>1</v>
      </c>
      <c r="W599">
        <f t="shared" si="50"/>
        <v>1</v>
      </c>
      <c r="X599">
        <f t="shared" si="51"/>
        <v>0</v>
      </c>
    </row>
    <row r="600" spans="1:24">
      <c r="A600" t="s">
        <v>174</v>
      </c>
      <c r="B600">
        <v>3</v>
      </c>
      <c r="C600">
        <v>1</v>
      </c>
      <c r="D600">
        <v>2.825364356941956</v>
      </c>
      <c r="E600">
        <v>50</v>
      </c>
      <c r="F600">
        <v>4.282792124776269</v>
      </c>
      <c r="G600">
        <v>12.464842751214521</v>
      </c>
      <c r="H600">
        <v>97.251342367680891</v>
      </c>
      <c r="I600">
        <v>0</v>
      </c>
      <c r="J600">
        <v>0</v>
      </c>
      <c r="K600">
        <v>0</v>
      </c>
      <c r="L600">
        <v>1</v>
      </c>
      <c r="M600">
        <v>0</v>
      </c>
      <c r="N600">
        <v>54</v>
      </c>
      <c r="O600">
        <v>65000</v>
      </c>
      <c r="P600">
        <v>2</v>
      </c>
      <c r="Q600">
        <v>4</v>
      </c>
      <c r="R600">
        <v>4</v>
      </c>
      <c r="S600">
        <v>3</v>
      </c>
      <c r="T600" s="123">
        <f t="shared" si="47"/>
        <v>0</v>
      </c>
      <c r="U600">
        <f t="shared" si="48"/>
        <v>0</v>
      </c>
      <c r="V600">
        <f t="shared" si="49"/>
        <v>1</v>
      </c>
      <c r="W600">
        <f t="shared" si="50"/>
        <v>1</v>
      </c>
      <c r="X600">
        <f t="shared" si="51"/>
        <v>0</v>
      </c>
    </row>
    <row r="601" spans="1:24" hidden="1">
      <c r="A601" t="s">
        <v>174</v>
      </c>
      <c r="B601">
        <v>4</v>
      </c>
      <c r="C601">
        <v>1</v>
      </c>
      <c r="D601">
        <v>65.251853745845054</v>
      </c>
      <c r="E601">
        <v>89.92585016619789</v>
      </c>
      <c r="F601">
        <v>8.3098951674763502</v>
      </c>
      <c r="G601">
        <v>50</v>
      </c>
      <c r="H601">
        <v>19.905395039631809</v>
      </c>
      <c r="I601">
        <v>0</v>
      </c>
      <c r="J601">
        <v>0</v>
      </c>
      <c r="K601">
        <v>1</v>
      </c>
      <c r="L601">
        <v>1</v>
      </c>
      <c r="M601">
        <v>0</v>
      </c>
      <c r="N601">
        <v>54</v>
      </c>
      <c r="O601">
        <v>65000</v>
      </c>
      <c r="P601">
        <v>2</v>
      </c>
      <c r="Q601">
        <v>4</v>
      </c>
      <c r="R601">
        <v>4</v>
      </c>
      <c r="S601">
        <v>3</v>
      </c>
      <c r="T601" s="123">
        <f t="shared" si="47"/>
        <v>1</v>
      </c>
      <c r="U601">
        <f t="shared" si="48"/>
        <v>0</v>
      </c>
      <c r="V601">
        <f t="shared" si="49"/>
        <v>1</v>
      </c>
      <c r="W601">
        <f t="shared" si="50"/>
        <v>1</v>
      </c>
      <c r="X601">
        <f t="shared" si="51"/>
        <v>0</v>
      </c>
    </row>
    <row r="602" spans="1:24">
      <c r="A602" t="s">
        <v>174</v>
      </c>
      <c r="B602">
        <v>5</v>
      </c>
      <c r="C602">
        <v>1</v>
      </c>
      <c r="D602">
        <v>2.5824597289695719</v>
      </c>
      <c r="E602">
        <v>6.4689337765277406</v>
      </c>
      <c r="F602">
        <v>2.5824597289695719</v>
      </c>
      <c r="G602">
        <v>85.272308872411145</v>
      </c>
      <c r="H602">
        <v>3.87368959345436</v>
      </c>
      <c r="I602">
        <v>0</v>
      </c>
      <c r="J602">
        <v>0</v>
      </c>
      <c r="K602">
        <v>0</v>
      </c>
      <c r="L602">
        <v>1</v>
      </c>
      <c r="M602">
        <v>0</v>
      </c>
      <c r="N602">
        <v>54</v>
      </c>
      <c r="O602">
        <v>65000</v>
      </c>
      <c r="P602">
        <v>2</v>
      </c>
      <c r="Q602">
        <v>4</v>
      </c>
      <c r="R602">
        <v>4</v>
      </c>
      <c r="S602">
        <v>3</v>
      </c>
      <c r="T602" s="123">
        <f t="shared" si="47"/>
        <v>0</v>
      </c>
      <c r="U602">
        <f t="shared" si="48"/>
        <v>0</v>
      </c>
      <c r="V602">
        <f t="shared" si="49"/>
        <v>1</v>
      </c>
      <c r="W602">
        <f t="shared" si="50"/>
        <v>1</v>
      </c>
      <c r="X602">
        <f t="shared" si="51"/>
        <v>0</v>
      </c>
    </row>
    <row r="603" spans="1:24" hidden="1">
      <c r="A603" t="s">
        <v>174</v>
      </c>
      <c r="B603">
        <v>6</v>
      </c>
      <c r="C603">
        <v>1</v>
      </c>
      <c r="D603">
        <v>4.6918946560981833</v>
      </c>
      <c r="E603">
        <v>8.2076195346458718</v>
      </c>
      <c r="F603">
        <v>19.560214778828939</v>
      </c>
      <c r="G603">
        <v>4.9987215545896193</v>
      </c>
      <c r="H603">
        <v>17.962158015852729</v>
      </c>
      <c r="I603">
        <v>0</v>
      </c>
      <c r="J603">
        <v>0</v>
      </c>
      <c r="K603">
        <v>0</v>
      </c>
      <c r="L603">
        <v>1</v>
      </c>
      <c r="M603">
        <v>0</v>
      </c>
      <c r="N603">
        <v>54</v>
      </c>
      <c r="O603">
        <v>65000</v>
      </c>
      <c r="P603">
        <v>2</v>
      </c>
      <c r="Q603">
        <v>4</v>
      </c>
      <c r="R603">
        <v>4</v>
      </c>
      <c r="S603">
        <v>3</v>
      </c>
      <c r="T603" s="123">
        <f t="shared" si="47"/>
        <v>1</v>
      </c>
      <c r="U603">
        <f t="shared" si="48"/>
        <v>0</v>
      </c>
      <c r="V603">
        <f t="shared" si="49"/>
        <v>1</v>
      </c>
      <c r="W603">
        <f t="shared" si="50"/>
        <v>1</v>
      </c>
      <c r="X603">
        <f t="shared" si="51"/>
        <v>0</v>
      </c>
    </row>
    <row r="604" spans="1:24">
      <c r="A604" t="s">
        <v>174</v>
      </c>
      <c r="B604">
        <v>7</v>
      </c>
      <c r="C604">
        <v>1</v>
      </c>
      <c r="D604">
        <v>1.278445410380979</v>
      </c>
      <c r="E604">
        <v>18.23063155203273</v>
      </c>
      <c r="F604">
        <v>2.6335975453848142</v>
      </c>
      <c r="G604">
        <v>81.871644080797751</v>
      </c>
      <c r="H604">
        <v>12.400920480695479</v>
      </c>
      <c r="I604">
        <v>0</v>
      </c>
      <c r="J604">
        <v>1</v>
      </c>
      <c r="K604">
        <v>0</v>
      </c>
      <c r="L604">
        <v>1</v>
      </c>
      <c r="M604">
        <v>0</v>
      </c>
      <c r="N604">
        <v>54</v>
      </c>
      <c r="O604">
        <v>65000</v>
      </c>
      <c r="P604">
        <v>2</v>
      </c>
      <c r="Q604">
        <v>4</v>
      </c>
      <c r="R604">
        <v>4</v>
      </c>
      <c r="S604">
        <v>3</v>
      </c>
      <c r="T604" s="123">
        <f t="shared" si="47"/>
        <v>0</v>
      </c>
      <c r="U604">
        <f t="shared" si="48"/>
        <v>0</v>
      </c>
      <c r="V604">
        <f t="shared" si="49"/>
        <v>1</v>
      </c>
      <c r="W604">
        <f t="shared" si="50"/>
        <v>1</v>
      </c>
      <c r="X604">
        <f t="shared" si="51"/>
        <v>0</v>
      </c>
    </row>
    <row r="605" spans="1:24">
      <c r="A605" t="s">
        <v>175</v>
      </c>
      <c r="B605">
        <v>1</v>
      </c>
      <c r="C605">
        <v>1</v>
      </c>
      <c r="D605">
        <v>19.13564826380215</v>
      </c>
      <c r="E605">
        <v>50</v>
      </c>
      <c r="F605">
        <v>25.58081438920809</v>
      </c>
      <c r="G605">
        <v>13.32750437172121</v>
      </c>
      <c r="H605">
        <v>75.618286285286047</v>
      </c>
      <c r="I605">
        <v>1</v>
      </c>
      <c r="J605">
        <v>0</v>
      </c>
      <c r="K605">
        <v>0</v>
      </c>
      <c r="L605">
        <v>1</v>
      </c>
      <c r="M605">
        <v>0</v>
      </c>
      <c r="N605">
        <v>55</v>
      </c>
      <c r="O605">
        <v>48000</v>
      </c>
      <c r="P605">
        <v>1</v>
      </c>
      <c r="Q605">
        <v>2</v>
      </c>
      <c r="R605">
        <v>3</v>
      </c>
      <c r="S605">
        <v>4</v>
      </c>
      <c r="T605" s="123">
        <f t="shared" si="47"/>
        <v>0</v>
      </c>
      <c r="U605">
        <f t="shared" si="48"/>
        <v>0</v>
      </c>
      <c r="V605">
        <f t="shared" si="49"/>
        <v>0</v>
      </c>
      <c r="W605">
        <f t="shared" si="50"/>
        <v>0</v>
      </c>
      <c r="X605">
        <f t="shared" si="51"/>
        <v>1</v>
      </c>
    </row>
    <row r="606" spans="1:24">
      <c r="A606" t="s">
        <v>175</v>
      </c>
      <c r="B606">
        <v>2</v>
      </c>
      <c r="C606">
        <v>1</v>
      </c>
      <c r="D606">
        <v>92.892830377217081</v>
      </c>
      <c r="E606">
        <v>95.453409942543104</v>
      </c>
      <c r="F606">
        <v>90.107419435423424</v>
      </c>
      <c r="G606">
        <v>25.793155133649769</v>
      </c>
      <c r="H606">
        <v>9.9925056207844083</v>
      </c>
      <c r="I606">
        <v>0</v>
      </c>
      <c r="J606">
        <v>0</v>
      </c>
      <c r="K606">
        <v>1</v>
      </c>
      <c r="L606">
        <v>1</v>
      </c>
      <c r="M606">
        <v>0</v>
      </c>
      <c r="N606">
        <v>55</v>
      </c>
      <c r="O606">
        <v>48000</v>
      </c>
      <c r="P606">
        <v>1</v>
      </c>
      <c r="Q606">
        <v>2</v>
      </c>
      <c r="R606">
        <v>3</v>
      </c>
      <c r="S606">
        <v>4</v>
      </c>
      <c r="T606" s="123">
        <f t="shared" si="47"/>
        <v>0</v>
      </c>
      <c r="U606">
        <f t="shared" si="48"/>
        <v>0</v>
      </c>
      <c r="V606">
        <f t="shared" si="49"/>
        <v>0</v>
      </c>
      <c r="W606">
        <f t="shared" si="50"/>
        <v>0</v>
      </c>
      <c r="X606">
        <f t="shared" si="51"/>
        <v>1</v>
      </c>
    </row>
    <row r="607" spans="1:24">
      <c r="A607" t="s">
        <v>175</v>
      </c>
      <c r="B607">
        <v>3</v>
      </c>
      <c r="C607">
        <v>1</v>
      </c>
      <c r="D607">
        <v>15.23857107169623</v>
      </c>
      <c r="E607">
        <v>46.052960279790163</v>
      </c>
      <c r="F607">
        <v>24.656507619285541</v>
      </c>
      <c r="G607">
        <v>76.280289782663004</v>
      </c>
      <c r="H607">
        <v>66.025480889332997</v>
      </c>
      <c r="I607">
        <v>0</v>
      </c>
      <c r="J607">
        <v>0</v>
      </c>
      <c r="K607">
        <v>0</v>
      </c>
      <c r="L607">
        <v>1</v>
      </c>
      <c r="M607">
        <v>0</v>
      </c>
      <c r="N607">
        <v>55</v>
      </c>
      <c r="O607">
        <v>48000</v>
      </c>
      <c r="P607">
        <v>1</v>
      </c>
      <c r="Q607">
        <v>2</v>
      </c>
      <c r="R607">
        <v>3</v>
      </c>
      <c r="S607">
        <v>4</v>
      </c>
      <c r="T607" s="123">
        <f t="shared" si="47"/>
        <v>0</v>
      </c>
      <c r="U607">
        <f t="shared" si="48"/>
        <v>0</v>
      </c>
      <c r="V607">
        <f t="shared" si="49"/>
        <v>0</v>
      </c>
      <c r="W607">
        <f t="shared" si="50"/>
        <v>0</v>
      </c>
      <c r="X607">
        <f t="shared" si="51"/>
        <v>1</v>
      </c>
    </row>
    <row r="608" spans="1:24">
      <c r="A608" t="s">
        <v>175</v>
      </c>
      <c r="B608">
        <v>4</v>
      </c>
      <c r="C608">
        <v>1</v>
      </c>
      <c r="D608">
        <v>50</v>
      </c>
      <c r="E608">
        <v>20.59705221084187</v>
      </c>
      <c r="F608">
        <v>58.031476392705471</v>
      </c>
      <c r="G608">
        <v>0</v>
      </c>
      <c r="H608">
        <v>22.270796902323259</v>
      </c>
      <c r="I608">
        <v>0</v>
      </c>
      <c r="J608">
        <v>0</v>
      </c>
      <c r="K608">
        <v>0</v>
      </c>
      <c r="L608">
        <v>1</v>
      </c>
      <c r="M608">
        <v>0</v>
      </c>
      <c r="N608">
        <v>55</v>
      </c>
      <c r="O608">
        <v>48000</v>
      </c>
      <c r="P608">
        <v>1</v>
      </c>
      <c r="Q608">
        <v>2</v>
      </c>
      <c r="R608">
        <v>3</v>
      </c>
      <c r="S608">
        <v>4</v>
      </c>
      <c r="T608" s="123">
        <f t="shared" si="47"/>
        <v>0</v>
      </c>
      <c r="U608">
        <f t="shared" si="48"/>
        <v>0</v>
      </c>
      <c r="V608">
        <f t="shared" si="49"/>
        <v>0</v>
      </c>
      <c r="W608">
        <f t="shared" si="50"/>
        <v>0</v>
      </c>
      <c r="X608">
        <f t="shared" si="51"/>
        <v>1</v>
      </c>
    </row>
    <row r="609" spans="1:24">
      <c r="A609" t="s">
        <v>175</v>
      </c>
      <c r="B609">
        <v>5</v>
      </c>
      <c r="C609">
        <v>1</v>
      </c>
      <c r="D609">
        <v>82.737946540094924</v>
      </c>
      <c r="E609">
        <v>90.332250811891086</v>
      </c>
      <c r="F609">
        <v>50</v>
      </c>
      <c r="G609">
        <v>12.6280289782663</v>
      </c>
      <c r="H609">
        <v>11.76617536847364</v>
      </c>
      <c r="I609">
        <v>0</v>
      </c>
      <c r="J609">
        <v>0</v>
      </c>
      <c r="K609">
        <v>1</v>
      </c>
      <c r="L609">
        <v>1</v>
      </c>
      <c r="M609">
        <v>0</v>
      </c>
      <c r="N609">
        <v>55</v>
      </c>
      <c r="O609">
        <v>48000</v>
      </c>
      <c r="P609">
        <v>1</v>
      </c>
      <c r="Q609">
        <v>2</v>
      </c>
      <c r="R609">
        <v>3</v>
      </c>
      <c r="S609">
        <v>4</v>
      </c>
      <c r="T609" s="123">
        <f t="shared" si="47"/>
        <v>0</v>
      </c>
      <c r="U609">
        <f t="shared" si="48"/>
        <v>0</v>
      </c>
      <c r="V609">
        <f t="shared" si="49"/>
        <v>0</v>
      </c>
      <c r="W609">
        <f t="shared" si="50"/>
        <v>0</v>
      </c>
      <c r="X609">
        <f t="shared" si="51"/>
        <v>1</v>
      </c>
    </row>
    <row r="610" spans="1:24" hidden="1">
      <c r="A610" t="s">
        <v>175</v>
      </c>
      <c r="B610">
        <v>6</v>
      </c>
      <c r="C610">
        <v>1</v>
      </c>
      <c r="D610">
        <v>90.419685236072951</v>
      </c>
      <c r="E610">
        <v>9.5803147639270563</v>
      </c>
      <c r="F610">
        <v>7.9815138646015473</v>
      </c>
      <c r="G610">
        <v>7.8940794404196879</v>
      </c>
      <c r="H610">
        <v>22.420684486635022</v>
      </c>
      <c r="I610">
        <v>0</v>
      </c>
      <c r="J610">
        <v>0</v>
      </c>
      <c r="K610">
        <v>1</v>
      </c>
      <c r="L610">
        <v>1</v>
      </c>
      <c r="M610">
        <v>0</v>
      </c>
      <c r="N610">
        <v>55</v>
      </c>
      <c r="O610">
        <v>48000</v>
      </c>
      <c r="P610">
        <v>1</v>
      </c>
      <c r="Q610">
        <v>2</v>
      </c>
      <c r="R610">
        <v>3</v>
      </c>
      <c r="S610">
        <v>4</v>
      </c>
      <c r="T610" s="123">
        <f t="shared" si="47"/>
        <v>1</v>
      </c>
      <c r="U610">
        <f t="shared" si="48"/>
        <v>0</v>
      </c>
      <c r="V610">
        <f t="shared" si="49"/>
        <v>0</v>
      </c>
      <c r="W610">
        <f t="shared" si="50"/>
        <v>0</v>
      </c>
      <c r="X610">
        <f t="shared" si="51"/>
        <v>1</v>
      </c>
    </row>
    <row r="611" spans="1:24">
      <c r="A611" t="s">
        <v>175</v>
      </c>
      <c r="B611">
        <v>7</v>
      </c>
      <c r="C611">
        <v>1</v>
      </c>
      <c r="D611">
        <v>88.933300024981264</v>
      </c>
      <c r="E611">
        <v>82.875343492380722</v>
      </c>
      <c r="F611">
        <v>94.541593804646524</v>
      </c>
      <c r="G611">
        <v>18.773419935048711</v>
      </c>
      <c r="H611">
        <v>8.5560829377966492</v>
      </c>
      <c r="I611">
        <v>0</v>
      </c>
      <c r="J611">
        <v>1</v>
      </c>
      <c r="K611">
        <v>1</v>
      </c>
      <c r="L611">
        <v>1</v>
      </c>
      <c r="M611">
        <v>0</v>
      </c>
      <c r="N611">
        <v>55</v>
      </c>
      <c r="O611">
        <v>48000</v>
      </c>
      <c r="P611">
        <v>1</v>
      </c>
      <c r="Q611">
        <v>2</v>
      </c>
      <c r="R611">
        <v>3</v>
      </c>
      <c r="S611">
        <v>4</v>
      </c>
      <c r="T611" s="123">
        <f t="shared" si="47"/>
        <v>0</v>
      </c>
      <c r="U611">
        <f t="shared" si="48"/>
        <v>0</v>
      </c>
      <c r="V611">
        <f t="shared" si="49"/>
        <v>0</v>
      </c>
      <c r="W611">
        <f t="shared" si="50"/>
        <v>0</v>
      </c>
      <c r="X611">
        <f t="shared" si="51"/>
        <v>1</v>
      </c>
    </row>
    <row r="612" spans="1:24">
      <c r="A612" t="s">
        <v>176</v>
      </c>
      <c r="B612">
        <v>1</v>
      </c>
      <c r="C612">
        <v>1</v>
      </c>
      <c r="D612">
        <v>50</v>
      </c>
      <c r="E612">
        <v>62.5</v>
      </c>
      <c r="F612">
        <v>91.945876288659804</v>
      </c>
      <c r="G612">
        <v>50</v>
      </c>
      <c r="H612">
        <v>45.889175257731956</v>
      </c>
      <c r="I612">
        <v>1</v>
      </c>
      <c r="J612">
        <v>0</v>
      </c>
      <c r="K612">
        <v>0</v>
      </c>
      <c r="L612">
        <v>1</v>
      </c>
      <c r="M612">
        <v>0</v>
      </c>
      <c r="N612">
        <v>39</v>
      </c>
      <c r="O612">
        <v>79000</v>
      </c>
      <c r="P612">
        <v>1</v>
      </c>
      <c r="Q612">
        <v>2</v>
      </c>
      <c r="R612">
        <v>3</v>
      </c>
      <c r="S612">
        <v>3</v>
      </c>
      <c r="T612" s="123">
        <f t="shared" si="47"/>
        <v>0</v>
      </c>
      <c r="U612">
        <f t="shared" si="48"/>
        <v>0</v>
      </c>
      <c r="V612">
        <f t="shared" si="49"/>
        <v>0</v>
      </c>
      <c r="W612">
        <f t="shared" si="50"/>
        <v>0</v>
      </c>
      <c r="X612">
        <f t="shared" si="51"/>
        <v>0</v>
      </c>
    </row>
    <row r="613" spans="1:24">
      <c r="A613" t="s">
        <v>176</v>
      </c>
      <c r="B613">
        <v>2</v>
      </c>
      <c r="C613">
        <v>1</v>
      </c>
      <c r="D613">
        <v>2.8865979381443312</v>
      </c>
      <c r="E613">
        <v>13.58247422680412</v>
      </c>
      <c r="F613">
        <v>17.384020618556701</v>
      </c>
      <c r="G613">
        <v>93.698453608247419</v>
      </c>
      <c r="H613">
        <v>88.904639175257728</v>
      </c>
      <c r="I613">
        <v>0</v>
      </c>
      <c r="J613">
        <v>0</v>
      </c>
      <c r="K613">
        <v>0</v>
      </c>
      <c r="L613">
        <v>1</v>
      </c>
      <c r="M613">
        <v>0</v>
      </c>
      <c r="N613">
        <v>39</v>
      </c>
      <c r="O613">
        <v>79000</v>
      </c>
      <c r="P613">
        <v>1</v>
      </c>
      <c r="Q613">
        <v>2</v>
      </c>
      <c r="R613">
        <v>3</v>
      </c>
      <c r="S613">
        <v>3</v>
      </c>
      <c r="T613" s="123">
        <f t="shared" si="47"/>
        <v>0</v>
      </c>
      <c r="U613">
        <f t="shared" si="48"/>
        <v>0</v>
      </c>
      <c r="V613">
        <f t="shared" si="49"/>
        <v>0</v>
      </c>
      <c r="W613">
        <f t="shared" si="50"/>
        <v>0</v>
      </c>
      <c r="X613">
        <f t="shared" si="51"/>
        <v>0</v>
      </c>
    </row>
    <row r="614" spans="1:24">
      <c r="A614" t="s">
        <v>176</v>
      </c>
      <c r="B614">
        <v>3</v>
      </c>
      <c r="C614">
        <v>1</v>
      </c>
      <c r="D614">
        <v>10.48969072164949</v>
      </c>
      <c r="E614">
        <v>7.7061855670103094</v>
      </c>
      <c r="F614">
        <v>8.4536082474226841</v>
      </c>
      <c r="G614">
        <v>98.402061855670112</v>
      </c>
      <c r="H614">
        <v>100</v>
      </c>
      <c r="I614">
        <v>0</v>
      </c>
      <c r="J614">
        <v>0</v>
      </c>
      <c r="K614">
        <v>0</v>
      </c>
      <c r="L614">
        <v>1</v>
      </c>
      <c r="M614">
        <v>0</v>
      </c>
      <c r="N614">
        <v>39</v>
      </c>
      <c r="O614">
        <v>79000</v>
      </c>
      <c r="P614">
        <v>1</v>
      </c>
      <c r="Q614">
        <v>2</v>
      </c>
      <c r="R614">
        <v>3</v>
      </c>
      <c r="S614">
        <v>3</v>
      </c>
      <c r="T614" s="123">
        <f t="shared" si="47"/>
        <v>0</v>
      </c>
      <c r="U614">
        <f t="shared" si="48"/>
        <v>0</v>
      </c>
      <c r="V614">
        <f t="shared" si="49"/>
        <v>0</v>
      </c>
      <c r="W614">
        <f t="shared" si="50"/>
        <v>0</v>
      </c>
      <c r="X614">
        <f t="shared" si="51"/>
        <v>0</v>
      </c>
    </row>
    <row r="615" spans="1:24">
      <c r="A615" t="s">
        <v>176</v>
      </c>
      <c r="B615">
        <v>4</v>
      </c>
      <c r="C615">
        <v>1</v>
      </c>
      <c r="D615">
        <v>8.4149484536082504</v>
      </c>
      <c r="E615">
        <v>8.8659793814433012</v>
      </c>
      <c r="F615">
        <v>7.1778350515463876</v>
      </c>
      <c r="G615">
        <v>83.00257731958763</v>
      </c>
      <c r="H615">
        <v>59.020618556701031</v>
      </c>
      <c r="I615">
        <v>0</v>
      </c>
      <c r="J615">
        <v>0</v>
      </c>
      <c r="K615">
        <v>0</v>
      </c>
      <c r="L615">
        <v>1</v>
      </c>
      <c r="M615">
        <v>0</v>
      </c>
      <c r="N615">
        <v>39</v>
      </c>
      <c r="O615">
        <v>79000</v>
      </c>
      <c r="P615">
        <v>1</v>
      </c>
      <c r="Q615">
        <v>2</v>
      </c>
      <c r="R615">
        <v>3</v>
      </c>
      <c r="S615">
        <v>3</v>
      </c>
      <c r="T615" s="123">
        <f t="shared" si="47"/>
        <v>0</v>
      </c>
      <c r="U615">
        <f t="shared" si="48"/>
        <v>0</v>
      </c>
      <c r="V615">
        <f t="shared" si="49"/>
        <v>0</v>
      </c>
      <c r="W615">
        <f t="shared" si="50"/>
        <v>0</v>
      </c>
      <c r="X615">
        <f t="shared" si="51"/>
        <v>0</v>
      </c>
    </row>
    <row r="616" spans="1:24">
      <c r="A616" t="s">
        <v>176</v>
      </c>
      <c r="B616">
        <v>5</v>
      </c>
      <c r="C616">
        <v>1</v>
      </c>
      <c r="D616">
        <v>8.3891752577319565</v>
      </c>
      <c r="E616">
        <v>8.2216494845360817</v>
      </c>
      <c r="F616">
        <v>1.494845360824743</v>
      </c>
      <c r="G616">
        <v>93.891752577319593</v>
      </c>
      <c r="H616">
        <v>82.061855670103085</v>
      </c>
      <c r="I616">
        <v>0</v>
      </c>
      <c r="J616">
        <v>0</v>
      </c>
      <c r="K616">
        <v>0</v>
      </c>
      <c r="L616">
        <v>1</v>
      </c>
      <c r="M616">
        <v>0</v>
      </c>
      <c r="N616">
        <v>39</v>
      </c>
      <c r="O616">
        <v>79000</v>
      </c>
      <c r="P616">
        <v>1</v>
      </c>
      <c r="Q616">
        <v>2</v>
      </c>
      <c r="R616">
        <v>3</v>
      </c>
      <c r="S616">
        <v>3</v>
      </c>
      <c r="T616" s="123">
        <f t="shared" si="47"/>
        <v>0</v>
      </c>
      <c r="U616">
        <f t="shared" si="48"/>
        <v>0</v>
      </c>
      <c r="V616">
        <f t="shared" si="49"/>
        <v>0</v>
      </c>
      <c r="W616">
        <f t="shared" si="50"/>
        <v>0</v>
      </c>
      <c r="X616">
        <f t="shared" si="51"/>
        <v>0</v>
      </c>
    </row>
    <row r="617" spans="1:24">
      <c r="A617" t="s">
        <v>176</v>
      </c>
      <c r="B617">
        <v>6</v>
      </c>
      <c r="C617">
        <v>1</v>
      </c>
      <c r="D617">
        <v>21.22422680412371</v>
      </c>
      <c r="E617">
        <v>14.510309278350521</v>
      </c>
      <c r="F617">
        <v>0.94072164948453829</v>
      </c>
      <c r="G617">
        <v>94.342783505154642</v>
      </c>
      <c r="H617">
        <v>96.25</v>
      </c>
      <c r="I617">
        <v>0</v>
      </c>
      <c r="J617">
        <v>0</v>
      </c>
      <c r="K617">
        <v>0</v>
      </c>
      <c r="L617">
        <v>1</v>
      </c>
      <c r="M617">
        <v>0</v>
      </c>
      <c r="N617">
        <v>39</v>
      </c>
      <c r="O617">
        <v>79000</v>
      </c>
      <c r="P617">
        <v>1</v>
      </c>
      <c r="Q617">
        <v>2</v>
      </c>
      <c r="R617">
        <v>3</v>
      </c>
      <c r="S617">
        <v>3</v>
      </c>
      <c r="T617" s="123">
        <f t="shared" si="47"/>
        <v>0</v>
      </c>
      <c r="U617">
        <f t="shared" si="48"/>
        <v>0</v>
      </c>
      <c r="V617">
        <f t="shared" si="49"/>
        <v>0</v>
      </c>
      <c r="W617">
        <f t="shared" si="50"/>
        <v>0</v>
      </c>
      <c r="X617">
        <f t="shared" si="51"/>
        <v>0</v>
      </c>
    </row>
    <row r="618" spans="1:24">
      <c r="A618" t="s">
        <v>176</v>
      </c>
      <c r="B618">
        <v>7</v>
      </c>
      <c r="C618">
        <v>1</v>
      </c>
      <c r="D618">
        <v>6.7139175257731942</v>
      </c>
      <c r="E618">
        <v>9.896907216494844</v>
      </c>
      <c r="F618">
        <v>3.2216494845360821</v>
      </c>
      <c r="G618">
        <v>93.286082474226802</v>
      </c>
      <c r="H618">
        <v>89.755154639175259</v>
      </c>
      <c r="I618">
        <v>0</v>
      </c>
      <c r="J618">
        <v>1</v>
      </c>
      <c r="K618">
        <v>0</v>
      </c>
      <c r="L618">
        <v>1</v>
      </c>
      <c r="M618">
        <v>0</v>
      </c>
      <c r="N618">
        <v>39</v>
      </c>
      <c r="O618">
        <v>79000</v>
      </c>
      <c r="P618">
        <v>1</v>
      </c>
      <c r="Q618">
        <v>2</v>
      </c>
      <c r="R618">
        <v>3</v>
      </c>
      <c r="S618">
        <v>3</v>
      </c>
      <c r="T618" s="123">
        <f t="shared" si="47"/>
        <v>0</v>
      </c>
      <c r="U618">
        <f t="shared" si="48"/>
        <v>0</v>
      </c>
      <c r="V618">
        <f t="shared" si="49"/>
        <v>0</v>
      </c>
      <c r="W618">
        <f t="shared" si="50"/>
        <v>0</v>
      </c>
      <c r="X618">
        <f t="shared" si="51"/>
        <v>0</v>
      </c>
    </row>
    <row r="619" spans="1:24">
      <c r="A619" t="s">
        <v>177</v>
      </c>
      <c r="B619">
        <v>1</v>
      </c>
      <c r="C619">
        <v>1</v>
      </c>
      <c r="D619">
        <v>97.739010673705963</v>
      </c>
      <c r="E619">
        <v>100</v>
      </c>
      <c r="F619">
        <v>92.149661425456216</v>
      </c>
      <c r="G619">
        <v>6.2837139905887742</v>
      </c>
      <c r="H619">
        <v>0.83782853207850505</v>
      </c>
      <c r="I619">
        <v>1</v>
      </c>
      <c r="J619">
        <v>0</v>
      </c>
      <c r="K619">
        <v>1</v>
      </c>
      <c r="L619">
        <v>1</v>
      </c>
      <c r="M619">
        <v>1</v>
      </c>
      <c r="N619">
        <v>39</v>
      </c>
      <c r="O619">
        <v>85000</v>
      </c>
      <c r="P619">
        <v>1</v>
      </c>
      <c r="Q619">
        <v>5</v>
      </c>
      <c r="R619">
        <v>5</v>
      </c>
      <c r="S619">
        <v>5</v>
      </c>
      <c r="T619" s="123">
        <f t="shared" si="47"/>
        <v>0</v>
      </c>
      <c r="U619">
        <f t="shared" si="48"/>
        <v>0</v>
      </c>
      <c r="V619">
        <f t="shared" si="49"/>
        <v>1</v>
      </c>
      <c r="W619">
        <f t="shared" si="50"/>
        <v>1</v>
      </c>
      <c r="X619">
        <f t="shared" si="51"/>
        <v>1</v>
      </c>
    </row>
    <row r="620" spans="1:24">
      <c r="A620" t="s">
        <v>177</v>
      </c>
      <c r="B620">
        <v>2</v>
      </c>
      <c r="C620">
        <v>1</v>
      </c>
      <c r="D620">
        <v>99.202341329048551</v>
      </c>
      <c r="E620">
        <v>91.214277516354869</v>
      </c>
      <c r="F620">
        <v>99.322850912429701</v>
      </c>
      <c r="G620">
        <v>1.124756111557446</v>
      </c>
      <c r="H620">
        <v>0.41891426603924969</v>
      </c>
      <c r="I620">
        <v>0</v>
      </c>
      <c r="J620">
        <v>0</v>
      </c>
      <c r="K620">
        <v>1</v>
      </c>
      <c r="L620">
        <v>1</v>
      </c>
      <c r="M620">
        <v>1</v>
      </c>
      <c r="N620">
        <v>39</v>
      </c>
      <c r="O620">
        <v>85000</v>
      </c>
      <c r="P620">
        <v>1</v>
      </c>
      <c r="Q620">
        <v>5</v>
      </c>
      <c r="R620">
        <v>5</v>
      </c>
      <c r="S620">
        <v>5</v>
      </c>
      <c r="T620" s="123">
        <f t="shared" si="47"/>
        <v>0</v>
      </c>
      <c r="U620">
        <f t="shared" si="48"/>
        <v>0</v>
      </c>
      <c r="V620">
        <f t="shared" si="49"/>
        <v>1</v>
      </c>
      <c r="W620">
        <f t="shared" si="50"/>
        <v>1</v>
      </c>
      <c r="X620">
        <f t="shared" si="51"/>
        <v>1</v>
      </c>
    </row>
    <row r="621" spans="1:24">
      <c r="A621" t="s">
        <v>177</v>
      </c>
      <c r="B621">
        <v>3</v>
      </c>
      <c r="C621">
        <v>1</v>
      </c>
      <c r="D621">
        <v>97.4291288878687</v>
      </c>
      <c r="E621">
        <v>95.707563410995064</v>
      </c>
      <c r="F621">
        <v>95.707563410995064</v>
      </c>
      <c r="G621">
        <v>2.0486629174796271</v>
      </c>
      <c r="H621">
        <v>0.48777688511419948</v>
      </c>
      <c r="I621">
        <v>0</v>
      </c>
      <c r="J621">
        <v>0</v>
      </c>
      <c r="K621">
        <v>1</v>
      </c>
      <c r="L621">
        <v>1</v>
      </c>
      <c r="M621">
        <v>1</v>
      </c>
      <c r="N621">
        <v>39</v>
      </c>
      <c r="O621">
        <v>85000</v>
      </c>
      <c r="P621">
        <v>1</v>
      </c>
      <c r="Q621">
        <v>5</v>
      </c>
      <c r="R621">
        <v>5</v>
      </c>
      <c r="S621">
        <v>5</v>
      </c>
      <c r="T621" s="123">
        <f t="shared" si="47"/>
        <v>0</v>
      </c>
      <c r="U621">
        <f t="shared" si="48"/>
        <v>0</v>
      </c>
      <c r="V621">
        <f t="shared" si="49"/>
        <v>1</v>
      </c>
      <c r="W621">
        <f t="shared" si="50"/>
        <v>1</v>
      </c>
      <c r="X621">
        <f t="shared" si="51"/>
        <v>1</v>
      </c>
    </row>
    <row r="622" spans="1:24">
      <c r="A622" t="s">
        <v>177</v>
      </c>
      <c r="B622">
        <v>4</v>
      </c>
      <c r="C622">
        <v>1</v>
      </c>
      <c r="D622">
        <v>99.150694364742336</v>
      </c>
      <c r="E622">
        <v>99.483530356937905</v>
      </c>
      <c r="F622">
        <v>98.961322162286237</v>
      </c>
      <c r="G622">
        <v>1.2510042465281761</v>
      </c>
      <c r="H622">
        <v>19.241363479857689</v>
      </c>
      <c r="I622">
        <v>0</v>
      </c>
      <c r="J622">
        <v>0</v>
      </c>
      <c r="K622">
        <v>1</v>
      </c>
      <c r="L622">
        <v>1</v>
      </c>
      <c r="M622">
        <v>1</v>
      </c>
      <c r="N622">
        <v>39</v>
      </c>
      <c r="O622">
        <v>85000</v>
      </c>
      <c r="P622">
        <v>1</v>
      </c>
      <c r="Q622">
        <v>5</v>
      </c>
      <c r="R622">
        <v>5</v>
      </c>
      <c r="S622">
        <v>5</v>
      </c>
      <c r="T622" s="123">
        <f t="shared" si="47"/>
        <v>0</v>
      </c>
      <c r="U622">
        <f t="shared" si="48"/>
        <v>0</v>
      </c>
      <c r="V622">
        <f t="shared" si="49"/>
        <v>1</v>
      </c>
      <c r="W622">
        <f t="shared" si="50"/>
        <v>1</v>
      </c>
      <c r="X622">
        <f t="shared" si="51"/>
        <v>1</v>
      </c>
    </row>
    <row r="623" spans="1:24">
      <c r="A623" t="s">
        <v>177</v>
      </c>
      <c r="B623">
        <v>5</v>
      </c>
      <c r="C623">
        <v>1</v>
      </c>
      <c r="D623">
        <v>98.783427063009299</v>
      </c>
      <c r="E623">
        <v>90.600252496269945</v>
      </c>
      <c r="F623">
        <v>98.048892459543211</v>
      </c>
      <c r="G623">
        <v>6.3296224033054074</v>
      </c>
      <c r="H623">
        <v>2.5307012510042468</v>
      </c>
      <c r="I623">
        <v>0</v>
      </c>
      <c r="J623">
        <v>0</v>
      </c>
      <c r="K623">
        <v>1</v>
      </c>
      <c r="L623">
        <v>1</v>
      </c>
      <c r="M623">
        <v>1</v>
      </c>
      <c r="N623">
        <v>39</v>
      </c>
      <c r="O623">
        <v>85000</v>
      </c>
      <c r="P623">
        <v>1</v>
      </c>
      <c r="Q623">
        <v>5</v>
      </c>
      <c r="R623">
        <v>5</v>
      </c>
      <c r="S623">
        <v>5</v>
      </c>
      <c r="T623" s="123">
        <f t="shared" si="47"/>
        <v>0</v>
      </c>
      <c r="U623">
        <f t="shared" si="48"/>
        <v>0</v>
      </c>
      <c r="V623">
        <f t="shared" si="49"/>
        <v>1</v>
      </c>
      <c r="W623">
        <f t="shared" si="50"/>
        <v>1</v>
      </c>
      <c r="X623">
        <f t="shared" si="51"/>
        <v>1</v>
      </c>
    </row>
    <row r="624" spans="1:24">
      <c r="A624" t="s">
        <v>177</v>
      </c>
      <c r="B624">
        <v>6</v>
      </c>
      <c r="C624">
        <v>1</v>
      </c>
      <c r="D624">
        <v>85.263399517961673</v>
      </c>
      <c r="E624">
        <v>98.938367955927916</v>
      </c>
      <c r="F624">
        <v>99.581085733960748</v>
      </c>
      <c r="G624">
        <v>12.27476185010903</v>
      </c>
      <c r="H624">
        <v>10.794215539997699</v>
      </c>
      <c r="I624">
        <v>0</v>
      </c>
      <c r="J624">
        <v>0</v>
      </c>
      <c r="K624">
        <v>1</v>
      </c>
      <c r="L624">
        <v>1</v>
      </c>
      <c r="M624">
        <v>1</v>
      </c>
      <c r="N624">
        <v>39</v>
      </c>
      <c r="O624">
        <v>85000</v>
      </c>
      <c r="P624">
        <v>1</v>
      </c>
      <c r="Q624">
        <v>5</v>
      </c>
      <c r="R624">
        <v>5</v>
      </c>
      <c r="S624">
        <v>5</v>
      </c>
      <c r="T624" s="123">
        <f t="shared" si="47"/>
        <v>0</v>
      </c>
      <c r="U624">
        <f t="shared" si="48"/>
        <v>0</v>
      </c>
      <c r="V624">
        <f t="shared" si="49"/>
        <v>1</v>
      </c>
      <c r="W624">
        <f t="shared" si="50"/>
        <v>1</v>
      </c>
      <c r="X624">
        <f t="shared" si="51"/>
        <v>1</v>
      </c>
    </row>
    <row r="625" spans="1:24">
      <c r="A625" t="s">
        <v>177</v>
      </c>
      <c r="B625">
        <v>7</v>
      </c>
      <c r="C625">
        <v>1</v>
      </c>
      <c r="D625">
        <v>97.517123287671239</v>
      </c>
      <c r="E625">
        <v>96.75880626223092</v>
      </c>
      <c r="F625">
        <v>50</v>
      </c>
      <c r="G625">
        <v>25.477005870841481</v>
      </c>
      <c r="H625">
        <v>4.329745596868884</v>
      </c>
      <c r="I625">
        <v>0</v>
      </c>
      <c r="J625">
        <v>1</v>
      </c>
      <c r="K625">
        <v>1</v>
      </c>
      <c r="L625">
        <v>1</v>
      </c>
      <c r="M625">
        <v>1</v>
      </c>
      <c r="N625">
        <v>39</v>
      </c>
      <c r="O625">
        <v>85000</v>
      </c>
      <c r="P625">
        <v>1</v>
      </c>
      <c r="Q625">
        <v>5</v>
      </c>
      <c r="R625">
        <v>5</v>
      </c>
      <c r="S625">
        <v>5</v>
      </c>
      <c r="T625" s="123">
        <f t="shared" si="47"/>
        <v>0</v>
      </c>
      <c r="U625">
        <f t="shared" si="48"/>
        <v>0</v>
      </c>
      <c r="V625">
        <f t="shared" si="49"/>
        <v>1</v>
      </c>
      <c r="W625">
        <f t="shared" si="50"/>
        <v>1</v>
      </c>
      <c r="X625">
        <f t="shared" si="51"/>
        <v>1</v>
      </c>
    </row>
    <row r="626" spans="1:24">
      <c r="A626" t="s">
        <v>178</v>
      </c>
      <c r="B626">
        <v>1</v>
      </c>
      <c r="C626">
        <v>1</v>
      </c>
      <c r="D626">
        <v>92.482665313715543</v>
      </c>
      <c r="E626">
        <v>97.336377473363783</v>
      </c>
      <c r="F626">
        <v>95.010992727887711</v>
      </c>
      <c r="G626">
        <v>2.6636225266362219</v>
      </c>
      <c r="H626">
        <v>2.5114155251141579</v>
      </c>
      <c r="I626">
        <v>1</v>
      </c>
      <c r="J626">
        <v>0</v>
      </c>
      <c r="K626">
        <v>1</v>
      </c>
      <c r="L626">
        <v>1</v>
      </c>
      <c r="M626">
        <v>1</v>
      </c>
      <c r="N626">
        <v>42</v>
      </c>
      <c r="O626">
        <v>7000</v>
      </c>
      <c r="P626">
        <v>4</v>
      </c>
      <c r="Q626">
        <v>2</v>
      </c>
      <c r="R626">
        <v>5</v>
      </c>
      <c r="S626">
        <v>4</v>
      </c>
      <c r="T626" s="123">
        <f t="shared" si="47"/>
        <v>0</v>
      </c>
      <c r="U626">
        <f t="shared" si="48"/>
        <v>1</v>
      </c>
      <c r="V626">
        <f t="shared" si="49"/>
        <v>0</v>
      </c>
      <c r="W626">
        <f t="shared" si="50"/>
        <v>1</v>
      </c>
      <c r="X626">
        <f t="shared" si="51"/>
        <v>1</v>
      </c>
    </row>
    <row r="627" spans="1:24" hidden="1">
      <c r="A627" t="s">
        <v>178</v>
      </c>
      <c r="B627">
        <v>2</v>
      </c>
      <c r="C627">
        <v>1</v>
      </c>
      <c r="D627">
        <v>1.0147133434804669</v>
      </c>
      <c r="E627">
        <v>93.294435988499913</v>
      </c>
      <c r="F627">
        <v>98.325722983257236</v>
      </c>
      <c r="G627">
        <v>96.702181633688483</v>
      </c>
      <c r="H627">
        <v>1.3867749027566381</v>
      </c>
      <c r="I627">
        <v>0</v>
      </c>
      <c r="J627">
        <v>0</v>
      </c>
      <c r="K627">
        <v>0</v>
      </c>
      <c r="L627">
        <v>1</v>
      </c>
      <c r="M627">
        <v>1</v>
      </c>
      <c r="N627">
        <v>42</v>
      </c>
      <c r="O627">
        <v>7000</v>
      </c>
      <c r="P627">
        <v>4</v>
      </c>
      <c r="Q627">
        <v>2</v>
      </c>
      <c r="R627">
        <v>5</v>
      </c>
      <c r="S627">
        <v>4</v>
      </c>
      <c r="T627" s="123">
        <f t="shared" si="47"/>
        <v>1</v>
      </c>
      <c r="U627">
        <f t="shared" si="48"/>
        <v>1</v>
      </c>
      <c r="V627">
        <f t="shared" si="49"/>
        <v>0</v>
      </c>
      <c r="W627">
        <f t="shared" si="50"/>
        <v>1</v>
      </c>
      <c r="X627">
        <f t="shared" si="51"/>
        <v>1</v>
      </c>
    </row>
    <row r="628" spans="1:24">
      <c r="A628" t="s">
        <v>178</v>
      </c>
      <c r="B628">
        <v>3</v>
      </c>
      <c r="C628">
        <v>1</v>
      </c>
      <c r="D628">
        <v>0</v>
      </c>
      <c r="E628">
        <v>88.795873499069842</v>
      </c>
      <c r="F628">
        <v>1.9533231861998961</v>
      </c>
      <c r="G628">
        <v>94.892609504481655</v>
      </c>
      <c r="H628">
        <v>4.6930492135971562</v>
      </c>
      <c r="I628">
        <v>0</v>
      </c>
      <c r="J628">
        <v>0</v>
      </c>
      <c r="K628">
        <v>0</v>
      </c>
      <c r="L628">
        <v>1</v>
      </c>
      <c r="M628">
        <v>1</v>
      </c>
      <c r="N628">
        <v>42</v>
      </c>
      <c r="O628">
        <v>7000</v>
      </c>
      <c r="P628">
        <v>4</v>
      </c>
      <c r="Q628">
        <v>2</v>
      </c>
      <c r="R628">
        <v>5</v>
      </c>
      <c r="S628">
        <v>4</v>
      </c>
      <c r="T628" s="123">
        <f t="shared" si="47"/>
        <v>0</v>
      </c>
      <c r="U628">
        <f t="shared" si="48"/>
        <v>1</v>
      </c>
      <c r="V628">
        <f t="shared" si="49"/>
        <v>0</v>
      </c>
      <c r="W628">
        <f t="shared" si="50"/>
        <v>1</v>
      </c>
      <c r="X628">
        <f t="shared" si="51"/>
        <v>1</v>
      </c>
    </row>
    <row r="629" spans="1:24">
      <c r="A629" t="s">
        <v>178</v>
      </c>
      <c r="B629">
        <v>4</v>
      </c>
      <c r="C629">
        <v>1</v>
      </c>
      <c r="D629">
        <v>2.0886182986639579</v>
      </c>
      <c r="E629">
        <v>11.18721461187214</v>
      </c>
      <c r="F629">
        <v>4.6000338237781158</v>
      </c>
      <c r="G629">
        <v>91.248097412480973</v>
      </c>
      <c r="H629">
        <v>6.0290884491797758</v>
      </c>
      <c r="I629">
        <v>0</v>
      </c>
      <c r="J629">
        <v>0</v>
      </c>
      <c r="K629">
        <v>0</v>
      </c>
      <c r="L629">
        <v>1</v>
      </c>
      <c r="M629">
        <v>1</v>
      </c>
      <c r="N629">
        <v>42</v>
      </c>
      <c r="O629">
        <v>7000</v>
      </c>
      <c r="P629">
        <v>4</v>
      </c>
      <c r="Q629">
        <v>2</v>
      </c>
      <c r="R629">
        <v>5</v>
      </c>
      <c r="S629">
        <v>4</v>
      </c>
      <c r="T629" s="123">
        <f t="shared" si="47"/>
        <v>0</v>
      </c>
      <c r="U629">
        <f t="shared" si="48"/>
        <v>1</v>
      </c>
      <c r="V629">
        <f t="shared" si="49"/>
        <v>0</v>
      </c>
      <c r="W629">
        <f t="shared" si="50"/>
        <v>1</v>
      </c>
      <c r="X629">
        <f t="shared" si="51"/>
        <v>1</v>
      </c>
    </row>
    <row r="630" spans="1:24">
      <c r="A630" t="s">
        <v>178</v>
      </c>
      <c r="B630">
        <v>5</v>
      </c>
      <c r="C630">
        <v>1</v>
      </c>
      <c r="D630">
        <v>5.4347826086956541</v>
      </c>
      <c r="E630">
        <v>50</v>
      </c>
      <c r="F630">
        <v>6.521739130434784</v>
      </c>
      <c r="G630">
        <v>87.181409295352324</v>
      </c>
      <c r="H630">
        <v>50</v>
      </c>
      <c r="I630">
        <v>0</v>
      </c>
      <c r="J630">
        <v>0</v>
      </c>
      <c r="K630">
        <v>0</v>
      </c>
      <c r="L630">
        <v>1</v>
      </c>
      <c r="M630">
        <v>1</v>
      </c>
      <c r="N630">
        <v>42</v>
      </c>
      <c r="O630">
        <v>7000</v>
      </c>
      <c r="P630">
        <v>4</v>
      </c>
      <c r="Q630">
        <v>2</v>
      </c>
      <c r="R630">
        <v>5</v>
      </c>
      <c r="S630">
        <v>4</v>
      </c>
      <c r="T630" s="123">
        <f t="shared" si="47"/>
        <v>0</v>
      </c>
      <c r="U630">
        <f t="shared" si="48"/>
        <v>1</v>
      </c>
      <c r="V630">
        <f t="shared" si="49"/>
        <v>0</v>
      </c>
      <c r="W630">
        <f t="shared" si="50"/>
        <v>1</v>
      </c>
      <c r="X630">
        <f t="shared" si="51"/>
        <v>1</v>
      </c>
    </row>
    <row r="631" spans="1:24" hidden="1">
      <c r="A631" t="s">
        <v>178</v>
      </c>
      <c r="B631">
        <v>6</v>
      </c>
      <c r="C631">
        <v>1</v>
      </c>
      <c r="D631">
        <v>8.5707146426786611</v>
      </c>
      <c r="E631">
        <v>5.5847076461769118</v>
      </c>
      <c r="F631">
        <v>6.1469265367316339</v>
      </c>
      <c r="G631">
        <v>1.599200399800099</v>
      </c>
      <c r="H631">
        <v>6.4217891054472727</v>
      </c>
      <c r="I631">
        <v>0</v>
      </c>
      <c r="J631">
        <v>0</v>
      </c>
      <c r="K631">
        <v>0</v>
      </c>
      <c r="L631">
        <v>1</v>
      </c>
      <c r="M631">
        <v>1</v>
      </c>
      <c r="N631">
        <v>42</v>
      </c>
      <c r="O631">
        <v>7000</v>
      </c>
      <c r="P631">
        <v>4</v>
      </c>
      <c r="Q631">
        <v>2</v>
      </c>
      <c r="R631">
        <v>5</v>
      </c>
      <c r="S631">
        <v>4</v>
      </c>
      <c r="T631" s="123">
        <f t="shared" si="47"/>
        <v>1</v>
      </c>
      <c r="U631">
        <f t="shared" si="48"/>
        <v>1</v>
      </c>
      <c r="V631">
        <f t="shared" si="49"/>
        <v>0</v>
      </c>
      <c r="W631">
        <f t="shared" si="50"/>
        <v>1</v>
      </c>
      <c r="X631">
        <f t="shared" si="51"/>
        <v>1</v>
      </c>
    </row>
    <row r="632" spans="1:24">
      <c r="A632" t="s">
        <v>178</v>
      </c>
      <c r="B632">
        <v>7</v>
      </c>
      <c r="C632">
        <v>1</v>
      </c>
      <c r="D632">
        <v>4.4227886056971526</v>
      </c>
      <c r="E632">
        <v>1.199400299850073</v>
      </c>
      <c r="F632">
        <v>3.3608195902048998</v>
      </c>
      <c r="G632">
        <v>95.539730134932526</v>
      </c>
      <c r="H632">
        <v>9.095452273863069</v>
      </c>
      <c r="I632">
        <v>0</v>
      </c>
      <c r="J632">
        <v>1</v>
      </c>
      <c r="K632">
        <v>0</v>
      </c>
      <c r="L632">
        <v>1</v>
      </c>
      <c r="M632">
        <v>1</v>
      </c>
      <c r="N632">
        <v>42</v>
      </c>
      <c r="O632">
        <v>7000</v>
      </c>
      <c r="P632">
        <v>4</v>
      </c>
      <c r="Q632">
        <v>2</v>
      </c>
      <c r="R632">
        <v>5</v>
      </c>
      <c r="S632">
        <v>4</v>
      </c>
      <c r="T632" s="123">
        <f t="shared" si="47"/>
        <v>0</v>
      </c>
      <c r="U632">
        <f t="shared" si="48"/>
        <v>1</v>
      </c>
      <c r="V632">
        <f t="shared" si="49"/>
        <v>0</v>
      </c>
      <c r="W632">
        <f t="shared" si="50"/>
        <v>1</v>
      </c>
      <c r="X632">
        <f t="shared" si="51"/>
        <v>1</v>
      </c>
    </row>
    <row r="633" spans="1:24" hidden="1">
      <c r="A633" t="s">
        <v>179</v>
      </c>
      <c r="B633">
        <v>1</v>
      </c>
      <c r="C633">
        <v>1</v>
      </c>
      <c r="D633">
        <v>11.240045506257109</v>
      </c>
      <c r="E633">
        <v>11.26279863481229</v>
      </c>
      <c r="F633">
        <v>11.21729237770194</v>
      </c>
      <c r="G633">
        <v>9.1126279863481212</v>
      </c>
      <c r="H633">
        <v>8.0204778156996568</v>
      </c>
      <c r="I633">
        <v>1</v>
      </c>
      <c r="J633">
        <v>0</v>
      </c>
      <c r="K633">
        <v>0</v>
      </c>
      <c r="L633">
        <v>1</v>
      </c>
      <c r="M633">
        <v>0</v>
      </c>
      <c r="N633">
        <v>19</v>
      </c>
      <c r="O633">
        <v>27000</v>
      </c>
      <c r="P633">
        <v>1</v>
      </c>
      <c r="Q633">
        <v>1</v>
      </c>
      <c r="R633">
        <v>1</v>
      </c>
      <c r="S633">
        <v>2</v>
      </c>
      <c r="T633" s="123">
        <f t="shared" si="47"/>
        <v>1</v>
      </c>
      <c r="U633">
        <f t="shared" si="48"/>
        <v>0</v>
      </c>
      <c r="V633">
        <f t="shared" si="49"/>
        <v>0</v>
      </c>
      <c r="W633">
        <f t="shared" si="50"/>
        <v>0</v>
      </c>
      <c r="X633">
        <f t="shared" si="51"/>
        <v>0</v>
      </c>
    </row>
    <row r="634" spans="1:24">
      <c r="A634" t="s">
        <v>179</v>
      </c>
      <c r="B634">
        <v>2</v>
      </c>
      <c r="C634">
        <v>1</v>
      </c>
      <c r="D634">
        <v>11.638225255972699</v>
      </c>
      <c r="E634">
        <v>83.242320819112621</v>
      </c>
      <c r="F634">
        <v>8.5665529010238934</v>
      </c>
      <c r="G634">
        <v>90.875995449374287</v>
      </c>
      <c r="H634">
        <v>12.55972696245734</v>
      </c>
      <c r="I634">
        <v>0</v>
      </c>
      <c r="J634">
        <v>0</v>
      </c>
      <c r="K634">
        <v>0</v>
      </c>
      <c r="L634">
        <v>1</v>
      </c>
      <c r="M634">
        <v>0</v>
      </c>
      <c r="N634">
        <v>19</v>
      </c>
      <c r="O634">
        <v>27000</v>
      </c>
      <c r="P634">
        <v>1</v>
      </c>
      <c r="Q634">
        <v>1</v>
      </c>
      <c r="R634">
        <v>1</v>
      </c>
      <c r="S634">
        <v>2</v>
      </c>
      <c r="T634" s="123">
        <f t="shared" si="47"/>
        <v>0</v>
      </c>
      <c r="U634">
        <f t="shared" si="48"/>
        <v>0</v>
      </c>
      <c r="V634">
        <f t="shared" si="49"/>
        <v>0</v>
      </c>
      <c r="W634">
        <f t="shared" si="50"/>
        <v>0</v>
      </c>
      <c r="X634">
        <f t="shared" si="51"/>
        <v>0</v>
      </c>
    </row>
    <row r="635" spans="1:24">
      <c r="A635" t="s">
        <v>179</v>
      </c>
      <c r="B635">
        <v>3</v>
      </c>
      <c r="C635">
        <v>1</v>
      </c>
      <c r="D635">
        <v>8.0091012514220683</v>
      </c>
      <c r="E635">
        <v>3.0602957906712192</v>
      </c>
      <c r="F635">
        <v>89.897610921501709</v>
      </c>
      <c r="G635">
        <v>4.9374288964732669</v>
      </c>
      <c r="H635">
        <v>93.526734926052342</v>
      </c>
      <c r="I635">
        <v>0</v>
      </c>
      <c r="J635">
        <v>0</v>
      </c>
      <c r="K635">
        <v>0</v>
      </c>
      <c r="L635">
        <v>1</v>
      </c>
      <c r="M635">
        <v>0</v>
      </c>
      <c r="N635">
        <v>19</v>
      </c>
      <c r="O635">
        <v>27000</v>
      </c>
      <c r="P635">
        <v>1</v>
      </c>
      <c r="Q635">
        <v>1</v>
      </c>
      <c r="R635">
        <v>1</v>
      </c>
      <c r="S635">
        <v>2</v>
      </c>
      <c r="T635" s="123">
        <f t="shared" si="47"/>
        <v>0</v>
      </c>
      <c r="U635">
        <f t="shared" si="48"/>
        <v>0</v>
      </c>
      <c r="V635">
        <f t="shared" si="49"/>
        <v>0</v>
      </c>
      <c r="W635">
        <f t="shared" si="50"/>
        <v>0</v>
      </c>
      <c r="X635">
        <f t="shared" si="51"/>
        <v>0</v>
      </c>
    </row>
    <row r="636" spans="1:24">
      <c r="A636" t="s">
        <v>179</v>
      </c>
      <c r="B636">
        <v>4</v>
      </c>
      <c r="C636">
        <v>1</v>
      </c>
      <c r="D636">
        <v>3.4470989761092139</v>
      </c>
      <c r="E636">
        <v>3.4470989761092139</v>
      </c>
      <c r="F636">
        <v>2.8668941979522189</v>
      </c>
      <c r="G636">
        <v>96.962457337883961</v>
      </c>
      <c r="H636">
        <v>2.8555176336746309</v>
      </c>
      <c r="I636">
        <v>0</v>
      </c>
      <c r="J636">
        <v>0</v>
      </c>
      <c r="K636">
        <v>0</v>
      </c>
      <c r="L636">
        <v>1</v>
      </c>
      <c r="M636">
        <v>0</v>
      </c>
      <c r="N636">
        <v>19</v>
      </c>
      <c r="O636">
        <v>27000</v>
      </c>
      <c r="P636">
        <v>1</v>
      </c>
      <c r="Q636">
        <v>1</v>
      </c>
      <c r="R636">
        <v>1</v>
      </c>
      <c r="S636">
        <v>2</v>
      </c>
      <c r="T636" s="123">
        <f t="shared" si="47"/>
        <v>0</v>
      </c>
      <c r="U636">
        <f t="shared" si="48"/>
        <v>0</v>
      </c>
      <c r="V636">
        <f t="shared" si="49"/>
        <v>0</v>
      </c>
      <c r="W636">
        <f t="shared" si="50"/>
        <v>0</v>
      </c>
      <c r="X636">
        <f t="shared" si="51"/>
        <v>0</v>
      </c>
    </row>
    <row r="637" spans="1:24">
      <c r="A637" t="s">
        <v>179</v>
      </c>
      <c r="B637">
        <v>5</v>
      </c>
      <c r="C637">
        <v>1</v>
      </c>
      <c r="D637">
        <v>96.188850967007966</v>
      </c>
      <c r="E637">
        <v>3.4357224118316272</v>
      </c>
      <c r="F637">
        <v>97.144482366325363</v>
      </c>
      <c r="G637">
        <v>4.7554038680318547</v>
      </c>
      <c r="H637">
        <v>3.617747440273039</v>
      </c>
      <c r="I637">
        <v>0</v>
      </c>
      <c r="J637">
        <v>0</v>
      </c>
      <c r="K637">
        <v>1</v>
      </c>
      <c r="L637">
        <v>1</v>
      </c>
      <c r="M637">
        <v>0</v>
      </c>
      <c r="N637">
        <v>19</v>
      </c>
      <c r="O637">
        <v>27000</v>
      </c>
      <c r="P637">
        <v>1</v>
      </c>
      <c r="Q637">
        <v>1</v>
      </c>
      <c r="R637">
        <v>1</v>
      </c>
      <c r="S637">
        <v>2</v>
      </c>
      <c r="T637" s="123">
        <f t="shared" si="47"/>
        <v>0</v>
      </c>
      <c r="U637">
        <f t="shared" si="48"/>
        <v>0</v>
      </c>
      <c r="V637">
        <f t="shared" si="49"/>
        <v>0</v>
      </c>
      <c r="W637">
        <f t="shared" si="50"/>
        <v>0</v>
      </c>
      <c r="X637">
        <f t="shared" si="51"/>
        <v>0</v>
      </c>
    </row>
    <row r="638" spans="1:24">
      <c r="A638" t="s">
        <v>179</v>
      </c>
      <c r="B638">
        <v>6</v>
      </c>
      <c r="C638">
        <v>1</v>
      </c>
      <c r="D638">
        <v>4.5900890614295484</v>
      </c>
      <c r="E638">
        <v>96.722996117835123</v>
      </c>
      <c r="F638">
        <v>2.298065984072811</v>
      </c>
      <c r="G638">
        <v>0</v>
      </c>
      <c r="H638">
        <v>2.8441410693970441</v>
      </c>
      <c r="I638">
        <v>0</v>
      </c>
      <c r="J638">
        <v>0</v>
      </c>
      <c r="K638">
        <v>0</v>
      </c>
      <c r="L638">
        <v>1</v>
      </c>
      <c r="M638">
        <v>0</v>
      </c>
      <c r="N638">
        <v>19</v>
      </c>
      <c r="O638">
        <v>27000</v>
      </c>
      <c r="P638">
        <v>1</v>
      </c>
      <c r="Q638">
        <v>1</v>
      </c>
      <c r="R638">
        <v>1</v>
      </c>
      <c r="S638">
        <v>2</v>
      </c>
      <c r="T638" s="123">
        <f t="shared" si="47"/>
        <v>0</v>
      </c>
      <c r="U638">
        <f t="shared" si="48"/>
        <v>0</v>
      </c>
      <c r="V638">
        <f t="shared" si="49"/>
        <v>0</v>
      </c>
      <c r="W638">
        <f t="shared" si="50"/>
        <v>0</v>
      </c>
      <c r="X638">
        <f t="shared" si="51"/>
        <v>0</v>
      </c>
    </row>
    <row r="639" spans="1:24">
      <c r="A639" t="s">
        <v>179</v>
      </c>
      <c r="B639">
        <v>7</v>
      </c>
      <c r="C639">
        <v>1</v>
      </c>
      <c r="D639">
        <v>50</v>
      </c>
      <c r="E639">
        <v>12.993834208723451</v>
      </c>
      <c r="F639">
        <v>34.003197076958209</v>
      </c>
      <c r="G639">
        <v>87.577072390956843</v>
      </c>
      <c r="H639">
        <v>78.785110755880339</v>
      </c>
      <c r="I639">
        <v>0</v>
      </c>
      <c r="J639">
        <v>1</v>
      </c>
      <c r="K639">
        <v>0</v>
      </c>
      <c r="L639">
        <v>1</v>
      </c>
      <c r="M639">
        <v>0</v>
      </c>
      <c r="N639">
        <v>19</v>
      </c>
      <c r="O639">
        <v>27000</v>
      </c>
      <c r="P639">
        <v>1</v>
      </c>
      <c r="Q639">
        <v>1</v>
      </c>
      <c r="R639">
        <v>1</v>
      </c>
      <c r="S639">
        <v>2</v>
      </c>
      <c r="T639" s="123">
        <f t="shared" si="47"/>
        <v>0</v>
      </c>
      <c r="U639">
        <f t="shared" si="48"/>
        <v>0</v>
      </c>
      <c r="V639">
        <f t="shared" si="49"/>
        <v>0</v>
      </c>
      <c r="W639">
        <f t="shared" si="50"/>
        <v>0</v>
      </c>
      <c r="X639">
        <f t="shared" si="51"/>
        <v>0</v>
      </c>
    </row>
    <row r="640" spans="1:24">
      <c r="A640" t="s">
        <v>180</v>
      </c>
      <c r="B640">
        <v>1</v>
      </c>
      <c r="C640">
        <v>1</v>
      </c>
      <c r="D640">
        <v>1.6218850062647889</v>
      </c>
      <c r="E640">
        <v>94.243352359738267</v>
      </c>
      <c r="F640">
        <v>94.514826674091609</v>
      </c>
      <c r="G640">
        <v>7.4342196853682321</v>
      </c>
      <c r="H640">
        <v>1.378254211332314</v>
      </c>
      <c r="I640">
        <v>1</v>
      </c>
      <c r="J640">
        <v>0</v>
      </c>
      <c r="K640">
        <v>0</v>
      </c>
      <c r="L640">
        <v>1</v>
      </c>
      <c r="M640">
        <v>1</v>
      </c>
      <c r="N640">
        <v>40</v>
      </c>
      <c r="O640">
        <v>25000</v>
      </c>
      <c r="P640">
        <v>1</v>
      </c>
      <c r="Q640">
        <v>1</v>
      </c>
      <c r="R640">
        <v>3</v>
      </c>
      <c r="S640">
        <v>3</v>
      </c>
      <c r="T640" s="123">
        <f t="shared" si="47"/>
        <v>0</v>
      </c>
      <c r="U640">
        <f t="shared" si="48"/>
        <v>0</v>
      </c>
      <c r="V640">
        <f t="shared" si="49"/>
        <v>0</v>
      </c>
      <c r="W640">
        <f t="shared" si="50"/>
        <v>0</v>
      </c>
      <c r="X640">
        <f t="shared" si="51"/>
        <v>0</v>
      </c>
    </row>
    <row r="641" spans="1:24" hidden="1">
      <c r="A641" t="s">
        <v>180</v>
      </c>
      <c r="B641">
        <v>2</v>
      </c>
      <c r="C641">
        <v>1</v>
      </c>
      <c r="D641">
        <v>6.2825278810408891</v>
      </c>
      <c r="E641">
        <v>50</v>
      </c>
      <c r="F641">
        <v>91.95786864931847</v>
      </c>
      <c r="G641">
        <v>79.281288723667913</v>
      </c>
      <c r="H641">
        <v>48.674101610904593</v>
      </c>
      <c r="I641">
        <v>0</v>
      </c>
      <c r="J641">
        <v>0</v>
      </c>
      <c r="K641">
        <v>0</v>
      </c>
      <c r="L641">
        <v>1</v>
      </c>
      <c r="M641">
        <v>1</v>
      </c>
      <c r="N641">
        <v>40</v>
      </c>
      <c r="O641">
        <v>25000</v>
      </c>
      <c r="P641">
        <v>1</v>
      </c>
      <c r="Q641">
        <v>1</v>
      </c>
      <c r="R641">
        <v>3</v>
      </c>
      <c r="S641">
        <v>3</v>
      </c>
      <c r="T641" s="123">
        <f t="shared" si="47"/>
        <v>1</v>
      </c>
      <c r="U641">
        <f t="shared" si="48"/>
        <v>0</v>
      </c>
      <c r="V641">
        <f t="shared" si="49"/>
        <v>0</v>
      </c>
      <c r="W641">
        <f t="shared" si="50"/>
        <v>0</v>
      </c>
      <c r="X641">
        <f t="shared" si="51"/>
        <v>0</v>
      </c>
    </row>
    <row r="642" spans="1:24">
      <c r="A642" t="s">
        <v>180</v>
      </c>
      <c r="B642">
        <v>3</v>
      </c>
      <c r="C642">
        <v>1</v>
      </c>
      <c r="D642">
        <v>1.871127633209418</v>
      </c>
      <c r="E642">
        <v>9.6034696406443629</v>
      </c>
      <c r="F642">
        <v>3.6183395291201959</v>
      </c>
      <c r="G642">
        <v>92.28004956629492</v>
      </c>
      <c r="H642">
        <v>4.9442379182156104</v>
      </c>
      <c r="I642">
        <v>0</v>
      </c>
      <c r="J642">
        <v>0</v>
      </c>
      <c r="K642">
        <v>0</v>
      </c>
      <c r="L642">
        <v>1</v>
      </c>
      <c r="M642">
        <v>1</v>
      </c>
      <c r="N642">
        <v>40</v>
      </c>
      <c r="O642">
        <v>25000</v>
      </c>
      <c r="P642">
        <v>1</v>
      </c>
      <c r="Q642">
        <v>1</v>
      </c>
      <c r="R642">
        <v>3</v>
      </c>
      <c r="S642">
        <v>3</v>
      </c>
      <c r="T642" s="123">
        <f t="shared" si="47"/>
        <v>0</v>
      </c>
      <c r="U642">
        <f t="shared" si="48"/>
        <v>0</v>
      </c>
      <c r="V642">
        <f t="shared" si="49"/>
        <v>0</v>
      </c>
      <c r="W642">
        <f t="shared" si="50"/>
        <v>0</v>
      </c>
      <c r="X642">
        <f t="shared" si="51"/>
        <v>0</v>
      </c>
    </row>
    <row r="643" spans="1:24">
      <c r="A643" t="s">
        <v>180</v>
      </c>
      <c r="B643">
        <v>4</v>
      </c>
      <c r="C643">
        <v>1</v>
      </c>
      <c r="D643">
        <v>4.7335811648079318</v>
      </c>
      <c r="E643">
        <v>3.5192069392812888</v>
      </c>
      <c r="F643">
        <v>19.169764560099129</v>
      </c>
      <c r="G643">
        <v>92.478314745972739</v>
      </c>
      <c r="H643">
        <v>7.2118959107806688</v>
      </c>
      <c r="I643">
        <v>0</v>
      </c>
      <c r="J643">
        <v>0</v>
      </c>
      <c r="K643">
        <v>0</v>
      </c>
      <c r="L643">
        <v>1</v>
      </c>
      <c r="M643">
        <v>1</v>
      </c>
      <c r="N643">
        <v>40</v>
      </c>
      <c r="O643">
        <v>25000</v>
      </c>
      <c r="P643">
        <v>1</v>
      </c>
      <c r="Q643">
        <v>1</v>
      </c>
      <c r="R643">
        <v>3</v>
      </c>
      <c r="S643">
        <v>3</v>
      </c>
      <c r="T643" s="123">
        <f t="shared" si="47"/>
        <v>0</v>
      </c>
      <c r="U643">
        <f t="shared" si="48"/>
        <v>0</v>
      </c>
      <c r="V643">
        <f t="shared" si="49"/>
        <v>0</v>
      </c>
      <c r="W643">
        <f t="shared" si="50"/>
        <v>0</v>
      </c>
      <c r="X643">
        <f t="shared" si="51"/>
        <v>0</v>
      </c>
    </row>
    <row r="644" spans="1:24">
      <c r="A644" t="s">
        <v>180</v>
      </c>
      <c r="B644">
        <v>5</v>
      </c>
      <c r="C644">
        <v>1</v>
      </c>
      <c r="D644">
        <v>12.57744733581165</v>
      </c>
      <c r="E644">
        <v>9.0830235439900875</v>
      </c>
      <c r="F644">
        <v>2.6517967781908292</v>
      </c>
      <c r="G644">
        <v>84.510532837670382</v>
      </c>
      <c r="H644">
        <v>9.0830235439900875</v>
      </c>
      <c r="I644">
        <v>0</v>
      </c>
      <c r="J644">
        <v>0</v>
      </c>
      <c r="K644">
        <v>0</v>
      </c>
      <c r="L644">
        <v>1</v>
      </c>
      <c r="M644">
        <v>1</v>
      </c>
      <c r="N644">
        <v>40</v>
      </c>
      <c r="O644">
        <v>25000</v>
      </c>
      <c r="P644">
        <v>1</v>
      </c>
      <c r="Q644">
        <v>1</v>
      </c>
      <c r="R644">
        <v>3</v>
      </c>
      <c r="S644">
        <v>3</v>
      </c>
      <c r="T644" s="123">
        <f t="shared" ref="T644:T707" si="52">IF(OR(IF(AVERAGE(E644:F644)-G644&gt;(10),1,0),IF(AVERAGE(E644:F644)-G644&lt;(-10),1,0)),0,1)</f>
        <v>0</v>
      </c>
      <c r="U644">
        <f t="shared" ref="U644:U707" si="53">IF(P644&gt;3,1,0)</f>
        <v>0</v>
      </c>
      <c r="V644">
        <f t="shared" ref="V644:V707" si="54">IF(Q644&gt;3,1,0)</f>
        <v>0</v>
      </c>
      <c r="W644">
        <f t="shared" ref="W644:W707" si="55">IF(R644&gt;3,1,0)</f>
        <v>0</v>
      </c>
      <c r="X644">
        <f t="shared" ref="X644:X707" si="56">IF(S644&gt;3,1,0)</f>
        <v>0</v>
      </c>
    </row>
    <row r="645" spans="1:24" hidden="1">
      <c r="A645" t="s">
        <v>180</v>
      </c>
      <c r="B645">
        <v>6</v>
      </c>
      <c r="C645">
        <v>1</v>
      </c>
      <c r="D645">
        <v>2.701363073110286</v>
      </c>
      <c r="E645">
        <v>89.256505576208184</v>
      </c>
      <c r="F645">
        <v>95.477075588599746</v>
      </c>
      <c r="G645">
        <v>88.451053283767038</v>
      </c>
      <c r="H645">
        <v>8.2775712515489488</v>
      </c>
      <c r="I645">
        <v>0</v>
      </c>
      <c r="J645">
        <v>0</v>
      </c>
      <c r="K645">
        <v>0</v>
      </c>
      <c r="L645">
        <v>1</v>
      </c>
      <c r="M645">
        <v>1</v>
      </c>
      <c r="N645">
        <v>40</v>
      </c>
      <c r="O645">
        <v>25000</v>
      </c>
      <c r="P645">
        <v>1</v>
      </c>
      <c r="Q645">
        <v>1</v>
      </c>
      <c r="R645">
        <v>3</v>
      </c>
      <c r="S645">
        <v>3</v>
      </c>
      <c r="T645" s="123">
        <f t="shared" si="52"/>
        <v>1</v>
      </c>
      <c r="U645">
        <f t="shared" si="53"/>
        <v>0</v>
      </c>
      <c r="V645">
        <f t="shared" si="54"/>
        <v>0</v>
      </c>
      <c r="W645">
        <f t="shared" si="55"/>
        <v>0</v>
      </c>
      <c r="X645">
        <f t="shared" si="56"/>
        <v>0</v>
      </c>
    </row>
    <row r="646" spans="1:24" hidden="1">
      <c r="A646" t="s">
        <v>180</v>
      </c>
      <c r="B646">
        <v>7</v>
      </c>
      <c r="C646">
        <v>1</v>
      </c>
      <c r="D646">
        <v>1.2267657992565071</v>
      </c>
      <c r="E646">
        <v>0</v>
      </c>
      <c r="F646">
        <v>8.4386617100371772</v>
      </c>
      <c r="G646">
        <v>3.3085501858736039</v>
      </c>
      <c r="H646">
        <v>79.343246592317215</v>
      </c>
      <c r="I646">
        <v>0</v>
      </c>
      <c r="J646">
        <v>1</v>
      </c>
      <c r="K646">
        <v>0</v>
      </c>
      <c r="L646">
        <v>1</v>
      </c>
      <c r="M646">
        <v>1</v>
      </c>
      <c r="N646">
        <v>40</v>
      </c>
      <c r="O646">
        <v>25000</v>
      </c>
      <c r="P646">
        <v>1</v>
      </c>
      <c r="Q646">
        <v>1</v>
      </c>
      <c r="R646">
        <v>3</v>
      </c>
      <c r="S646">
        <v>3</v>
      </c>
      <c r="T646" s="123">
        <f t="shared" si="52"/>
        <v>1</v>
      </c>
      <c r="U646">
        <f t="shared" si="53"/>
        <v>0</v>
      </c>
      <c r="V646">
        <f t="shared" si="54"/>
        <v>0</v>
      </c>
      <c r="W646">
        <f t="shared" si="55"/>
        <v>0</v>
      </c>
      <c r="X646">
        <f t="shared" si="56"/>
        <v>0</v>
      </c>
    </row>
    <row r="647" spans="1:24">
      <c r="A647" t="s">
        <v>181</v>
      </c>
      <c r="B647">
        <v>1</v>
      </c>
      <c r="C647">
        <v>1</v>
      </c>
      <c r="D647">
        <v>0.90469874952633367</v>
      </c>
      <c r="E647">
        <v>1.2694202349374739</v>
      </c>
      <c r="F647">
        <v>2.3020083364910962</v>
      </c>
      <c r="G647">
        <v>93.960780598711636</v>
      </c>
      <c r="H647">
        <v>8.7438423645320178</v>
      </c>
      <c r="I647">
        <v>1</v>
      </c>
      <c r="J647">
        <v>0</v>
      </c>
      <c r="K647">
        <v>0</v>
      </c>
      <c r="L647">
        <v>1</v>
      </c>
      <c r="M647">
        <v>1</v>
      </c>
      <c r="N647">
        <v>40</v>
      </c>
      <c r="O647">
        <v>42000</v>
      </c>
      <c r="P647">
        <v>1</v>
      </c>
      <c r="Q647">
        <v>2</v>
      </c>
      <c r="R647">
        <v>3</v>
      </c>
      <c r="S647">
        <v>4</v>
      </c>
      <c r="T647" s="123">
        <f t="shared" si="52"/>
        <v>0</v>
      </c>
      <c r="U647">
        <f t="shared" si="53"/>
        <v>0</v>
      </c>
      <c r="V647">
        <f t="shared" si="54"/>
        <v>0</v>
      </c>
      <c r="W647">
        <f t="shared" si="55"/>
        <v>0</v>
      </c>
      <c r="X647">
        <f t="shared" si="56"/>
        <v>1</v>
      </c>
    </row>
    <row r="648" spans="1:24" hidden="1">
      <c r="A648" t="s">
        <v>181</v>
      </c>
      <c r="B648">
        <v>2</v>
      </c>
      <c r="C648">
        <v>1</v>
      </c>
      <c r="D648">
        <v>3.164077302008339</v>
      </c>
      <c r="E648">
        <v>9.4448654793482412</v>
      </c>
      <c r="F648">
        <v>1.4209928003031449</v>
      </c>
      <c r="G648">
        <v>3.718264494126561</v>
      </c>
      <c r="H648">
        <v>4.2677150435771143</v>
      </c>
      <c r="I648">
        <v>0</v>
      </c>
      <c r="J648">
        <v>0</v>
      </c>
      <c r="K648">
        <v>0</v>
      </c>
      <c r="L648">
        <v>1</v>
      </c>
      <c r="M648">
        <v>1</v>
      </c>
      <c r="N648">
        <v>40</v>
      </c>
      <c r="O648">
        <v>42000</v>
      </c>
      <c r="P648">
        <v>1</v>
      </c>
      <c r="Q648">
        <v>2</v>
      </c>
      <c r="R648">
        <v>3</v>
      </c>
      <c r="S648">
        <v>4</v>
      </c>
      <c r="T648" s="123">
        <f t="shared" si="52"/>
        <v>1</v>
      </c>
      <c r="U648">
        <f t="shared" si="53"/>
        <v>0</v>
      </c>
      <c r="V648">
        <f t="shared" si="54"/>
        <v>0</v>
      </c>
      <c r="W648">
        <f t="shared" si="55"/>
        <v>0</v>
      </c>
      <c r="X648">
        <f t="shared" si="56"/>
        <v>1</v>
      </c>
    </row>
    <row r="649" spans="1:24">
      <c r="A649" t="s">
        <v>181</v>
      </c>
      <c r="B649">
        <v>3</v>
      </c>
      <c r="C649">
        <v>1</v>
      </c>
      <c r="D649">
        <v>8.3886023090149813</v>
      </c>
      <c r="E649">
        <v>6.2269712601326468</v>
      </c>
      <c r="F649">
        <v>10.157209530827799</v>
      </c>
      <c r="G649">
        <v>50</v>
      </c>
      <c r="H649">
        <v>5.5181887078438798</v>
      </c>
      <c r="I649">
        <v>0</v>
      </c>
      <c r="J649">
        <v>0</v>
      </c>
      <c r="K649">
        <v>0</v>
      </c>
      <c r="L649">
        <v>1</v>
      </c>
      <c r="M649">
        <v>1</v>
      </c>
      <c r="N649">
        <v>40</v>
      </c>
      <c r="O649">
        <v>42000</v>
      </c>
      <c r="P649">
        <v>1</v>
      </c>
      <c r="Q649">
        <v>2</v>
      </c>
      <c r="R649">
        <v>3</v>
      </c>
      <c r="S649">
        <v>4</v>
      </c>
      <c r="T649" s="123">
        <f t="shared" si="52"/>
        <v>0</v>
      </c>
      <c r="U649">
        <f t="shared" si="53"/>
        <v>0</v>
      </c>
      <c r="V649">
        <f t="shared" si="54"/>
        <v>0</v>
      </c>
      <c r="W649">
        <f t="shared" si="55"/>
        <v>0</v>
      </c>
      <c r="X649">
        <f t="shared" si="56"/>
        <v>1</v>
      </c>
    </row>
    <row r="650" spans="1:24">
      <c r="A650" t="s">
        <v>181</v>
      </c>
      <c r="B650">
        <v>4</v>
      </c>
      <c r="C650">
        <v>1</v>
      </c>
      <c r="D650">
        <v>4.5320560058953578</v>
      </c>
      <c r="E650">
        <v>2.2721690002456389</v>
      </c>
      <c r="F650">
        <v>4.3846720707442888</v>
      </c>
      <c r="G650">
        <v>72.439204126750184</v>
      </c>
      <c r="H650">
        <v>7.553426676492264</v>
      </c>
      <c r="I650">
        <v>0</v>
      </c>
      <c r="J650">
        <v>0</v>
      </c>
      <c r="K650">
        <v>0</v>
      </c>
      <c r="L650">
        <v>1</v>
      </c>
      <c r="M650">
        <v>1</v>
      </c>
      <c r="N650">
        <v>40</v>
      </c>
      <c r="O650">
        <v>42000</v>
      </c>
      <c r="P650">
        <v>1</v>
      </c>
      <c r="Q650">
        <v>2</v>
      </c>
      <c r="R650">
        <v>3</v>
      </c>
      <c r="S650">
        <v>4</v>
      </c>
      <c r="T650" s="123">
        <f t="shared" si="52"/>
        <v>0</v>
      </c>
      <c r="U650">
        <f t="shared" si="53"/>
        <v>0</v>
      </c>
      <c r="V650">
        <f t="shared" si="54"/>
        <v>0</v>
      </c>
      <c r="W650">
        <f t="shared" si="55"/>
        <v>0</v>
      </c>
      <c r="X650">
        <f t="shared" si="56"/>
        <v>1</v>
      </c>
    </row>
    <row r="651" spans="1:24" hidden="1">
      <c r="A651" t="s">
        <v>181</v>
      </c>
      <c r="B651">
        <v>5</v>
      </c>
      <c r="C651">
        <v>1</v>
      </c>
      <c r="D651">
        <v>0</v>
      </c>
      <c r="E651">
        <v>2.223041021861949</v>
      </c>
      <c r="F651">
        <v>2.223041021861949</v>
      </c>
      <c r="G651">
        <v>11.42225497420781</v>
      </c>
      <c r="H651">
        <v>10.48882338491771</v>
      </c>
      <c r="I651">
        <v>0</v>
      </c>
      <c r="J651">
        <v>0</v>
      </c>
      <c r="K651">
        <v>0</v>
      </c>
      <c r="L651">
        <v>1</v>
      </c>
      <c r="M651">
        <v>1</v>
      </c>
      <c r="N651">
        <v>40</v>
      </c>
      <c r="O651">
        <v>42000</v>
      </c>
      <c r="P651">
        <v>1</v>
      </c>
      <c r="Q651">
        <v>2</v>
      </c>
      <c r="R651">
        <v>3</v>
      </c>
      <c r="S651">
        <v>4</v>
      </c>
      <c r="T651" s="123">
        <f t="shared" si="52"/>
        <v>1</v>
      </c>
      <c r="U651">
        <f t="shared" si="53"/>
        <v>0</v>
      </c>
      <c r="V651">
        <f t="shared" si="54"/>
        <v>0</v>
      </c>
      <c r="W651">
        <f t="shared" si="55"/>
        <v>0</v>
      </c>
      <c r="X651">
        <f t="shared" si="56"/>
        <v>1</v>
      </c>
    </row>
    <row r="652" spans="1:24">
      <c r="A652" t="s">
        <v>181</v>
      </c>
      <c r="B652">
        <v>6</v>
      </c>
      <c r="C652">
        <v>1</v>
      </c>
      <c r="D652">
        <v>7.2586588061901267</v>
      </c>
      <c r="E652">
        <v>6.7673790223532313</v>
      </c>
      <c r="F652">
        <v>11.766150822893639</v>
      </c>
      <c r="G652">
        <v>87.251289609432575</v>
      </c>
      <c r="H652">
        <v>21.874232375337751</v>
      </c>
      <c r="I652">
        <v>0</v>
      </c>
      <c r="J652">
        <v>0</v>
      </c>
      <c r="K652">
        <v>0</v>
      </c>
      <c r="L652">
        <v>1</v>
      </c>
      <c r="M652">
        <v>1</v>
      </c>
      <c r="N652">
        <v>40</v>
      </c>
      <c r="O652">
        <v>42000</v>
      </c>
      <c r="P652">
        <v>1</v>
      </c>
      <c r="Q652">
        <v>2</v>
      </c>
      <c r="R652">
        <v>3</v>
      </c>
      <c r="S652">
        <v>4</v>
      </c>
      <c r="T652" s="123">
        <f t="shared" si="52"/>
        <v>0</v>
      </c>
      <c r="U652">
        <f t="shared" si="53"/>
        <v>0</v>
      </c>
      <c r="V652">
        <f t="shared" si="54"/>
        <v>0</v>
      </c>
      <c r="W652">
        <f t="shared" si="55"/>
        <v>0</v>
      </c>
      <c r="X652">
        <f t="shared" si="56"/>
        <v>1</v>
      </c>
    </row>
    <row r="653" spans="1:24">
      <c r="A653" t="s">
        <v>181</v>
      </c>
      <c r="B653">
        <v>7</v>
      </c>
      <c r="C653">
        <v>1</v>
      </c>
      <c r="D653">
        <v>34.708916728076638</v>
      </c>
      <c r="E653">
        <v>7.553426676492264</v>
      </c>
      <c r="F653">
        <v>11.52051093097519</v>
      </c>
      <c r="G653">
        <v>50</v>
      </c>
      <c r="H653">
        <v>80.213706705969045</v>
      </c>
      <c r="I653">
        <v>0</v>
      </c>
      <c r="J653">
        <v>1</v>
      </c>
      <c r="K653">
        <v>0</v>
      </c>
      <c r="L653">
        <v>1</v>
      </c>
      <c r="M653">
        <v>1</v>
      </c>
      <c r="N653">
        <v>40</v>
      </c>
      <c r="O653">
        <v>42000</v>
      </c>
      <c r="P653">
        <v>1</v>
      </c>
      <c r="Q653">
        <v>2</v>
      </c>
      <c r="R653">
        <v>3</v>
      </c>
      <c r="S653">
        <v>4</v>
      </c>
      <c r="T653" s="123">
        <f t="shared" si="52"/>
        <v>0</v>
      </c>
      <c r="U653">
        <f t="shared" si="53"/>
        <v>0</v>
      </c>
      <c r="V653">
        <f t="shared" si="54"/>
        <v>0</v>
      </c>
      <c r="W653">
        <f t="shared" si="55"/>
        <v>0</v>
      </c>
      <c r="X653">
        <f t="shared" si="56"/>
        <v>1</v>
      </c>
    </row>
    <row r="654" spans="1:24">
      <c r="A654" t="s">
        <v>182</v>
      </c>
      <c r="B654">
        <v>1</v>
      </c>
      <c r="C654">
        <v>1</v>
      </c>
      <c r="D654">
        <v>100</v>
      </c>
      <c r="E654">
        <v>100</v>
      </c>
      <c r="F654">
        <v>0</v>
      </c>
      <c r="G654">
        <v>0</v>
      </c>
      <c r="H654">
        <v>100</v>
      </c>
      <c r="I654">
        <v>1</v>
      </c>
      <c r="J654">
        <v>0</v>
      </c>
      <c r="K654">
        <v>1</v>
      </c>
      <c r="L654">
        <v>1</v>
      </c>
      <c r="M654">
        <v>0</v>
      </c>
      <c r="N654">
        <v>44</v>
      </c>
      <c r="O654">
        <v>100000</v>
      </c>
      <c r="P654">
        <v>5</v>
      </c>
      <c r="Q654">
        <v>5</v>
      </c>
      <c r="R654">
        <v>4</v>
      </c>
      <c r="S654">
        <v>4</v>
      </c>
      <c r="T654" s="123">
        <f t="shared" si="52"/>
        <v>0</v>
      </c>
      <c r="U654">
        <f t="shared" si="53"/>
        <v>1</v>
      </c>
      <c r="V654">
        <f t="shared" si="54"/>
        <v>1</v>
      </c>
      <c r="W654">
        <f t="shared" si="55"/>
        <v>1</v>
      </c>
      <c r="X654">
        <f t="shared" si="56"/>
        <v>1</v>
      </c>
    </row>
    <row r="655" spans="1:24">
      <c r="A655" t="s">
        <v>182</v>
      </c>
      <c r="B655">
        <v>2</v>
      </c>
      <c r="C655">
        <v>1</v>
      </c>
      <c r="D655">
        <v>100</v>
      </c>
      <c r="E655">
        <v>0</v>
      </c>
      <c r="F655">
        <v>100</v>
      </c>
      <c r="G655">
        <v>0</v>
      </c>
      <c r="H655">
        <v>100</v>
      </c>
      <c r="I655">
        <v>0</v>
      </c>
      <c r="J655">
        <v>0</v>
      </c>
      <c r="K655">
        <v>1</v>
      </c>
      <c r="L655">
        <v>1</v>
      </c>
      <c r="M655">
        <v>0</v>
      </c>
      <c r="N655">
        <v>44</v>
      </c>
      <c r="O655">
        <v>100000</v>
      </c>
      <c r="P655">
        <v>5</v>
      </c>
      <c r="Q655">
        <v>5</v>
      </c>
      <c r="R655">
        <v>4</v>
      </c>
      <c r="S655">
        <v>4</v>
      </c>
      <c r="T655" s="123">
        <f t="shared" si="52"/>
        <v>0</v>
      </c>
      <c r="U655">
        <f t="shared" si="53"/>
        <v>1</v>
      </c>
      <c r="V655">
        <f t="shared" si="54"/>
        <v>1</v>
      </c>
      <c r="W655">
        <f t="shared" si="55"/>
        <v>1</v>
      </c>
      <c r="X655">
        <f t="shared" si="56"/>
        <v>1</v>
      </c>
    </row>
    <row r="656" spans="1:24">
      <c r="A656" t="s">
        <v>182</v>
      </c>
      <c r="B656">
        <v>3</v>
      </c>
      <c r="C656">
        <v>1</v>
      </c>
      <c r="D656">
        <v>100</v>
      </c>
      <c r="E656">
        <v>0</v>
      </c>
      <c r="F656">
        <v>100</v>
      </c>
      <c r="G656">
        <v>0</v>
      </c>
      <c r="H656">
        <v>100</v>
      </c>
      <c r="I656">
        <v>0</v>
      </c>
      <c r="J656">
        <v>0</v>
      </c>
      <c r="K656">
        <v>1</v>
      </c>
      <c r="L656">
        <v>1</v>
      </c>
      <c r="M656">
        <v>0</v>
      </c>
      <c r="N656">
        <v>44</v>
      </c>
      <c r="O656">
        <v>100000</v>
      </c>
      <c r="P656">
        <v>5</v>
      </c>
      <c r="Q656">
        <v>5</v>
      </c>
      <c r="R656">
        <v>4</v>
      </c>
      <c r="S656">
        <v>4</v>
      </c>
      <c r="T656" s="123">
        <f t="shared" si="52"/>
        <v>0</v>
      </c>
      <c r="U656">
        <f t="shared" si="53"/>
        <v>1</v>
      </c>
      <c r="V656">
        <f t="shared" si="54"/>
        <v>1</v>
      </c>
      <c r="W656">
        <f t="shared" si="55"/>
        <v>1</v>
      </c>
      <c r="X656">
        <f t="shared" si="56"/>
        <v>1</v>
      </c>
    </row>
    <row r="657" spans="1:24">
      <c r="A657" t="s">
        <v>182</v>
      </c>
      <c r="B657">
        <v>4</v>
      </c>
      <c r="C657">
        <v>1</v>
      </c>
      <c r="D657">
        <v>100</v>
      </c>
      <c r="E657">
        <v>100</v>
      </c>
      <c r="F657">
        <v>0</v>
      </c>
      <c r="G657">
        <v>100</v>
      </c>
      <c r="H657">
        <v>100</v>
      </c>
      <c r="I657">
        <v>0</v>
      </c>
      <c r="J657">
        <v>0</v>
      </c>
      <c r="K657">
        <v>1</v>
      </c>
      <c r="L657">
        <v>1</v>
      </c>
      <c r="M657">
        <v>0</v>
      </c>
      <c r="N657">
        <v>44</v>
      </c>
      <c r="O657">
        <v>100000</v>
      </c>
      <c r="P657">
        <v>5</v>
      </c>
      <c r="Q657">
        <v>5</v>
      </c>
      <c r="R657">
        <v>4</v>
      </c>
      <c r="S657">
        <v>4</v>
      </c>
      <c r="T657" s="123">
        <f t="shared" si="52"/>
        <v>0</v>
      </c>
      <c r="U657">
        <f t="shared" si="53"/>
        <v>1</v>
      </c>
      <c r="V657">
        <f t="shared" si="54"/>
        <v>1</v>
      </c>
      <c r="W657">
        <f t="shared" si="55"/>
        <v>1</v>
      </c>
      <c r="X657">
        <f t="shared" si="56"/>
        <v>1</v>
      </c>
    </row>
    <row r="658" spans="1:24">
      <c r="A658" t="s">
        <v>182</v>
      </c>
      <c r="B658">
        <v>5</v>
      </c>
      <c r="C658">
        <v>1</v>
      </c>
      <c r="D658">
        <v>100</v>
      </c>
      <c r="E658">
        <v>0</v>
      </c>
      <c r="F658">
        <v>0</v>
      </c>
      <c r="G658">
        <v>100</v>
      </c>
      <c r="H658">
        <v>0</v>
      </c>
      <c r="I658">
        <v>0</v>
      </c>
      <c r="J658">
        <v>0</v>
      </c>
      <c r="K658">
        <v>1</v>
      </c>
      <c r="L658">
        <v>1</v>
      </c>
      <c r="M658">
        <v>0</v>
      </c>
      <c r="N658">
        <v>44</v>
      </c>
      <c r="O658">
        <v>100000</v>
      </c>
      <c r="P658">
        <v>5</v>
      </c>
      <c r="Q658">
        <v>5</v>
      </c>
      <c r="R658">
        <v>4</v>
      </c>
      <c r="S658">
        <v>4</v>
      </c>
      <c r="T658" s="123">
        <f t="shared" si="52"/>
        <v>0</v>
      </c>
      <c r="U658">
        <f t="shared" si="53"/>
        <v>1</v>
      </c>
      <c r="V658">
        <f t="shared" si="54"/>
        <v>1</v>
      </c>
      <c r="W658">
        <f t="shared" si="55"/>
        <v>1</v>
      </c>
      <c r="X658">
        <f t="shared" si="56"/>
        <v>1</v>
      </c>
    </row>
    <row r="659" spans="1:24">
      <c r="A659" t="s">
        <v>182</v>
      </c>
      <c r="B659">
        <v>6</v>
      </c>
      <c r="C659">
        <v>1</v>
      </c>
      <c r="D659">
        <v>0</v>
      </c>
      <c r="E659">
        <v>100</v>
      </c>
      <c r="F659">
        <v>0</v>
      </c>
      <c r="G659">
        <v>100</v>
      </c>
      <c r="H659">
        <v>0</v>
      </c>
      <c r="I659">
        <v>0</v>
      </c>
      <c r="J659">
        <v>0</v>
      </c>
      <c r="K659">
        <v>0</v>
      </c>
      <c r="L659">
        <v>1</v>
      </c>
      <c r="M659">
        <v>0</v>
      </c>
      <c r="N659">
        <v>44</v>
      </c>
      <c r="O659">
        <v>100000</v>
      </c>
      <c r="P659">
        <v>5</v>
      </c>
      <c r="Q659">
        <v>5</v>
      </c>
      <c r="R659">
        <v>4</v>
      </c>
      <c r="S659">
        <v>4</v>
      </c>
      <c r="T659" s="123">
        <f t="shared" si="52"/>
        <v>0</v>
      </c>
      <c r="U659">
        <f t="shared" si="53"/>
        <v>1</v>
      </c>
      <c r="V659">
        <f t="shared" si="54"/>
        <v>1</v>
      </c>
      <c r="W659">
        <f t="shared" si="55"/>
        <v>1</v>
      </c>
      <c r="X659">
        <f t="shared" si="56"/>
        <v>1</v>
      </c>
    </row>
    <row r="660" spans="1:24">
      <c r="A660" t="s">
        <v>182</v>
      </c>
      <c r="B660">
        <v>7</v>
      </c>
      <c r="C660">
        <v>1</v>
      </c>
      <c r="D660">
        <v>2.447003402250719</v>
      </c>
      <c r="E660">
        <v>98.691442030881973</v>
      </c>
      <c r="F660">
        <v>0.44490970950012981</v>
      </c>
      <c r="G660">
        <v>96.440722323998955</v>
      </c>
      <c r="H660">
        <v>50</v>
      </c>
      <c r="I660">
        <v>0</v>
      </c>
      <c r="J660">
        <v>1</v>
      </c>
      <c r="K660">
        <v>0</v>
      </c>
      <c r="L660">
        <v>1</v>
      </c>
      <c r="M660">
        <v>0</v>
      </c>
      <c r="N660">
        <v>44</v>
      </c>
      <c r="O660">
        <v>100000</v>
      </c>
      <c r="P660">
        <v>5</v>
      </c>
      <c r="Q660">
        <v>5</v>
      </c>
      <c r="R660">
        <v>4</v>
      </c>
      <c r="S660">
        <v>4</v>
      </c>
      <c r="T660" s="123">
        <f t="shared" si="52"/>
        <v>0</v>
      </c>
      <c r="U660">
        <f t="shared" si="53"/>
        <v>1</v>
      </c>
      <c r="V660">
        <f t="shared" si="54"/>
        <v>1</v>
      </c>
      <c r="W660">
        <f t="shared" si="55"/>
        <v>1</v>
      </c>
      <c r="X660">
        <f t="shared" si="56"/>
        <v>1</v>
      </c>
    </row>
    <row r="661" spans="1:24">
      <c r="A661" t="s">
        <v>183</v>
      </c>
      <c r="B661">
        <v>1</v>
      </c>
      <c r="C661">
        <v>1</v>
      </c>
      <c r="D661">
        <v>3.662639547331398</v>
      </c>
      <c r="E661">
        <v>2.4315644593974621</v>
      </c>
      <c r="F661">
        <v>3.8232145588010411</v>
      </c>
      <c r="G661">
        <v>88.121272365805169</v>
      </c>
      <c r="H661">
        <v>89.100015292858231</v>
      </c>
      <c r="I661">
        <v>1</v>
      </c>
      <c r="J661">
        <v>0</v>
      </c>
      <c r="K661">
        <v>0</v>
      </c>
      <c r="L661">
        <v>1</v>
      </c>
      <c r="M661">
        <v>0</v>
      </c>
      <c r="N661">
        <v>42</v>
      </c>
      <c r="O661">
        <v>25000</v>
      </c>
      <c r="P661">
        <v>1</v>
      </c>
      <c r="Q661">
        <v>1</v>
      </c>
      <c r="R661">
        <v>3</v>
      </c>
      <c r="S661">
        <v>2</v>
      </c>
      <c r="T661" s="123">
        <f t="shared" si="52"/>
        <v>0</v>
      </c>
      <c r="U661">
        <f t="shared" si="53"/>
        <v>0</v>
      </c>
      <c r="V661">
        <f t="shared" si="54"/>
        <v>0</v>
      </c>
      <c r="W661">
        <f t="shared" si="55"/>
        <v>0</v>
      </c>
      <c r="X661">
        <f t="shared" si="56"/>
        <v>0</v>
      </c>
    </row>
    <row r="662" spans="1:24">
      <c r="A662" t="s">
        <v>183</v>
      </c>
      <c r="B662">
        <v>2</v>
      </c>
      <c r="C662">
        <v>1</v>
      </c>
      <c r="D662">
        <v>0.99403578528827197</v>
      </c>
      <c r="E662">
        <v>7.3940969567212083</v>
      </c>
      <c r="F662">
        <v>1.246367946169141</v>
      </c>
      <c r="G662">
        <v>96.337360452668605</v>
      </c>
      <c r="H662">
        <v>0.69964826426058835</v>
      </c>
      <c r="I662">
        <v>0</v>
      </c>
      <c r="J662">
        <v>0</v>
      </c>
      <c r="K662">
        <v>0</v>
      </c>
      <c r="L662">
        <v>1</v>
      </c>
      <c r="M662">
        <v>0</v>
      </c>
      <c r="N662">
        <v>42</v>
      </c>
      <c r="O662">
        <v>25000</v>
      </c>
      <c r="P662">
        <v>1</v>
      </c>
      <c r="Q662">
        <v>1</v>
      </c>
      <c r="R662">
        <v>3</v>
      </c>
      <c r="S662">
        <v>2</v>
      </c>
      <c r="T662" s="123">
        <f t="shared" si="52"/>
        <v>0</v>
      </c>
      <c r="U662">
        <f t="shared" si="53"/>
        <v>0</v>
      </c>
      <c r="V662">
        <f t="shared" si="54"/>
        <v>0</v>
      </c>
      <c r="W662">
        <f t="shared" si="55"/>
        <v>0</v>
      </c>
      <c r="X662">
        <f t="shared" si="56"/>
        <v>0</v>
      </c>
    </row>
    <row r="663" spans="1:24">
      <c r="A663" t="s">
        <v>183</v>
      </c>
      <c r="B663">
        <v>3</v>
      </c>
      <c r="C663">
        <v>1</v>
      </c>
      <c r="D663">
        <v>7.5470255390732541</v>
      </c>
      <c r="E663">
        <v>0</v>
      </c>
      <c r="F663">
        <v>4.9051842789417321</v>
      </c>
      <c r="G663">
        <v>96.903196207371153</v>
      </c>
      <c r="H663">
        <v>0.51613396543814249</v>
      </c>
      <c r="I663">
        <v>0</v>
      </c>
      <c r="J663">
        <v>0</v>
      </c>
      <c r="K663">
        <v>0</v>
      </c>
      <c r="L663">
        <v>1</v>
      </c>
      <c r="M663">
        <v>0</v>
      </c>
      <c r="N663">
        <v>42</v>
      </c>
      <c r="O663">
        <v>25000</v>
      </c>
      <c r="P663">
        <v>1</v>
      </c>
      <c r="Q663">
        <v>1</v>
      </c>
      <c r="R663">
        <v>3</v>
      </c>
      <c r="S663">
        <v>2</v>
      </c>
      <c r="T663" s="123">
        <f t="shared" si="52"/>
        <v>0</v>
      </c>
      <c r="U663">
        <f t="shared" si="53"/>
        <v>0</v>
      </c>
      <c r="V663">
        <f t="shared" si="54"/>
        <v>0</v>
      </c>
      <c r="W663">
        <f t="shared" si="55"/>
        <v>0</v>
      </c>
      <c r="X663">
        <f t="shared" si="56"/>
        <v>0</v>
      </c>
    </row>
    <row r="664" spans="1:24">
      <c r="A664" t="s">
        <v>183</v>
      </c>
      <c r="B664">
        <v>4</v>
      </c>
      <c r="C664">
        <v>1</v>
      </c>
      <c r="D664">
        <v>0.95580363970025894</v>
      </c>
      <c r="E664">
        <v>1.441351888667991</v>
      </c>
      <c r="F664">
        <v>0.82963755925982707</v>
      </c>
      <c r="G664">
        <v>94.421929958709285</v>
      </c>
      <c r="H664">
        <v>96.299128307080593</v>
      </c>
      <c r="I664">
        <v>0</v>
      </c>
      <c r="J664">
        <v>0</v>
      </c>
      <c r="K664">
        <v>0</v>
      </c>
      <c r="L664">
        <v>1</v>
      </c>
      <c r="M664">
        <v>0</v>
      </c>
      <c r="N664">
        <v>42</v>
      </c>
      <c r="O664">
        <v>25000</v>
      </c>
      <c r="P664">
        <v>1</v>
      </c>
      <c r="Q664">
        <v>1</v>
      </c>
      <c r="R664">
        <v>3</v>
      </c>
      <c r="S664">
        <v>2</v>
      </c>
      <c r="T664" s="123">
        <f t="shared" si="52"/>
        <v>0</v>
      </c>
      <c r="U664">
        <f t="shared" si="53"/>
        <v>0</v>
      </c>
      <c r="V664">
        <f t="shared" si="54"/>
        <v>0</v>
      </c>
      <c r="W664">
        <f t="shared" si="55"/>
        <v>0</v>
      </c>
      <c r="X664">
        <f t="shared" si="56"/>
        <v>0</v>
      </c>
    </row>
    <row r="665" spans="1:24">
      <c r="A665" t="s">
        <v>183</v>
      </c>
      <c r="B665">
        <v>5</v>
      </c>
      <c r="C665">
        <v>1</v>
      </c>
      <c r="D665">
        <v>2.4927358923382772</v>
      </c>
      <c r="E665">
        <v>1.850435846459703</v>
      </c>
      <c r="F665">
        <v>1.7586786970484769</v>
      </c>
      <c r="G665">
        <v>98.241321302951519</v>
      </c>
      <c r="H665">
        <v>1.2310750879339361</v>
      </c>
      <c r="I665">
        <v>0</v>
      </c>
      <c r="J665">
        <v>0</v>
      </c>
      <c r="K665">
        <v>0</v>
      </c>
      <c r="L665">
        <v>1</v>
      </c>
      <c r="M665">
        <v>0</v>
      </c>
      <c r="N665">
        <v>42</v>
      </c>
      <c r="O665">
        <v>25000</v>
      </c>
      <c r="P665">
        <v>1</v>
      </c>
      <c r="Q665">
        <v>1</v>
      </c>
      <c r="R665">
        <v>3</v>
      </c>
      <c r="S665">
        <v>2</v>
      </c>
      <c r="T665" s="123">
        <f t="shared" si="52"/>
        <v>0</v>
      </c>
      <c r="U665">
        <f t="shared" si="53"/>
        <v>0</v>
      </c>
      <c r="V665">
        <f t="shared" si="54"/>
        <v>0</v>
      </c>
      <c r="W665">
        <f t="shared" si="55"/>
        <v>0</v>
      </c>
      <c r="X665">
        <f t="shared" si="56"/>
        <v>0</v>
      </c>
    </row>
    <row r="666" spans="1:24">
      <c r="A666" t="s">
        <v>183</v>
      </c>
      <c r="B666">
        <v>6</v>
      </c>
      <c r="C666">
        <v>1</v>
      </c>
      <c r="D666">
        <v>7.008896369319551</v>
      </c>
      <c r="E666">
        <v>24.561192594373651</v>
      </c>
      <c r="F666">
        <v>6.2154364029814886</v>
      </c>
      <c r="G666">
        <v>50</v>
      </c>
      <c r="H666">
        <v>93.075258475595106</v>
      </c>
      <c r="I666">
        <v>0</v>
      </c>
      <c r="J666">
        <v>0</v>
      </c>
      <c r="K666">
        <v>0</v>
      </c>
      <c r="L666">
        <v>1</v>
      </c>
      <c r="M666">
        <v>0</v>
      </c>
      <c r="N666">
        <v>42</v>
      </c>
      <c r="O666">
        <v>25000</v>
      </c>
      <c r="P666">
        <v>1</v>
      </c>
      <c r="Q666">
        <v>1</v>
      </c>
      <c r="R666">
        <v>3</v>
      </c>
      <c r="S666">
        <v>2</v>
      </c>
      <c r="T666" s="123">
        <f t="shared" si="52"/>
        <v>0</v>
      </c>
      <c r="U666">
        <f t="shared" si="53"/>
        <v>0</v>
      </c>
      <c r="V666">
        <f t="shared" si="54"/>
        <v>0</v>
      </c>
      <c r="W666">
        <f t="shared" si="55"/>
        <v>0</v>
      </c>
      <c r="X666">
        <f t="shared" si="56"/>
        <v>0</v>
      </c>
    </row>
    <row r="667" spans="1:24">
      <c r="A667" t="s">
        <v>183</v>
      </c>
      <c r="B667">
        <v>7</v>
      </c>
      <c r="C667">
        <v>1</v>
      </c>
      <c r="D667">
        <v>5.0012022120702104</v>
      </c>
      <c r="E667">
        <v>10.122625631161339</v>
      </c>
      <c r="F667">
        <v>7.718201490742965</v>
      </c>
      <c r="G667">
        <v>93.279634527530646</v>
      </c>
      <c r="H667">
        <v>11.625390718922819</v>
      </c>
      <c r="I667">
        <v>0</v>
      </c>
      <c r="J667">
        <v>1</v>
      </c>
      <c r="K667">
        <v>0</v>
      </c>
      <c r="L667">
        <v>1</v>
      </c>
      <c r="M667">
        <v>0</v>
      </c>
      <c r="N667">
        <v>42</v>
      </c>
      <c r="O667">
        <v>25000</v>
      </c>
      <c r="P667">
        <v>1</v>
      </c>
      <c r="Q667">
        <v>1</v>
      </c>
      <c r="R667">
        <v>3</v>
      </c>
      <c r="S667">
        <v>2</v>
      </c>
      <c r="T667" s="123">
        <f t="shared" si="52"/>
        <v>0</v>
      </c>
      <c r="U667">
        <f t="shared" si="53"/>
        <v>0</v>
      </c>
      <c r="V667">
        <f t="shared" si="54"/>
        <v>0</v>
      </c>
      <c r="W667">
        <f t="shared" si="55"/>
        <v>0</v>
      </c>
      <c r="X667">
        <f t="shared" si="56"/>
        <v>0</v>
      </c>
    </row>
    <row r="668" spans="1:24" hidden="1">
      <c r="A668" t="s">
        <v>184</v>
      </c>
      <c r="B668">
        <v>1</v>
      </c>
      <c r="C668">
        <v>1</v>
      </c>
      <c r="D668">
        <v>82.56289629781142</v>
      </c>
      <c r="E668">
        <v>50</v>
      </c>
      <c r="F668">
        <v>68.930251585191243</v>
      </c>
      <c r="G668">
        <v>50</v>
      </c>
      <c r="H668">
        <v>50</v>
      </c>
      <c r="I668">
        <v>1</v>
      </c>
      <c r="J668">
        <v>0</v>
      </c>
      <c r="K668">
        <v>1</v>
      </c>
      <c r="L668">
        <v>1</v>
      </c>
      <c r="M668">
        <v>1</v>
      </c>
      <c r="N668">
        <v>21</v>
      </c>
      <c r="O668">
        <v>17000</v>
      </c>
      <c r="P668">
        <v>2</v>
      </c>
      <c r="Q668">
        <v>1</v>
      </c>
      <c r="R668">
        <v>2</v>
      </c>
      <c r="S668">
        <v>1</v>
      </c>
      <c r="T668" s="123">
        <f t="shared" si="52"/>
        <v>1</v>
      </c>
      <c r="U668">
        <f t="shared" si="53"/>
        <v>0</v>
      </c>
      <c r="V668">
        <f t="shared" si="54"/>
        <v>0</v>
      </c>
      <c r="W668">
        <f t="shared" si="55"/>
        <v>0</v>
      </c>
      <c r="X668">
        <f t="shared" si="56"/>
        <v>0</v>
      </c>
    </row>
    <row r="669" spans="1:24" hidden="1">
      <c r="A669" t="s">
        <v>184</v>
      </c>
      <c r="B669">
        <v>2</v>
      </c>
      <c r="C669">
        <v>1</v>
      </c>
      <c r="D669">
        <v>17.45755778277767</v>
      </c>
      <c r="E669">
        <v>89.742278584577619</v>
      </c>
      <c r="F669">
        <v>91.470648394354683</v>
      </c>
      <c r="G669">
        <v>90.059316833708323</v>
      </c>
      <c r="H669">
        <v>35.027613008795257</v>
      </c>
      <c r="I669">
        <v>0</v>
      </c>
      <c r="J669">
        <v>0</v>
      </c>
      <c r="K669">
        <v>0</v>
      </c>
      <c r="L669">
        <v>1</v>
      </c>
      <c r="M669">
        <v>1</v>
      </c>
      <c r="N669">
        <v>21</v>
      </c>
      <c r="O669">
        <v>17000</v>
      </c>
      <c r="P669">
        <v>2</v>
      </c>
      <c r="Q669">
        <v>1</v>
      </c>
      <c r="R669">
        <v>2</v>
      </c>
      <c r="S669">
        <v>1</v>
      </c>
      <c r="T669" s="123">
        <f t="shared" si="52"/>
        <v>1</v>
      </c>
      <c r="U669">
        <f t="shared" si="53"/>
        <v>0</v>
      </c>
      <c r="V669">
        <f t="shared" si="54"/>
        <v>0</v>
      </c>
      <c r="W669">
        <f t="shared" si="55"/>
        <v>0</v>
      </c>
      <c r="X669">
        <f t="shared" si="56"/>
        <v>0</v>
      </c>
    </row>
    <row r="670" spans="1:24">
      <c r="A670" t="s">
        <v>184</v>
      </c>
      <c r="B670">
        <v>3</v>
      </c>
      <c r="C670">
        <v>1</v>
      </c>
      <c r="D670">
        <v>83.902638576395987</v>
      </c>
      <c r="E670">
        <v>86.121906320310899</v>
      </c>
      <c r="F670">
        <v>90.089997954591936</v>
      </c>
      <c r="G670">
        <v>20.494988750255679</v>
      </c>
      <c r="H670">
        <v>50</v>
      </c>
      <c r="I670">
        <v>0</v>
      </c>
      <c r="J670">
        <v>0</v>
      </c>
      <c r="K670">
        <v>1</v>
      </c>
      <c r="L670">
        <v>1</v>
      </c>
      <c r="M670">
        <v>1</v>
      </c>
      <c r="N670">
        <v>21</v>
      </c>
      <c r="O670">
        <v>17000</v>
      </c>
      <c r="P670">
        <v>2</v>
      </c>
      <c r="Q670">
        <v>1</v>
      </c>
      <c r="R670">
        <v>2</v>
      </c>
      <c r="S670">
        <v>1</v>
      </c>
      <c r="T670" s="123">
        <f t="shared" si="52"/>
        <v>0</v>
      </c>
      <c r="U670">
        <f t="shared" si="53"/>
        <v>0</v>
      </c>
      <c r="V670">
        <f t="shared" si="54"/>
        <v>0</v>
      </c>
      <c r="W670">
        <f t="shared" si="55"/>
        <v>0</v>
      </c>
      <c r="X670">
        <f t="shared" si="56"/>
        <v>0</v>
      </c>
    </row>
    <row r="671" spans="1:24">
      <c r="A671" t="s">
        <v>184</v>
      </c>
      <c r="B671">
        <v>4</v>
      </c>
      <c r="C671">
        <v>1</v>
      </c>
      <c r="D671">
        <v>86.837799140928624</v>
      </c>
      <c r="E671">
        <v>14.1951319288198</v>
      </c>
      <c r="F671">
        <v>18.306402127224381</v>
      </c>
      <c r="G671">
        <v>79.83227653916957</v>
      </c>
      <c r="H671">
        <v>20.147269380241362</v>
      </c>
      <c r="I671">
        <v>0</v>
      </c>
      <c r="J671">
        <v>0</v>
      </c>
      <c r="K671">
        <v>1</v>
      </c>
      <c r="L671">
        <v>1</v>
      </c>
      <c r="M671">
        <v>1</v>
      </c>
      <c r="N671">
        <v>21</v>
      </c>
      <c r="O671">
        <v>17000</v>
      </c>
      <c r="P671">
        <v>2</v>
      </c>
      <c r="Q671">
        <v>1</v>
      </c>
      <c r="R671">
        <v>2</v>
      </c>
      <c r="S671">
        <v>1</v>
      </c>
      <c r="T671" s="123">
        <f t="shared" si="52"/>
        <v>0</v>
      </c>
      <c r="U671">
        <f t="shared" si="53"/>
        <v>0</v>
      </c>
      <c r="V671">
        <f t="shared" si="54"/>
        <v>0</v>
      </c>
      <c r="W671">
        <f t="shared" si="55"/>
        <v>0</v>
      </c>
      <c r="X671">
        <f t="shared" si="56"/>
        <v>0</v>
      </c>
    </row>
    <row r="672" spans="1:24">
      <c r="A672" t="s">
        <v>184</v>
      </c>
      <c r="B672">
        <v>5</v>
      </c>
      <c r="C672">
        <v>1</v>
      </c>
      <c r="D672">
        <v>9.695234199222746</v>
      </c>
      <c r="E672">
        <v>19.646144405808961</v>
      </c>
      <c r="F672">
        <v>13.86786663939456</v>
      </c>
      <c r="G672">
        <v>79.147064839435473</v>
      </c>
      <c r="H672">
        <v>15.831458375945999</v>
      </c>
      <c r="I672">
        <v>0</v>
      </c>
      <c r="J672">
        <v>0</v>
      </c>
      <c r="K672">
        <v>0</v>
      </c>
      <c r="L672">
        <v>1</v>
      </c>
      <c r="M672">
        <v>1</v>
      </c>
      <c r="N672">
        <v>21</v>
      </c>
      <c r="O672">
        <v>17000</v>
      </c>
      <c r="P672">
        <v>2</v>
      </c>
      <c r="Q672">
        <v>1</v>
      </c>
      <c r="R672">
        <v>2</v>
      </c>
      <c r="S672">
        <v>1</v>
      </c>
      <c r="T672" s="123">
        <f t="shared" si="52"/>
        <v>0</v>
      </c>
      <c r="U672">
        <f t="shared" si="53"/>
        <v>0</v>
      </c>
      <c r="V672">
        <f t="shared" si="54"/>
        <v>0</v>
      </c>
      <c r="W672">
        <f t="shared" si="55"/>
        <v>0</v>
      </c>
      <c r="X672">
        <f t="shared" si="56"/>
        <v>0</v>
      </c>
    </row>
    <row r="673" spans="1:24">
      <c r="A673" t="s">
        <v>184</v>
      </c>
      <c r="B673">
        <v>6</v>
      </c>
      <c r="C673">
        <v>1</v>
      </c>
      <c r="D673">
        <v>0</v>
      </c>
      <c r="E673">
        <v>25.311924728983431</v>
      </c>
      <c r="F673">
        <v>32.941296788709337</v>
      </c>
      <c r="G673">
        <v>87.195745551237465</v>
      </c>
      <c r="H673">
        <v>23.10638297872341</v>
      </c>
      <c r="I673">
        <v>0</v>
      </c>
      <c r="J673">
        <v>0</v>
      </c>
      <c r="K673">
        <v>0</v>
      </c>
      <c r="L673">
        <v>1</v>
      </c>
      <c r="M673">
        <v>1</v>
      </c>
      <c r="N673">
        <v>21</v>
      </c>
      <c r="O673">
        <v>17000</v>
      </c>
      <c r="P673">
        <v>2</v>
      </c>
      <c r="Q673">
        <v>1</v>
      </c>
      <c r="R673">
        <v>2</v>
      </c>
      <c r="S673">
        <v>1</v>
      </c>
      <c r="T673" s="123">
        <f t="shared" si="52"/>
        <v>0</v>
      </c>
      <c r="U673">
        <f t="shared" si="53"/>
        <v>0</v>
      </c>
      <c r="V673">
        <f t="shared" si="54"/>
        <v>0</v>
      </c>
      <c r="W673">
        <f t="shared" si="55"/>
        <v>0</v>
      </c>
      <c r="X673">
        <f t="shared" si="56"/>
        <v>0</v>
      </c>
    </row>
    <row r="674" spans="1:24" hidden="1">
      <c r="A674" t="s">
        <v>184</v>
      </c>
      <c r="B674">
        <v>7</v>
      </c>
      <c r="C674">
        <v>1</v>
      </c>
      <c r="D674">
        <v>11.87234042553191</v>
      </c>
      <c r="E674">
        <v>11.87234042553191</v>
      </c>
      <c r="F674">
        <v>15.25531914893617</v>
      </c>
      <c r="G674">
        <v>16.117021276595739</v>
      </c>
      <c r="H674">
        <v>86.510638297872347</v>
      </c>
      <c r="I674">
        <v>0</v>
      </c>
      <c r="J674">
        <v>1</v>
      </c>
      <c r="K674">
        <v>0</v>
      </c>
      <c r="L674">
        <v>1</v>
      </c>
      <c r="M674">
        <v>1</v>
      </c>
      <c r="N674">
        <v>21</v>
      </c>
      <c r="O674">
        <v>17000</v>
      </c>
      <c r="P674">
        <v>2</v>
      </c>
      <c r="Q674">
        <v>1</v>
      </c>
      <c r="R674">
        <v>2</v>
      </c>
      <c r="S674">
        <v>1</v>
      </c>
      <c r="T674" s="123">
        <f t="shared" si="52"/>
        <v>1</v>
      </c>
      <c r="U674">
        <f t="shared" si="53"/>
        <v>0</v>
      </c>
      <c r="V674">
        <f t="shared" si="54"/>
        <v>0</v>
      </c>
      <c r="W674">
        <f t="shared" si="55"/>
        <v>0</v>
      </c>
      <c r="X674">
        <f t="shared" si="56"/>
        <v>0</v>
      </c>
    </row>
    <row r="675" spans="1:24" hidden="1">
      <c r="A675" t="s">
        <v>185</v>
      </c>
      <c r="B675">
        <v>1</v>
      </c>
      <c r="C675">
        <v>1</v>
      </c>
      <c r="D675">
        <v>94.626941685765217</v>
      </c>
      <c r="E675">
        <v>96.358543417366946</v>
      </c>
      <c r="F675">
        <v>97.96282149223326</v>
      </c>
      <c r="G675">
        <v>90.864527629233521</v>
      </c>
      <c r="H675">
        <v>3.6414565826330509</v>
      </c>
      <c r="I675">
        <v>1</v>
      </c>
      <c r="J675">
        <v>0</v>
      </c>
      <c r="K675">
        <v>1</v>
      </c>
      <c r="L675">
        <v>1</v>
      </c>
      <c r="M675">
        <v>1</v>
      </c>
      <c r="N675">
        <v>21</v>
      </c>
      <c r="O675">
        <v>92000</v>
      </c>
      <c r="P675">
        <v>1</v>
      </c>
      <c r="Q675">
        <v>4</v>
      </c>
      <c r="R675">
        <v>5</v>
      </c>
      <c r="S675">
        <v>3</v>
      </c>
      <c r="T675" s="123">
        <f t="shared" si="52"/>
        <v>1</v>
      </c>
      <c r="U675">
        <f t="shared" si="53"/>
        <v>0</v>
      </c>
      <c r="V675">
        <f t="shared" si="54"/>
        <v>1</v>
      </c>
      <c r="W675">
        <f t="shared" si="55"/>
        <v>1</v>
      </c>
      <c r="X675">
        <f t="shared" si="56"/>
        <v>0</v>
      </c>
    </row>
    <row r="676" spans="1:24" hidden="1">
      <c r="A676" t="s">
        <v>185</v>
      </c>
      <c r="B676">
        <v>2</v>
      </c>
      <c r="C676">
        <v>1</v>
      </c>
      <c r="D676">
        <v>3.2276546982429322</v>
      </c>
      <c r="E676">
        <v>2.7247262541380208</v>
      </c>
      <c r="F676">
        <v>13.419913419913421</v>
      </c>
      <c r="G676">
        <v>10.154061624649859</v>
      </c>
      <c r="H676">
        <v>1.757066462948814</v>
      </c>
      <c r="I676">
        <v>0</v>
      </c>
      <c r="J676">
        <v>0</v>
      </c>
      <c r="K676">
        <v>0</v>
      </c>
      <c r="L676">
        <v>1</v>
      </c>
      <c r="M676">
        <v>1</v>
      </c>
      <c r="N676">
        <v>21</v>
      </c>
      <c r="O676">
        <v>92000</v>
      </c>
      <c r="P676">
        <v>1</v>
      </c>
      <c r="Q676">
        <v>4</v>
      </c>
      <c r="R676">
        <v>5</v>
      </c>
      <c r="S676">
        <v>3</v>
      </c>
      <c r="T676" s="123">
        <f t="shared" si="52"/>
        <v>1</v>
      </c>
      <c r="U676">
        <f t="shared" si="53"/>
        <v>0</v>
      </c>
      <c r="V676">
        <f t="shared" si="54"/>
        <v>1</v>
      </c>
      <c r="W676">
        <f t="shared" si="55"/>
        <v>1</v>
      </c>
      <c r="X676">
        <f t="shared" si="56"/>
        <v>0</v>
      </c>
    </row>
    <row r="677" spans="1:24" hidden="1">
      <c r="A677" t="s">
        <v>185</v>
      </c>
      <c r="B677">
        <v>3</v>
      </c>
      <c r="C677">
        <v>1</v>
      </c>
      <c r="D677">
        <v>3.278584160937104</v>
      </c>
      <c r="E677">
        <v>5.5003819709702082</v>
      </c>
      <c r="F677">
        <v>3.5905271199388848</v>
      </c>
      <c r="G677">
        <v>12.0384517443341</v>
      </c>
      <c r="H677">
        <v>9.4028520499108694</v>
      </c>
      <c r="I677">
        <v>0</v>
      </c>
      <c r="J677">
        <v>0</v>
      </c>
      <c r="K677">
        <v>0</v>
      </c>
      <c r="L677">
        <v>1</v>
      </c>
      <c r="M677">
        <v>1</v>
      </c>
      <c r="N677">
        <v>21</v>
      </c>
      <c r="O677">
        <v>92000</v>
      </c>
      <c r="P677">
        <v>1</v>
      </c>
      <c r="Q677">
        <v>4</v>
      </c>
      <c r="R677">
        <v>5</v>
      </c>
      <c r="S677">
        <v>3</v>
      </c>
      <c r="T677" s="123">
        <f t="shared" si="52"/>
        <v>1</v>
      </c>
      <c r="U677">
        <f t="shared" si="53"/>
        <v>0</v>
      </c>
      <c r="V677">
        <f t="shared" si="54"/>
        <v>1</v>
      </c>
      <c r="W677">
        <f t="shared" si="55"/>
        <v>1</v>
      </c>
      <c r="X677">
        <f t="shared" si="56"/>
        <v>0</v>
      </c>
    </row>
    <row r="678" spans="1:24">
      <c r="A678" t="s">
        <v>185</v>
      </c>
      <c r="B678">
        <v>4</v>
      </c>
      <c r="C678">
        <v>1</v>
      </c>
      <c r="D678">
        <v>11.143288844119869</v>
      </c>
      <c r="E678">
        <v>41.954167715940571</v>
      </c>
      <c r="F678">
        <v>8.0080584235708905</v>
      </c>
      <c r="G678">
        <v>50</v>
      </c>
      <c r="H678">
        <v>16.41903802568623</v>
      </c>
      <c r="I678">
        <v>0</v>
      </c>
      <c r="J678">
        <v>0</v>
      </c>
      <c r="K678">
        <v>0</v>
      </c>
      <c r="L678">
        <v>1</v>
      </c>
      <c r="M678">
        <v>1</v>
      </c>
      <c r="N678">
        <v>21</v>
      </c>
      <c r="O678">
        <v>92000</v>
      </c>
      <c r="P678">
        <v>1</v>
      </c>
      <c r="Q678">
        <v>4</v>
      </c>
      <c r="R678">
        <v>5</v>
      </c>
      <c r="S678">
        <v>3</v>
      </c>
      <c r="T678" s="123">
        <f t="shared" si="52"/>
        <v>0</v>
      </c>
      <c r="U678">
        <f t="shared" si="53"/>
        <v>0</v>
      </c>
      <c r="V678">
        <f t="shared" si="54"/>
        <v>1</v>
      </c>
      <c r="W678">
        <f t="shared" si="55"/>
        <v>1</v>
      </c>
      <c r="X678">
        <f t="shared" si="56"/>
        <v>0</v>
      </c>
    </row>
    <row r="679" spans="1:24" hidden="1">
      <c r="A679" t="s">
        <v>185</v>
      </c>
      <c r="B679">
        <v>5</v>
      </c>
      <c r="C679">
        <v>1</v>
      </c>
      <c r="D679">
        <v>2.0523797532107761</v>
      </c>
      <c r="E679">
        <v>0</v>
      </c>
      <c r="F679">
        <v>1.6494585746663291</v>
      </c>
      <c r="G679">
        <v>0.73029463611181122</v>
      </c>
      <c r="H679">
        <v>0.73029463611181122</v>
      </c>
      <c r="I679">
        <v>0</v>
      </c>
      <c r="J679">
        <v>0</v>
      </c>
      <c r="K679">
        <v>0</v>
      </c>
      <c r="L679">
        <v>1</v>
      </c>
      <c r="M679">
        <v>1</v>
      </c>
      <c r="N679">
        <v>21</v>
      </c>
      <c r="O679">
        <v>92000</v>
      </c>
      <c r="P679">
        <v>1</v>
      </c>
      <c r="Q679">
        <v>4</v>
      </c>
      <c r="R679">
        <v>5</v>
      </c>
      <c r="S679">
        <v>3</v>
      </c>
      <c r="T679" s="123">
        <f t="shared" si="52"/>
        <v>1</v>
      </c>
      <c r="U679">
        <f t="shared" si="53"/>
        <v>0</v>
      </c>
      <c r="V679">
        <f t="shared" si="54"/>
        <v>1</v>
      </c>
      <c r="W679">
        <f t="shared" si="55"/>
        <v>1</v>
      </c>
      <c r="X679">
        <f t="shared" si="56"/>
        <v>0</v>
      </c>
    </row>
    <row r="680" spans="1:24">
      <c r="A680" t="s">
        <v>185</v>
      </c>
      <c r="B680">
        <v>6</v>
      </c>
      <c r="C680">
        <v>1</v>
      </c>
      <c r="D680">
        <v>2.7449005288340489</v>
      </c>
      <c r="E680">
        <v>6.1949131201208756</v>
      </c>
      <c r="F680">
        <v>10.27449005288341</v>
      </c>
      <c r="G680">
        <v>24.452279022916141</v>
      </c>
      <c r="H680">
        <v>1.8383278771090421</v>
      </c>
      <c r="I680">
        <v>0</v>
      </c>
      <c r="J680">
        <v>0</v>
      </c>
      <c r="K680">
        <v>0</v>
      </c>
      <c r="L680">
        <v>1</v>
      </c>
      <c r="M680">
        <v>1</v>
      </c>
      <c r="N680">
        <v>21</v>
      </c>
      <c r="O680">
        <v>92000</v>
      </c>
      <c r="P680">
        <v>1</v>
      </c>
      <c r="Q680">
        <v>4</v>
      </c>
      <c r="R680">
        <v>5</v>
      </c>
      <c r="S680">
        <v>3</v>
      </c>
      <c r="T680" s="123">
        <f t="shared" si="52"/>
        <v>0</v>
      </c>
      <c r="U680">
        <f t="shared" si="53"/>
        <v>0</v>
      </c>
      <c r="V680">
        <f t="shared" si="54"/>
        <v>1</v>
      </c>
      <c r="W680">
        <f t="shared" si="55"/>
        <v>1</v>
      </c>
      <c r="X680">
        <f t="shared" si="56"/>
        <v>0</v>
      </c>
    </row>
    <row r="681" spans="1:24" hidden="1">
      <c r="A681" t="s">
        <v>185</v>
      </c>
      <c r="B681">
        <v>7</v>
      </c>
      <c r="C681">
        <v>1</v>
      </c>
      <c r="D681">
        <v>0.88139007806598002</v>
      </c>
      <c r="E681">
        <v>2.2412490556534879</v>
      </c>
      <c r="F681">
        <v>2.7071266683455049</v>
      </c>
      <c r="G681">
        <v>6.3460085620750446</v>
      </c>
      <c r="H681">
        <v>0.55401662049861522</v>
      </c>
      <c r="I681">
        <v>0</v>
      </c>
      <c r="J681">
        <v>1</v>
      </c>
      <c r="K681">
        <v>0</v>
      </c>
      <c r="L681">
        <v>1</v>
      </c>
      <c r="M681">
        <v>1</v>
      </c>
      <c r="N681">
        <v>21</v>
      </c>
      <c r="O681">
        <v>92000</v>
      </c>
      <c r="P681">
        <v>1</v>
      </c>
      <c r="Q681">
        <v>4</v>
      </c>
      <c r="R681">
        <v>5</v>
      </c>
      <c r="S681">
        <v>3</v>
      </c>
      <c r="T681" s="123">
        <f t="shared" si="52"/>
        <v>1</v>
      </c>
      <c r="U681">
        <f t="shared" si="53"/>
        <v>0</v>
      </c>
      <c r="V681">
        <f t="shared" si="54"/>
        <v>1</v>
      </c>
      <c r="W681">
        <f t="shared" si="55"/>
        <v>1</v>
      </c>
      <c r="X681">
        <f t="shared" si="56"/>
        <v>0</v>
      </c>
    </row>
    <row r="682" spans="1:24">
      <c r="A682" t="s">
        <v>186</v>
      </c>
      <c r="B682">
        <v>1</v>
      </c>
      <c r="C682">
        <v>1</v>
      </c>
      <c r="D682">
        <v>13.25180433039295</v>
      </c>
      <c r="E682">
        <v>4.3905372894947892</v>
      </c>
      <c r="F682">
        <v>8.3466987436514319</v>
      </c>
      <c r="G682">
        <v>83.366746859128568</v>
      </c>
      <c r="H682">
        <v>11.52098369419941</v>
      </c>
      <c r="I682">
        <v>1</v>
      </c>
      <c r="J682">
        <v>0</v>
      </c>
      <c r="K682">
        <v>0</v>
      </c>
      <c r="L682">
        <v>1</v>
      </c>
      <c r="M682">
        <v>0</v>
      </c>
      <c r="N682">
        <v>61</v>
      </c>
      <c r="O682">
        <v>-99</v>
      </c>
      <c r="P682">
        <v>1</v>
      </c>
      <c r="Q682">
        <v>1</v>
      </c>
      <c r="R682">
        <v>3</v>
      </c>
      <c r="S682">
        <v>3</v>
      </c>
      <c r="T682" s="123">
        <f t="shared" si="52"/>
        <v>0</v>
      </c>
      <c r="U682">
        <f t="shared" si="53"/>
        <v>0</v>
      </c>
      <c r="V682">
        <f t="shared" si="54"/>
        <v>0</v>
      </c>
      <c r="W682">
        <f t="shared" si="55"/>
        <v>0</v>
      </c>
      <c r="X682">
        <f t="shared" si="56"/>
        <v>0</v>
      </c>
    </row>
    <row r="683" spans="1:24">
      <c r="A683" t="s">
        <v>186</v>
      </c>
      <c r="B683">
        <v>2</v>
      </c>
      <c r="C683">
        <v>1</v>
      </c>
      <c r="D683">
        <v>14.007832898172319</v>
      </c>
      <c r="E683">
        <v>5.6788511749347226</v>
      </c>
      <c r="F683">
        <v>50</v>
      </c>
      <c r="G683">
        <v>56.710182767624033</v>
      </c>
      <c r="H683">
        <v>18.590078328981729</v>
      </c>
      <c r="I683">
        <v>0</v>
      </c>
      <c r="J683">
        <v>0</v>
      </c>
      <c r="K683">
        <v>0</v>
      </c>
      <c r="L683">
        <v>1</v>
      </c>
      <c r="M683">
        <v>0</v>
      </c>
      <c r="N683">
        <v>61</v>
      </c>
      <c r="O683">
        <v>-99</v>
      </c>
      <c r="P683">
        <v>1</v>
      </c>
      <c r="Q683">
        <v>1</v>
      </c>
      <c r="R683">
        <v>3</v>
      </c>
      <c r="S683">
        <v>3</v>
      </c>
      <c r="T683" s="123">
        <f t="shared" si="52"/>
        <v>0</v>
      </c>
      <c r="U683">
        <f t="shared" si="53"/>
        <v>0</v>
      </c>
      <c r="V683">
        <f t="shared" si="54"/>
        <v>0</v>
      </c>
      <c r="W683">
        <f t="shared" si="55"/>
        <v>0</v>
      </c>
      <c r="X683">
        <f t="shared" si="56"/>
        <v>0</v>
      </c>
    </row>
    <row r="684" spans="1:24">
      <c r="A684" t="s">
        <v>186</v>
      </c>
      <c r="B684">
        <v>3</v>
      </c>
      <c r="C684">
        <v>1</v>
      </c>
      <c r="D684">
        <v>12.741514360313319</v>
      </c>
      <c r="E684">
        <v>0</v>
      </c>
      <c r="F684">
        <v>3.9556135770234979</v>
      </c>
      <c r="G684">
        <v>76.383812010443862</v>
      </c>
      <c r="H684">
        <v>7.6762402088772834</v>
      </c>
      <c r="I684">
        <v>0</v>
      </c>
      <c r="J684">
        <v>0</v>
      </c>
      <c r="K684">
        <v>0</v>
      </c>
      <c r="L684">
        <v>1</v>
      </c>
      <c r="M684">
        <v>0</v>
      </c>
      <c r="N684">
        <v>61</v>
      </c>
      <c r="O684">
        <v>-99</v>
      </c>
      <c r="P684">
        <v>1</v>
      </c>
      <c r="Q684">
        <v>1</v>
      </c>
      <c r="R684">
        <v>3</v>
      </c>
      <c r="S684">
        <v>3</v>
      </c>
      <c r="T684" s="123">
        <f t="shared" si="52"/>
        <v>0</v>
      </c>
      <c r="U684">
        <f t="shared" si="53"/>
        <v>0</v>
      </c>
      <c r="V684">
        <f t="shared" si="54"/>
        <v>0</v>
      </c>
      <c r="W684">
        <f t="shared" si="55"/>
        <v>0</v>
      </c>
      <c r="X684">
        <f t="shared" si="56"/>
        <v>0</v>
      </c>
    </row>
    <row r="685" spans="1:24" hidden="1">
      <c r="A685" t="s">
        <v>186</v>
      </c>
      <c r="B685">
        <v>4</v>
      </c>
      <c r="C685">
        <v>1</v>
      </c>
      <c r="D685">
        <v>4.3864229765013034</v>
      </c>
      <c r="E685">
        <v>1.5535248041775469</v>
      </c>
      <c r="F685">
        <v>11.083550913838121</v>
      </c>
      <c r="G685">
        <v>3.459530026109658</v>
      </c>
      <c r="H685">
        <v>3.7336814621409919</v>
      </c>
      <c r="I685">
        <v>0</v>
      </c>
      <c r="J685">
        <v>0</v>
      </c>
      <c r="K685">
        <v>0</v>
      </c>
      <c r="L685">
        <v>1</v>
      </c>
      <c r="M685">
        <v>0</v>
      </c>
      <c r="N685">
        <v>61</v>
      </c>
      <c r="O685">
        <v>-99</v>
      </c>
      <c r="P685">
        <v>1</v>
      </c>
      <c r="Q685">
        <v>1</v>
      </c>
      <c r="R685">
        <v>3</v>
      </c>
      <c r="S685">
        <v>3</v>
      </c>
      <c r="T685" s="123">
        <f t="shared" si="52"/>
        <v>1</v>
      </c>
      <c r="U685">
        <f t="shared" si="53"/>
        <v>0</v>
      </c>
      <c r="V685">
        <f t="shared" si="54"/>
        <v>0</v>
      </c>
      <c r="W685">
        <f t="shared" si="55"/>
        <v>0</v>
      </c>
      <c r="X685">
        <f t="shared" si="56"/>
        <v>0</v>
      </c>
    </row>
    <row r="686" spans="1:24">
      <c r="A686" t="s">
        <v>186</v>
      </c>
      <c r="B686">
        <v>5</v>
      </c>
      <c r="C686">
        <v>1</v>
      </c>
      <c r="D686">
        <v>3.9164490861618768</v>
      </c>
      <c r="E686">
        <v>7.4673629242819839</v>
      </c>
      <c r="F686">
        <v>7.4673629242819839</v>
      </c>
      <c r="G686">
        <v>90.678851174934721</v>
      </c>
      <c r="H686">
        <v>4.0861618798955606</v>
      </c>
      <c r="I686">
        <v>0</v>
      </c>
      <c r="J686">
        <v>0</v>
      </c>
      <c r="K686">
        <v>0</v>
      </c>
      <c r="L686">
        <v>1</v>
      </c>
      <c r="M686">
        <v>0</v>
      </c>
      <c r="N686">
        <v>61</v>
      </c>
      <c r="O686">
        <v>-99</v>
      </c>
      <c r="P686">
        <v>1</v>
      </c>
      <c r="Q686">
        <v>1</v>
      </c>
      <c r="R686">
        <v>3</v>
      </c>
      <c r="S686">
        <v>3</v>
      </c>
      <c r="T686" s="123">
        <f t="shared" si="52"/>
        <v>0</v>
      </c>
      <c r="U686">
        <f t="shared" si="53"/>
        <v>0</v>
      </c>
      <c r="V686">
        <f t="shared" si="54"/>
        <v>0</v>
      </c>
      <c r="W686">
        <f t="shared" si="55"/>
        <v>0</v>
      </c>
      <c r="X686">
        <f t="shared" si="56"/>
        <v>0</v>
      </c>
    </row>
    <row r="687" spans="1:24">
      <c r="A687" t="s">
        <v>186</v>
      </c>
      <c r="B687">
        <v>6</v>
      </c>
      <c r="C687">
        <v>1</v>
      </c>
      <c r="D687">
        <v>19.81723237597911</v>
      </c>
      <c r="E687">
        <v>25.88772845953002</v>
      </c>
      <c r="F687">
        <v>50</v>
      </c>
      <c r="G687">
        <v>5.2219321148827547E-2</v>
      </c>
      <c r="H687">
        <v>9.4255874673629219</v>
      </c>
      <c r="I687">
        <v>0</v>
      </c>
      <c r="J687">
        <v>0</v>
      </c>
      <c r="K687">
        <v>0</v>
      </c>
      <c r="L687">
        <v>1</v>
      </c>
      <c r="M687">
        <v>0</v>
      </c>
      <c r="N687">
        <v>61</v>
      </c>
      <c r="O687">
        <v>-99</v>
      </c>
      <c r="P687">
        <v>1</v>
      </c>
      <c r="Q687">
        <v>1</v>
      </c>
      <c r="R687">
        <v>3</v>
      </c>
      <c r="S687">
        <v>3</v>
      </c>
      <c r="T687" s="123">
        <f t="shared" si="52"/>
        <v>0</v>
      </c>
      <c r="U687">
        <f t="shared" si="53"/>
        <v>0</v>
      </c>
      <c r="V687">
        <f t="shared" si="54"/>
        <v>0</v>
      </c>
      <c r="W687">
        <f t="shared" si="55"/>
        <v>0</v>
      </c>
      <c r="X687">
        <f t="shared" si="56"/>
        <v>0</v>
      </c>
    </row>
    <row r="688" spans="1:24">
      <c r="A688" t="s">
        <v>186</v>
      </c>
      <c r="B688">
        <v>7</v>
      </c>
      <c r="C688">
        <v>1</v>
      </c>
      <c r="D688">
        <v>18.577023498694519</v>
      </c>
      <c r="E688">
        <v>9.6997389033942554</v>
      </c>
      <c r="F688">
        <v>14.321148825065279</v>
      </c>
      <c r="G688">
        <v>50</v>
      </c>
      <c r="H688">
        <v>23.002610966057439</v>
      </c>
      <c r="I688">
        <v>0</v>
      </c>
      <c r="J688">
        <v>1</v>
      </c>
      <c r="K688">
        <v>0</v>
      </c>
      <c r="L688">
        <v>1</v>
      </c>
      <c r="M688">
        <v>0</v>
      </c>
      <c r="N688">
        <v>61</v>
      </c>
      <c r="O688">
        <v>-99</v>
      </c>
      <c r="P688">
        <v>1</v>
      </c>
      <c r="Q688">
        <v>1</v>
      </c>
      <c r="R688">
        <v>3</v>
      </c>
      <c r="S688">
        <v>3</v>
      </c>
      <c r="T688" s="123">
        <f t="shared" si="52"/>
        <v>0</v>
      </c>
      <c r="U688">
        <f t="shared" si="53"/>
        <v>0</v>
      </c>
      <c r="V688">
        <f t="shared" si="54"/>
        <v>0</v>
      </c>
      <c r="W688">
        <f t="shared" si="55"/>
        <v>0</v>
      </c>
      <c r="X688">
        <f t="shared" si="56"/>
        <v>0</v>
      </c>
    </row>
    <row r="689" spans="1:24" hidden="1">
      <c r="A689" t="s">
        <v>187</v>
      </c>
      <c r="B689">
        <v>1</v>
      </c>
      <c r="C689">
        <v>1</v>
      </c>
      <c r="D689">
        <v>98.63091380427737</v>
      </c>
      <c r="E689">
        <v>94.288723266364229</v>
      </c>
      <c r="F689">
        <v>98.023331173039537</v>
      </c>
      <c r="G689">
        <v>91.258911211924826</v>
      </c>
      <c r="H689">
        <v>0.60758263123784628</v>
      </c>
      <c r="I689">
        <v>1</v>
      </c>
      <c r="J689">
        <v>0</v>
      </c>
      <c r="K689">
        <v>1</v>
      </c>
      <c r="L689">
        <v>1</v>
      </c>
      <c r="M689">
        <v>0</v>
      </c>
      <c r="N689">
        <v>46</v>
      </c>
      <c r="O689">
        <v>45000</v>
      </c>
      <c r="P689">
        <v>4</v>
      </c>
      <c r="Q689">
        <v>4</v>
      </c>
      <c r="R689">
        <v>4</v>
      </c>
      <c r="S689">
        <v>4</v>
      </c>
      <c r="T689" s="123">
        <f t="shared" si="52"/>
        <v>1</v>
      </c>
      <c r="U689">
        <f t="shared" si="53"/>
        <v>1</v>
      </c>
      <c r="V689">
        <f t="shared" si="54"/>
        <v>1</v>
      </c>
      <c r="W689">
        <f t="shared" si="55"/>
        <v>1</v>
      </c>
      <c r="X689">
        <f t="shared" si="56"/>
        <v>1</v>
      </c>
    </row>
    <row r="690" spans="1:24">
      <c r="A690" t="s">
        <v>187</v>
      </c>
      <c r="B690">
        <v>2</v>
      </c>
      <c r="C690">
        <v>1</v>
      </c>
      <c r="D690">
        <v>12.078742709008431</v>
      </c>
      <c r="E690">
        <v>2.4546338302009079</v>
      </c>
      <c r="F690">
        <v>6.3755670771224899</v>
      </c>
      <c r="G690">
        <v>82.477316915100445</v>
      </c>
      <c r="H690">
        <v>97.966623460790672</v>
      </c>
      <c r="I690">
        <v>0</v>
      </c>
      <c r="J690">
        <v>0</v>
      </c>
      <c r="K690">
        <v>0</v>
      </c>
      <c r="L690">
        <v>1</v>
      </c>
      <c r="M690">
        <v>0</v>
      </c>
      <c r="N690">
        <v>46</v>
      </c>
      <c r="O690">
        <v>45000</v>
      </c>
      <c r="P690">
        <v>4</v>
      </c>
      <c r="Q690">
        <v>4</v>
      </c>
      <c r="R690">
        <v>4</v>
      </c>
      <c r="S690">
        <v>4</v>
      </c>
      <c r="T690" s="123">
        <f t="shared" si="52"/>
        <v>0</v>
      </c>
      <c r="U690">
        <f t="shared" si="53"/>
        <v>1</v>
      </c>
      <c r="V690">
        <f t="shared" si="54"/>
        <v>1</v>
      </c>
      <c r="W690">
        <f t="shared" si="55"/>
        <v>1</v>
      </c>
      <c r="X690">
        <f t="shared" si="56"/>
        <v>1</v>
      </c>
    </row>
    <row r="691" spans="1:24">
      <c r="A691" t="s">
        <v>187</v>
      </c>
      <c r="B691">
        <v>3</v>
      </c>
      <c r="C691">
        <v>1</v>
      </c>
      <c r="D691">
        <v>98.736228127025271</v>
      </c>
      <c r="E691">
        <v>97.772197018794557</v>
      </c>
      <c r="F691">
        <v>97.885612443292274</v>
      </c>
      <c r="G691">
        <v>8.10110174983798</v>
      </c>
      <c r="H691">
        <v>23.144847699287102</v>
      </c>
      <c r="I691">
        <v>0</v>
      </c>
      <c r="J691">
        <v>0</v>
      </c>
      <c r="K691">
        <v>1</v>
      </c>
      <c r="L691">
        <v>1</v>
      </c>
      <c r="M691">
        <v>0</v>
      </c>
      <c r="N691">
        <v>46</v>
      </c>
      <c r="O691">
        <v>45000</v>
      </c>
      <c r="P691">
        <v>4</v>
      </c>
      <c r="Q691">
        <v>4</v>
      </c>
      <c r="R691">
        <v>4</v>
      </c>
      <c r="S691">
        <v>4</v>
      </c>
      <c r="T691" s="123">
        <f t="shared" si="52"/>
        <v>0</v>
      </c>
      <c r="U691">
        <f t="shared" si="53"/>
        <v>1</v>
      </c>
      <c r="V691">
        <f t="shared" si="54"/>
        <v>1</v>
      </c>
      <c r="W691">
        <f t="shared" si="55"/>
        <v>1</v>
      </c>
      <c r="X691">
        <f t="shared" si="56"/>
        <v>1</v>
      </c>
    </row>
    <row r="692" spans="1:24">
      <c r="A692" t="s">
        <v>187</v>
      </c>
      <c r="B692">
        <v>4</v>
      </c>
      <c r="C692">
        <v>1</v>
      </c>
      <c r="D692">
        <v>2.1143875567077139</v>
      </c>
      <c r="E692">
        <v>2.12248865845755</v>
      </c>
      <c r="F692">
        <v>21.864873622812699</v>
      </c>
      <c r="G692">
        <v>1.612119248217758</v>
      </c>
      <c r="H692">
        <v>98.10434219053792</v>
      </c>
      <c r="I692">
        <v>0</v>
      </c>
      <c r="J692">
        <v>0</v>
      </c>
      <c r="K692">
        <v>0</v>
      </c>
      <c r="L692">
        <v>1</v>
      </c>
      <c r="M692">
        <v>0</v>
      </c>
      <c r="N692">
        <v>46</v>
      </c>
      <c r="O692">
        <v>45000</v>
      </c>
      <c r="P692">
        <v>4</v>
      </c>
      <c r="Q692">
        <v>4</v>
      </c>
      <c r="R692">
        <v>4</v>
      </c>
      <c r="S692">
        <v>4</v>
      </c>
      <c r="T692" s="123">
        <f t="shared" si="52"/>
        <v>0</v>
      </c>
      <c r="U692">
        <f t="shared" si="53"/>
        <v>1</v>
      </c>
      <c r="V692">
        <f t="shared" si="54"/>
        <v>1</v>
      </c>
      <c r="W692">
        <f t="shared" si="55"/>
        <v>1</v>
      </c>
      <c r="X692">
        <f t="shared" si="56"/>
        <v>1</v>
      </c>
    </row>
    <row r="693" spans="1:24" hidden="1">
      <c r="A693" t="s">
        <v>187</v>
      </c>
      <c r="B693">
        <v>5</v>
      </c>
      <c r="C693">
        <v>1</v>
      </c>
      <c r="D693">
        <v>1.790343486714191</v>
      </c>
      <c r="E693">
        <v>0</v>
      </c>
      <c r="F693">
        <v>3.191834089436163</v>
      </c>
      <c r="G693">
        <v>6.9993519118600132</v>
      </c>
      <c r="H693">
        <v>87.256966947504864</v>
      </c>
      <c r="I693">
        <v>0</v>
      </c>
      <c r="J693">
        <v>0</v>
      </c>
      <c r="K693">
        <v>0</v>
      </c>
      <c r="L693">
        <v>1</v>
      </c>
      <c r="M693">
        <v>0</v>
      </c>
      <c r="N693">
        <v>46</v>
      </c>
      <c r="O693">
        <v>45000</v>
      </c>
      <c r="P693">
        <v>4</v>
      </c>
      <c r="Q693">
        <v>4</v>
      </c>
      <c r="R693">
        <v>4</v>
      </c>
      <c r="S693">
        <v>4</v>
      </c>
      <c r="T693" s="123">
        <f t="shared" si="52"/>
        <v>1</v>
      </c>
      <c r="U693">
        <f t="shared" si="53"/>
        <v>1</v>
      </c>
      <c r="V693">
        <f t="shared" si="54"/>
        <v>1</v>
      </c>
      <c r="W693">
        <f t="shared" si="55"/>
        <v>1</v>
      </c>
      <c r="X693">
        <f t="shared" si="56"/>
        <v>1</v>
      </c>
    </row>
    <row r="694" spans="1:24" hidden="1">
      <c r="A694" t="s">
        <v>187</v>
      </c>
      <c r="B694">
        <v>6</v>
      </c>
      <c r="C694">
        <v>1</v>
      </c>
      <c r="D694">
        <v>0.7858068697342846</v>
      </c>
      <c r="E694">
        <v>6.7401166558651973</v>
      </c>
      <c r="F694">
        <v>11.908619572261831</v>
      </c>
      <c r="G694">
        <v>6.7401166558651973</v>
      </c>
      <c r="H694">
        <v>97.294232015554115</v>
      </c>
      <c r="I694">
        <v>0</v>
      </c>
      <c r="J694">
        <v>0</v>
      </c>
      <c r="K694">
        <v>0</v>
      </c>
      <c r="L694">
        <v>1</v>
      </c>
      <c r="M694">
        <v>0</v>
      </c>
      <c r="N694">
        <v>46</v>
      </c>
      <c r="O694">
        <v>45000</v>
      </c>
      <c r="P694">
        <v>4</v>
      </c>
      <c r="Q694">
        <v>4</v>
      </c>
      <c r="R694">
        <v>4</v>
      </c>
      <c r="S694">
        <v>4</v>
      </c>
      <c r="T694" s="123">
        <f t="shared" si="52"/>
        <v>1</v>
      </c>
      <c r="U694">
        <f t="shared" si="53"/>
        <v>1</v>
      </c>
      <c r="V694">
        <f t="shared" si="54"/>
        <v>1</v>
      </c>
      <c r="W694">
        <f t="shared" si="55"/>
        <v>1</v>
      </c>
      <c r="X694">
        <f t="shared" si="56"/>
        <v>1</v>
      </c>
    </row>
    <row r="695" spans="1:24">
      <c r="A695" t="s">
        <v>187</v>
      </c>
      <c r="B695">
        <v>7</v>
      </c>
      <c r="C695">
        <v>1</v>
      </c>
      <c r="D695">
        <v>7.0637785800240662</v>
      </c>
      <c r="E695">
        <v>50</v>
      </c>
      <c r="F695">
        <v>6.8953068592057747</v>
      </c>
      <c r="G695">
        <v>61.323706377858002</v>
      </c>
      <c r="H695">
        <v>95.379061371841161</v>
      </c>
      <c r="I695">
        <v>0</v>
      </c>
      <c r="J695">
        <v>1</v>
      </c>
      <c r="K695">
        <v>0</v>
      </c>
      <c r="L695">
        <v>1</v>
      </c>
      <c r="M695">
        <v>0</v>
      </c>
      <c r="N695">
        <v>46</v>
      </c>
      <c r="O695">
        <v>45000</v>
      </c>
      <c r="P695">
        <v>4</v>
      </c>
      <c r="Q695">
        <v>4</v>
      </c>
      <c r="R695">
        <v>4</v>
      </c>
      <c r="S695">
        <v>4</v>
      </c>
      <c r="T695" s="123">
        <f t="shared" si="52"/>
        <v>0</v>
      </c>
      <c r="U695">
        <f t="shared" si="53"/>
        <v>1</v>
      </c>
      <c r="V695">
        <f t="shared" si="54"/>
        <v>1</v>
      </c>
      <c r="W695">
        <f t="shared" si="55"/>
        <v>1</v>
      </c>
      <c r="X695">
        <f t="shared" si="56"/>
        <v>1</v>
      </c>
    </row>
    <row r="696" spans="1:24">
      <c r="A696" t="s">
        <v>188</v>
      </c>
      <c r="B696">
        <v>1</v>
      </c>
      <c r="C696">
        <v>1</v>
      </c>
      <c r="D696">
        <v>97.336010709504677</v>
      </c>
      <c r="E696">
        <v>97.510040160642575</v>
      </c>
      <c r="F696">
        <v>99.116465863453811</v>
      </c>
      <c r="G696">
        <v>3.1593038821954469</v>
      </c>
      <c r="H696">
        <v>1.8875502008032119</v>
      </c>
      <c r="I696">
        <v>1</v>
      </c>
      <c r="J696">
        <v>0</v>
      </c>
      <c r="K696">
        <v>1</v>
      </c>
      <c r="L696">
        <v>1</v>
      </c>
      <c r="M696">
        <v>1</v>
      </c>
      <c r="N696">
        <v>32</v>
      </c>
      <c r="O696">
        <v>75000</v>
      </c>
      <c r="P696">
        <v>5</v>
      </c>
      <c r="Q696">
        <v>4</v>
      </c>
      <c r="R696">
        <v>3</v>
      </c>
      <c r="S696">
        <v>4</v>
      </c>
      <c r="T696" s="123">
        <f t="shared" si="52"/>
        <v>0</v>
      </c>
      <c r="U696">
        <f t="shared" si="53"/>
        <v>1</v>
      </c>
      <c r="V696">
        <f t="shared" si="54"/>
        <v>1</v>
      </c>
      <c r="W696">
        <f t="shared" si="55"/>
        <v>0</v>
      </c>
      <c r="X696">
        <f t="shared" si="56"/>
        <v>1</v>
      </c>
    </row>
    <row r="697" spans="1:24">
      <c r="A697" t="s">
        <v>188</v>
      </c>
      <c r="B697">
        <v>2</v>
      </c>
      <c r="C697">
        <v>1</v>
      </c>
      <c r="D697">
        <v>98.179384203480595</v>
      </c>
      <c r="E697">
        <v>98.808567603748315</v>
      </c>
      <c r="F697">
        <v>97.951807228915655</v>
      </c>
      <c r="G697">
        <v>4.3239625167336033</v>
      </c>
      <c r="H697">
        <v>6.6934404283802706E-2</v>
      </c>
      <c r="I697">
        <v>0</v>
      </c>
      <c r="J697">
        <v>0</v>
      </c>
      <c r="K697">
        <v>1</v>
      </c>
      <c r="L697">
        <v>1</v>
      </c>
      <c r="M697">
        <v>1</v>
      </c>
      <c r="N697">
        <v>32</v>
      </c>
      <c r="O697">
        <v>75000</v>
      </c>
      <c r="P697">
        <v>5</v>
      </c>
      <c r="Q697">
        <v>4</v>
      </c>
      <c r="R697">
        <v>3</v>
      </c>
      <c r="S697">
        <v>4</v>
      </c>
      <c r="T697" s="123">
        <f t="shared" si="52"/>
        <v>0</v>
      </c>
      <c r="U697">
        <f t="shared" si="53"/>
        <v>1</v>
      </c>
      <c r="V697">
        <f t="shared" si="54"/>
        <v>1</v>
      </c>
      <c r="W697">
        <f t="shared" si="55"/>
        <v>0</v>
      </c>
      <c r="X697">
        <f t="shared" si="56"/>
        <v>1</v>
      </c>
    </row>
    <row r="698" spans="1:24">
      <c r="A698" t="s">
        <v>188</v>
      </c>
      <c r="B698">
        <v>3</v>
      </c>
      <c r="C698">
        <v>1</v>
      </c>
      <c r="D698">
        <v>97.925033467202141</v>
      </c>
      <c r="E698">
        <v>99.129852744310583</v>
      </c>
      <c r="F698">
        <v>97.095046854082995</v>
      </c>
      <c r="G698">
        <v>1.2182061579651959</v>
      </c>
      <c r="H698">
        <v>5.6894243641231581</v>
      </c>
      <c r="I698">
        <v>0</v>
      </c>
      <c r="J698">
        <v>0</v>
      </c>
      <c r="K698">
        <v>1</v>
      </c>
      <c r="L698">
        <v>1</v>
      </c>
      <c r="M698">
        <v>1</v>
      </c>
      <c r="N698">
        <v>32</v>
      </c>
      <c r="O698">
        <v>75000</v>
      </c>
      <c r="P698">
        <v>5</v>
      </c>
      <c r="Q698">
        <v>4</v>
      </c>
      <c r="R698">
        <v>3</v>
      </c>
      <c r="S698">
        <v>4</v>
      </c>
      <c r="T698" s="123">
        <f t="shared" si="52"/>
        <v>0</v>
      </c>
      <c r="U698">
        <f t="shared" si="53"/>
        <v>1</v>
      </c>
      <c r="V698">
        <f t="shared" si="54"/>
        <v>1</v>
      </c>
      <c r="W698">
        <f t="shared" si="55"/>
        <v>0</v>
      </c>
      <c r="X698">
        <f t="shared" si="56"/>
        <v>1</v>
      </c>
    </row>
    <row r="699" spans="1:24">
      <c r="A699" t="s">
        <v>188</v>
      </c>
      <c r="B699">
        <v>4</v>
      </c>
      <c r="C699">
        <v>1</v>
      </c>
      <c r="D699">
        <v>94.953145917001336</v>
      </c>
      <c r="E699">
        <v>50</v>
      </c>
      <c r="F699">
        <v>92.811244979919678</v>
      </c>
      <c r="G699">
        <v>3.7483266398929072</v>
      </c>
      <c r="H699">
        <v>6.2516733601070964</v>
      </c>
      <c r="I699">
        <v>0</v>
      </c>
      <c r="J699">
        <v>0</v>
      </c>
      <c r="K699">
        <v>1</v>
      </c>
      <c r="L699">
        <v>1</v>
      </c>
      <c r="M699">
        <v>1</v>
      </c>
      <c r="N699">
        <v>32</v>
      </c>
      <c r="O699">
        <v>75000</v>
      </c>
      <c r="P699">
        <v>5</v>
      </c>
      <c r="Q699">
        <v>4</v>
      </c>
      <c r="R699">
        <v>3</v>
      </c>
      <c r="S699">
        <v>4</v>
      </c>
      <c r="T699" s="123">
        <f t="shared" si="52"/>
        <v>0</v>
      </c>
      <c r="U699">
        <f t="shared" si="53"/>
        <v>1</v>
      </c>
      <c r="V699">
        <f t="shared" si="54"/>
        <v>1</v>
      </c>
      <c r="W699">
        <f t="shared" si="55"/>
        <v>0</v>
      </c>
      <c r="X699">
        <f t="shared" si="56"/>
        <v>1</v>
      </c>
    </row>
    <row r="700" spans="1:24">
      <c r="A700" t="s">
        <v>188</v>
      </c>
      <c r="B700">
        <v>5</v>
      </c>
      <c r="C700">
        <v>1</v>
      </c>
      <c r="D700">
        <v>97.603748326639888</v>
      </c>
      <c r="E700">
        <v>99.839357429718874</v>
      </c>
      <c r="F700">
        <v>95.113788487282463</v>
      </c>
      <c r="G700">
        <v>0.65595716198125764</v>
      </c>
      <c r="H700">
        <v>1.7269076305220901</v>
      </c>
      <c r="I700">
        <v>0</v>
      </c>
      <c r="J700">
        <v>0</v>
      </c>
      <c r="K700">
        <v>1</v>
      </c>
      <c r="L700">
        <v>1</v>
      </c>
      <c r="M700">
        <v>1</v>
      </c>
      <c r="N700">
        <v>32</v>
      </c>
      <c r="O700">
        <v>75000</v>
      </c>
      <c r="P700">
        <v>5</v>
      </c>
      <c r="Q700">
        <v>4</v>
      </c>
      <c r="R700">
        <v>3</v>
      </c>
      <c r="S700">
        <v>4</v>
      </c>
      <c r="T700" s="123">
        <f t="shared" si="52"/>
        <v>0</v>
      </c>
      <c r="U700">
        <f t="shared" si="53"/>
        <v>1</v>
      </c>
      <c r="V700">
        <f t="shared" si="54"/>
        <v>1</v>
      </c>
      <c r="W700">
        <f t="shared" si="55"/>
        <v>0</v>
      </c>
      <c r="X700">
        <f t="shared" si="56"/>
        <v>1</v>
      </c>
    </row>
    <row r="701" spans="1:24">
      <c r="A701" t="s">
        <v>188</v>
      </c>
      <c r="B701">
        <v>6</v>
      </c>
      <c r="C701">
        <v>1</v>
      </c>
      <c r="D701">
        <v>98.433734939759049</v>
      </c>
      <c r="E701">
        <v>94.939759036144579</v>
      </c>
      <c r="F701">
        <v>98.929049531459171</v>
      </c>
      <c r="G701">
        <v>1.566265060240962</v>
      </c>
      <c r="H701">
        <v>2.2891566265060219</v>
      </c>
      <c r="I701">
        <v>0</v>
      </c>
      <c r="J701">
        <v>0</v>
      </c>
      <c r="K701">
        <v>1</v>
      </c>
      <c r="L701">
        <v>1</v>
      </c>
      <c r="M701">
        <v>1</v>
      </c>
      <c r="N701">
        <v>32</v>
      </c>
      <c r="O701">
        <v>75000</v>
      </c>
      <c r="P701">
        <v>5</v>
      </c>
      <c r="Q701">
        <v>4</v>
      </c>
      <c r="R701">
        <v>3</v>
      </c>
      <c r="S701">
        <v>4</v>
      </c>
      <c r="T701" s="123">
        <f t="shared" si="52"/>
        <v>0</v>
      </c>
      <c r="U701">
        <f t="shared" si="53"/>
        <v>1</v>
      </c>
      <c r="V701">
        <f t="shared" si="54"/>
        <v>1</v>
      </c>
      <c r="W701">
        <f t="shared" si="55"/>
        <v>0</v>
      </c>
      <c r="X701">
        <f t="shared" si="56"/>
        <v>1</v>
      </c>
    </row>
    <row r="702" spans="1:24">
      <c r="A702" t="s">
        <v>188</v>
      </c>
      <c r="B702">
        <v>7</v>
      </c>
      <c r="C702">
        <v>1</v>
      </c>
      <c r="D702">
        <v>92.86479250334672</v>
      </c>
      <c r="E702">
        <v>100</v>
      </c>
      <c r="F702">
        <v>99.651941097724233</v>
      </c>
      <c r="G702">
        <v>1.2048192771084321</v>
      </c>
      <c r="H702">
        <v>98.848728246318601</v>
      </c>
      <c r="I702">
        <v>0</v>
      </c>
      <c r="J702">
        <v>1</v>
      </c>
      <c r="K702">
        <v>1</v>
      </c>
      <c r="L702">
        <v>1</v>
      </c>
      <c r="M702">
        <v>1</v>
      </c>
      <c r="N702">
        <v>32</v>
      </c>
      <c r="O702">
        <v>75000</v>
      </c>
      <c r="P702">
        <v>5</v>
      </c>
      <c r="Q702">
        <v>4</v>
      </c>
      <c r="R702">
        <v>3</v>
      </c>
      <c r="S702">
        <v>4</v>
      </c>
      <c r="T702" s="123">
        <f t="shared" si="52"/>
        <v>0</v>
      </c>
      <c r="U702">
        <f t="shared" si="53"/>
        <v>1</v>
      </c>
      <c r="V702">
        <f t="shared" si="54"/>
        <v>1</v>
      </c>
      <c r="W702">
        <f t="shared" si="55"/>
        <v>0</v>
      </c>
      <c r="X702">
        <f t="shared" si="56"/>
        <v>1</v>
      </c>
    </row>
    <row r="703" spans="1:24" hidden="1">
      <c r="A703" t="s">
        <v>189</v>
      </c>
      <c r="B703">
        <v>1</v>
      </c>
      <c r="C703">
        <v>1</v>
      </c>
      <c r="D703">
        <v>98.372954014029617</v>
      </c>
      <c r="E703">
        <v>100</v>
      </c>
      <c r="F703">
        <v>98.372954014029617</v>
      </c>
      <c r="G703">
        <v>90.744349181605614</v>
      </c>
      <c r="H703">
        <v>4.8031956352299288</v>
      </c>
      <c r="I703">
        <v>1</v>
      </c>
      <c r="J703">
        <v>0</v>
      </c>
      <c r="K703">
        <v>1</v>
      </c>
      <c r="L703">
        <v>1</v>
      </c>
      <c r="M703">
        <v>1</v>
      </c>
      <c r="N703">
        <v>48</v>
      </c>
      <c r="O703">
        <v>50000</v>
      </c>
      <c r="P703">
        <v>5</v>
      </c>
      <c r="Q703">
        <v>2</v>
      </c>
      <c r="R703">
        <v>5</v>
      </c>
      <c r="S703">
        <v>4</v>
      </c>
      <c r="T703" s="123">
        <f t="shared" si="52"/>
        <v>1</v>
      </c>
      <c r="U703">
        <f t="shared" si="53"/>
        <v>1</v>
      </c>
      <c r="V703">
        <f t="shared" si="54"/>
        <v>0</v>
      </c>
      <c r="W703">
        <f t="shared" si="55"/>
        <v>1</v>
      </c>
      <c r="X703">
        <f t="shared" si="56"/>
        <v>1</v>
      </c>
    </row>
    <row r="704" spans="1:24">
      <c r="A704" t="s">
        <v>189</v>
      </c>
      <c r="B704">
        <v>2</v>
      </c>
      <c r="C704">
        <v>1</v>
      </c>
      <c r="D704">
        <v>97.057677318784101</v>
      </c>
      <c r="E704">
        <v>92.049883086515976</v>
      </c>
      <c r="F704">
        <v>95.791114575214337</v>
      </c>
      <c r="G704">
        <v>5.2903351519875299</v>
      </c>
      <c r="H704">
        <v>5.5339049103663278</v>
      </c>
      <c r="I704">
        <v>0</v>
      </c>
      <c r="J704">
        <v>0</v>
      </c>
      <c r="K704">
        <v>1</v>
      </c>
      <c r="L704">
        <v>1</v>
      </c>
      <c r="M704">
        <v>1</v>
      </c>
      <c r="N704">
        <v>48</v>
      </c>
      <c r="O704">
        <v>50000</v>
      </c>
      <c r="P704">
        <v>5</v>
      </c>
      <c r="Q704">
        <v>2</v>
      </c>
      <c r="R704">
        <v>5</v>
      </c>
      <c r="S704">
        <v>4</v>
      </c>
      <c r="T704" s="123">
        <f t="shared" si="52"/>
        <v>0</v>
      </c>
      <c r="U704">
        <f t="shared" si="53"/>
        <v>1</v>
      </c>
      <c r="V704">
        <f t="shared" si="54"/>
        <v>0</v>
      </c>
      <c r="W704">
        <f t="shared" si="55"/>
        <v>1</v>
      </c>
      <c r="X704">
        <f t="shared" si="56"/>
        <v>1</v>
      </c>
    </row>
    <row r="705" spans="1:24">
      <c r="A705" t="s">
        <v>189</v>
      </c>
      <c r="B705">
        <v>3</v>
      </c>
      <c r="C705">
        <v>1</v>
      </c>
      <c r="D705">
        <v>84.056956115779641</v>
      </c>
      <c r="E705">
        <v>50</v>
      </c>
      <c r="F705">
        <v>89.204014939309047</v>
      </c>
      <c r="G705">
        <v>85.294117647058826</v>
      </c>
      <c r="H705">
        <v>10.63258636788049</v>
      </c>
      <c r="I705">
        <v>0</v>
      </c>
      <c r="J705">
        <v>0</v>
      </c>
      <c r="K705">
        <v>1</v>
      </c>
      <c r="L705">
        <v>1</v>
      </c>
      <c r="M705">
        <v>1</v>
      </c>
      <c r="N705">
        <v>48</v>
      </c>
      <c r="O705">
        <v>50000</v>
      </c>
      <c r="P705">
        <v>5</v>
      </c>
      <c r="Q705">
        <v>2</v>
      </c>
      <c r="R705">
        <v>5</v>
      </c>
      <c r="S705">
        <v>4</v>
      </c>
      <c r="T705" s="123">
        <f t="shared" si="52"/>
        <v>0</v>
      </c>
      <c r="U705">
        <f t="shared" si="53"/>
        <v>1</v>
      </c>
      <c r="V705">
        <f t="shared" si="54"/>
        <v>0</v>
      </c>
      <c r="W705">
        <f t="shared" si="55"/>
        <v>1</v>
      </c>
      <c r="X705">
        <f t="shared" si="56"/>
        <v>1</v>
      </c>
    </row>
    <row r="706" spans="1:24">
      <c r="A706" t="s">
        <v>189</v>
      </c>
      <c r="B706">
        <v>4</v>
      </c>
      <c r="C706">
        <v>1</v>
      </c>
      <c r="D706">
        <v>98.529411764705884</v>
      </c>
      <c r="E706">
        <v>97.957516339869287</v>
      </c>
      <c r="F706">
        <v>97.56069094304388</v>
      </c>
      <c r="G706">
        <v>20.331465919701209</v>
      </c>
      <c r="H706">
        <v>43.849206349206348</v>
      </c>
      <c r="I706">
        <v>0</v>
      </c>
      <c r="J706">
        <v>0</v>
      </c>
      <c r="K706">
        <v>1</v>
      </c>
      <c r="L706">
        <v>1</v>
      </c>
      <c r="M706">
        <v>1</v>
      </c>
      <c r="N706">
        <v>48</v>
      </c>
      <c r="O706">
        <v>50000</v>
      </c>
      <c r="P706">
        <v>5</v>
      </c>
      <c r="Q706">
        <v>2</v>
      </c>
      <c r="R706">
        <v>5</v>
      </c>
      <c r="S706">
        <v>4</v>
      </c>
      <c r="T706" s="123">
        <f t="shared" si="52"/>
        <v>0</v>
      </c>
      <c r="U706">
        <f t="shared" si="53"/>
        <v>1</v>
      </c>
      <c r="V706">
        <f t="shared" si="54"/>
        <v>0</v>
      </c>
      <c r="W706">
        <f t="shared" si="55"/>
        <v>1</v>
      </c>
      <c r="X706">
        <f t="shared" si="56"/>
        <v>1</v>
      </c>
    </row>
    <row r="707" spans="1:24">
      <c r="A707" t="s">
        <v>189</v>
      </c>
      <c r="B707">
        <v>5</v>
      </c>
      <c r="C707">
        <v>1</v>
      </c>
      <c r="D707">
        <v>95.996732026143789</v>
      </c>
      <c r="E707">
        <v>96.475256769374411</v>
      </c>
      <c r="F707">
        <v>96.977124183006538</v>
      </c>
      <c r="G707">
        <v>3.8865546218487368</v>
      </c>
      <c r="H707">
        <v>73.249299719887958</v>
      </c>
      <c r="I707">
        <v>0</v>
      </c>
      <c r="J707">
        <v>0</v>
      </c>
      <c r="K707">
        <v>1</v>
      </c>
      <c r="L707">
        <v>1</v>
      </c>
      <c r="M707">
        <v>1</v>
      </c>
      <c r="N707">
        <v>48</v>
      </c>
      <c r="O707">
        <v>50000</v>
      </c>
      <c r="P707">
        <v>5</v>
      </c>
      <c r="Q707">
        <v>2</v>
      </c>
      <c r="R707">
        <v>5</v>
      </c>
      <c r="S707">
        <v>4</v>
      </c>
      <c r="T707" s="123">
        <f t="shared" si="52"/>
        <v>0</v>
      </c>
      <c r="U707">
        <f t="shared" si="53"/>
        <v>1</v>
      </c>
      <c r="V707">
        <f t="shared" si="54"/>
        <v>0</v>
      </c>
      <c r="W707">
        <f t="shared" si="55"/>
        <v>1</v>
      </c>
      <c r="X707">
        <f t="shared" si="56"/>
        <v>1</v>
      </c>
    </row>
    <row r="708" spans="1:24">
      <c r="A708" t="s">
        <v>189</v>
      </c>
      <c r="B708">
        <v>6</v>
      </c>
      <c r="C708">
        <v>1</v>
      </c>
      <c r="D708">
        <v>98.517740429505139</v>
      </c>
      <c r="E708">
        <v>97.759103641456591</v>
      </c>
      <c r="F708">
        <v>96.778711484593842</v>
      </c>
      <c r="G708">
        <v>9.628851540616246</v>
      </c>
      <c r="H708">
        <v>8.5784313725490229</v>
      </c>
      <c r="I708">
        <v>0</v>
      </c>
      <c r="J708">
        <v>0</v>
      </c>
      <c r="K708">
        <v>1</v>
      </c>
      <c r="L708">
        <v>1</v>
      </c>
      <c r="M708">
        <v>1</v>
      </c>
      <c r="N708">
        <v>48</v>
      </c>
      <c r="O708">
        <v>50000</v>
      </c>
      <c r="P708">
        <v>5</v>
      </c>
      <c r="Q708">
        <v>2</v>
      </c>
      <c r="R708">
        <v>5</v>
      </c>
      <c r="S708">
        <v>4</v>
      </c>
      <c r="T708" s="123">
        <f t="shared" ref="T708:T771" si="57">IF(OR(IF(AVERAGE(E708:F708)-G708&gt;(10),1,0),IF(AVERAGE(E708:F708)-G708&lt;(-10),1,0)),0,1)</f>
        <v>0</v>
      </c>
      <c r="U708">
        <f t="shared" ref="U708:U771" si="58">IF(P708&gt;3,1,0)</f>
        <v>1</v>
      </c>
      <c r="V708">
        <f t="shared" ref="V708:V771" si="59">IF(Q708&gt;3,1,0)</f>
        <v>0</v>
      </c>
      <c r="W708">
        <f t="shared" ref="W708:W771" si="60">IF(R708&gt;3,1,0)</f>
        <v>1</v>
      </c>
      <c r="X708">
        <f t="shared" ref="X708:X771" si="61">IF(S708&gt;3,1,0)</f>
        <v>1</v>
      </c>
    </row>
    <row r="709" spans="1:24">
      <c r="A709" t="s">
        <v>189</v>
      </c>
      <c r="B709">
        <v>7</v>
      </c>
      <c r="C709">
        <v>1</v>
      </c>
      <c r="D709">
        <v>86.006069094304394</v>
      </c>
      <c r="E709">
        <v>67.50700280112045</v>
      </c>
      <c r="F709">
        <v>95.716619981325863</v>
      </c>
      <c r="G709">
        <v>4.7852474323062557</v>
      </c>
      <c r="H709">
        <v>8.0882352941176467</v>
      </c>
      <c r="I709">
        <v>0</v>
      </c>
      <c r="J709">
        <v>1</v>
      </c>
      <c r="K709">
        <v>1</v>
      </c>
      <c r="L709">
        <v>1</v>
      </c>
      <c r="M709">
        <v>1</v>
      </c>
      <c r="N709">
        <v>48</v>
      </c>
      <c r="O709">
        <v>50000</v>
      </c>
      <c r="P709">
        <v>5</v>
      </c>
      <c r="Q709">
        <v>2</v>
      </c>
      <c r="R709">
        <v>5</v>
      </c>
      <c r="S709">
        <v>4</v>
      </c>
      <c r="T709" s="123">
        <f t="shared" si="57"/>
        <v>0</v>
      </c>
      <c r="U709">
        <f t="shared" si="58"/>
        <v>1</v>
      </c>
      <c r="V709">
        <f t="shared" si="59"/>
        <v>0</v>
      </c>
      <c r="W709">
        <f t="shared" si="60"/>
        <v>1</v>
      </c>
      <c r="X709">
        <f t="shared" si="61"/>
        <v>1</v>
      </c>
    </row>
    <row r="710" spans="1:24">
      <c r="A710" t="s">
        <v>190</v>
      </c>
      <c r="B710">
        <v>1</v>
      </c>
      <c r="C710">
        <v>1</v>
      </c>
      <c r="D710">
        <v>1.0017207472959699</v>
      </c>
      <c r="E710">
        <v>99.311701081612583</v>
      </c>
      <c r="F710">
        <v>99.199033103900362</v>
      </c>
      <c r="G710">
        <v>0.24582104228121901</v>
      </c>
      <c r="H710">
        <v>99.196984595214687</v>
      </c>
      <c r="I710">
        <v>1</v>
      </c>
      <c r="J710">
        <v>0</v>
      </c>
      <c r="K710">
        <v>0</v>
      </c>
      <c r="L710">
        <v>1</v>
      </c>
      <c r="M710">
        <v>1</v>
      </c>
      <c r="N710">
        <v>30</v>
      </c>
      <c r="O710">
        <v>95000</v>
      </c>
      <c r="P710">
        <v>5</v>
      </c>
      <c r="Q710">
        <v>4</v>
      </c>
      <c r="R710">
        <v>4</v>
      </c>
      <c r="S710">
        <v>5</v>
      </c>
      <c r="T710" s="123">
        <f t="shared" si="57"/>
        <v>0</v>
      </c>
      <c r="U710">
        <f t="shared" si="58"/>
        <v>1</v>
      </c>
      <c r="V710">
        <f t="shared" si="59"/>
        <v>1</v>
      </c>
      <c r="W710">
        <f t="shared" si="60"/>
        <v>1</v>
      </c>
      <c r="X710">
        <f t="shared" si="61"/>
        <v>1</v>
      </c>
    </row>
    <row r="711" spans="1:24" hidden="1">
      <c r="A711" t="s">
        <v>190</v>
      </c>
      <c r="B711">
        <v>2</v>
      </c>
      <c r="C711">
        <v>1</v>
      </c>
      <c r="D711">
        <v>100</v>
      </c>
      <c r="E711">
        <v>99.876624444810005</v>
      </c>
      <c r="F711">
        <v>100</v>
      </c>
      <c r="G711">
        <v>100</v>
      </c>
      <c r="H711">
        <v>0.68267807205132369</v>
      </c>
      <c r="I711">
        <v>0</v>
      </c>
      <c r="J711">
        <v>0</v>
      </c>
      <c r="K711">
        <v>1</v>
      </c>
      <c r="L711">
        <v>1</v>
      </c>
      <c r="M711">
        <v>1</v>
      </c>
      <c r="N711">
        <v>30</v>
      </c>
      <c r="O711">
        <v>95000</v>
      </c>
      <c r="P711">
        <v>5</v>
      </c>
      <c r="Q711">
        <v>4</v>
      </c>
      <c r="R711">
        <v>4</v>
      </c>
      <c r="S711">
        <v>5</v>
      </c>
      <c r="T711" s="123">
        <f t="shared" si="57"/>
        <v>1</v>
      </c>
      <c r="U711">
        <f t="shared" si="58"/>
        <v>1</v>
      </c>
      <c r="V711">
        <f t="shared" si="59"/>
        <v>1</v>
      </c>
      <c r="W711">
        <f t="shared" si="60"/>
        <v>1</v>
      </c>
      <c r="X711">
        <f t="shared" si="61"/>
        <v>1</v>
      </c>
    </row>
    <row r="712" spans="1:24" hidden="1">
      <c r="A712" t="s">
        <v>190</v>
      </c>
      <c r="B712">
        <v>3</v>
      </c>
      <c r="C712">
        <v>1</v>
      </c>
      <c r="D712">
        <v>99.547622964303343</v>
      </c>
      <c r="E712">
        <v>99.876624444810005</v>
      </c>
      <c r="F712">
        <v>99.580523112354015</v>
      </c>
      <c r="G712">
        <v>99.218621483796682</v>
      </c>
      <c r="H712">
        <v>99.531172890278015</v>
      </c>
      <c r="I712">
        <v>0</v>
      </c>
      <c r="J712">
        <v>0</v>
      </c>
      <c r="K712">
        <v>1</v>
      </c>
      <c r="L712">
        <v>1</v>
      </c>
      <c r="M712">
        <v>1</v>
      </c>
      <c r="N712">
        <v>30</v>
      </c>
      <c r="O712">
        <v>95000</v>
      </c>
      <c r="P712">
        <v>5</v>
      </c>
      <c r="Q712">
        <v>4</v>
      </c>
      <c r="R712">
        <v>4</v>
      </c>
      <c r="S712">
        <v>5</v>
      </c>
      <c r="T712" s="123">
        <f t="shared" si="57"/>
        <v>1</v>
      </c>
      <c r="U712">
        <f t="shared" si="58"/>
        <v>1</v>
      </c>
      <c r="V712">
        <f t="shared" si="59"/>
        <v>1</v>
      </c>
      <c r="W712">
        <f t="shared" si="60"/>
        <v>1</v>
      </c>
      <c r="X712">
        <f t="shared" si="61"/>
        <v>1</v>
      </c>
    </row>
    <row r="713" spans="1:24">
      <c r="A713" t="s">
        <v>190</v>
      </c>
      <c r="B713">
        <v>4</v>
      </c>
      <c r="C713">
        <v>1</v>
      </c>
      <c r="D713">
        <v>14.595744680851061</v>
      </c>
      <c r="E713">
        <v>50</v>
      </c>
      <c r="F713">
        <v>96.553191489361694</v>
      </c>
      <c r="G713">
        <v>50</v>
      </c>
      <c r="H713">
        <v>80.042553191489361</v>
      </c>
      <c r="I713">
        <v>0</v>
      </c>
      <c r="J713">
        <v>0</v>
      </c>
      <c r="K713">
        <v>0</v>
      </c>
      <c r="L713">
        <v>1</v>
      </c>
      <c r="M713">
        <v>1</v>
      </c>
      <c r="N713">
        <v>30</v>
      </c>
      <c r="O713">
        <v>95000</v>
      </c>
      <c r="P713">
        <v>5</v>
      </c>
      <c r="Q713">
        <v>4</v>
      </c>
      <c r="R713">
        <v>4</v>
      </c>
      <c r="S713">
        <v>5</v>
      </c>
      <c r="T713" s="123">
        <f t="shared" si="57"/>
        <v>0</v>
      </c>
      <c r="U713">
        <f t="shared" si="58"/>
        <v>1</v>
      </c>
      <c r="V713">
        <f t="shared" si="59"/>
        <v>1</v>
      </c>
      <c r="W713">
        <f t="shared" si="60"/>
        <v>1</v>
      </c>
      <c r="X713">
        <f t="shared" si="61"/>
        <v>1</v>
      </c>
    </row>
    <row r="714" spans="1:24">
      <c r="A714" t="s">
        <v>190</v>
      </c>
      <c r="B714">
        <v>5</v>
      </c>
      <c r="C714">
        <v>1</v>
      </c>
      <c r="D714">
        <v>2.340425531914891</v>
      </c>
      <c r="E714">
        <v>98.425531914893611</v>
      </c>
      <c r="F714">
        <v>98.765957446808514</v>
      </c>
      <c r="G714">
        <v>1.5744680851063839</v>
      </c>
      <c r="H714">
        <v>6</v>
      </c>
      <c r="I714">
        <v>0</v>
      </c>
      <c r="J714">
        <v>0</v>
      </c>
      <c r="K714">
        <v>0</v>
      </c>
      <c r="L714">
        <v>1</v>
      </c>
      <c r="M714">
        <v>1</v>
      </c>
      <c r="N714">
        <v>30</v>
      </c>
      <c r="O714">
        <v>95000</v>
      </c>
      <c r="P714">
        <v>5</v>
      </c>
      <c r="Q714">
        <v>4</v>
      </c>
      <c r="R714">
        <v>4</v>
      </c>
      <c r="S714">
        <v>5</v>
      </c>
      <c r="T714" s="123">
        <f t="shared" si="57"/>
        <v>0</v>
      </c>
      <c r="U714">
        <f t="shared" si="58"/>
        <v>1</v>
      </c>
      <c r="V714">
        <f t="shared" si="59"/>
        <v>1</v>
      </c>
      <c r="W714">
        <f t="shared" si="60"/>
        <v>1</v>
      </c>
      <c r="X714">
        <f t="shared" si="61"/>
        <v>1</v>
      </c>
    </row>
    <row r="715" spans="1:24" hidden="1">
      <c r="A715" t="s">
        <v>190</v>
      </c>
      <c r="B715">
        <v>6</v>
      </c>
      <c r="C715">
        <v>1</v>
      </c>
      <c r="D715">
        <v>98.170212765957459</v>
      </c>
      <c r="E715">
        <v>100</v>
      </c>
      <c r="F715">
        <v>99.021276595744681</v>
      </c>
      <c r="G715">
        <v>97.063829787234042</v>
      </c>
      <c r="H715">
        <v>96.638297872340431</v>
      </c>
      <c r="I715">
        <v>0</v>
      </c>
      <c r="J715">
        <v>0</v>
      </c>
      <c r="K715">
        <v>1</v>
      </c>
      <c r="L715">
        <v>1</v>
      </c>
      <c r="M715">
        <v>1</v>
      </c>
      <c r="N715">
        <v>30</v>
      </c>
      <c r="O715">
        <v>95000</v>
      </c>
      <c r="P715">
        <v>5</v>
      </c>
      <c r="Q715">
        <v>4</v>
      </c>
      <c r="R715">
        <v>4</v>
      </c>
      <c r="S715">
        <v>5</v>
      </c>
      <c r="T715" s="123">
        <f t="shared" si="57"/>
        <v>1</v>
      </c>
      <c r="U715">
        <f t="shared" si="58"/>
        <v>1</v>
      </c>
      <c r="V715">
        <f t="shared" si="59"/>
        <v>1</v>
      </c>
      <c r="W715">
        <f t="shared" si="60"/>
        <v>1</v>
      </c>
      <c r="X715">
        <f t="shared" si="61"/>
        <v>1</v>
      </c>
    </row>
    <row r="716" spans="1:24">
      <c r="A716" t="s">
        <v>190</v>
      </c>
      <c r="B716">
        <v>7</v>
      </c>
      <c r="C716">
        <v>1</v>
      </c>
      <c r="D716">
        <v>82.425531914893611</v>
      </c>
      <c r="E716">
        <v>7.7872340425531927</v>
      </c>
      <c r="F716">
        <v>90.936170212765958</v>
      </c>
      <c r="G716">
        <v>13.829787234042559</v>
      </c>
      <c r="H716">
        <v>97.744680851063819</v>
      </c>
      <c r="I716">
        <v>0</v>
      </c>
      <c r="J716">
        <v>1</v>
      </c>
      <c r="K716">
        <v>1</v>
      </c>
      <c r="L716">
        <v>1</v>
      </c>
      <c r="M716">
        <v>1</v>
      </c>
      <c r="N716">
        <v>30</v>
      </c>
      <c r="O716">
        <v>95000</v>
      </c>
      <c r="P716">
        <v>5</v>
      </c>
      <c r="Q716">
        <v>4</v>
      </c>
      <c r="R716">
        <v>4</v>
      </c>
      <c r="S716">
        <v>5</v>
      </c>
      <c r="T716" s="123">
        <f t="shared" si="57"/>
        <v>0</v>
      </c>
      <c r="U716">
        <f t="shared" si="58"/>
        <v>1</v>
      </c>
      <c r="V716">
        <f t="shared" si="59"/>
        <v>1</v>
      </c>
      <c r="W716">
        <f t="shared" si="60"/>
        <v>1</v>
      </c>
      <c r="X716">
        <f t="shared" si="61"/>
        <v>1</v>
      </c>
    </row>
    <row r="717" spans="1:24">
      <c r="A717" t="s">
        <v>191</v>
      </c>
      <c r="B717">
        <v>1</v>
      </c>
      <c r="C717">
        <v>1</v>
      </c>
      <c r="D717">
        <v>95.920160682902335</v>
      </c>
      <c r="E717">
        <v>95.618880241024357</v>
      </c>
      <c r="F717">
        <v>97.790610092894809</v>
      </c>
      <c r="G717">
        <v>15.89254330906352</v>
      </c>
      <c r="H717">
        <v>50</v>
      </c>
      <c r="I717">
        <v>1</v>
      </c>
      <c r="J717">
        <v>0</v>
      </c>
      <c r="K717">
        <v>1</v>
      </c>
      <c r="L717">
        <v>1</v>
      </c>
      <c r="M717">
        <v>1</v>
      </c>
      <c r="N717">
        <v>35</v>
      </c>
      <c r="O717">
        <v>39000</v>
      </c>
      <c r="P717">
        <v>5</v>
      </c>
      <c r="Q717">
        <v>5</v>
      </c>
      <c r="R717">
        <v>4</v>
      </c>
      <c r="S717">
        <v>5</v>
      </c>
      <c r="T717" s="123">
        <f t="shared" si="57"/>
        <v>0</v>
      </c>
      <c r="U717">
        <f t="shared" si="58"/>
        <v>1</v>
      </c>
      <c r="V717">
        <f t="shared" si="59"/>
        <v>1</v>
      </c>
      <c r="W717">
        <f t="shared" si="60"/>
        <v>1</v>
      </c>
      <c r="X717">
        <f t="shared" si="61"/>
        <v>1</v>
      </c>
    </row>
    <row r="718" spans="1:24">
      <c r="A718" t="s">
        <v>191</v>
      </c>
      <c r="B718">
        <v>2</v>
      </c>
      <c r="C718">
        <v>1</v>
      </c>
      <c r="D718">
        <v>98.455937735375343</v>
      </c>
      <c r="E718">
        <v>96.748681898066778</v>
      </c>
      <c r="F718">
        <v>100</v>
      </c>
      <c r="G718">
        <v>70.662816972131566</v>
      </c>
      <c r="H718">
        <v>99.887019834295756</v>
      </c>
      <c r="I718">
        <v>0</v>
      </c>
      <c r="J718">
        <v>0</v>
      </c>
      <c r="K718">
        <v>1</v>
      </c>
      <c r="L718">
        <v>1</v>
      </c>
      <c r="M718">
        <v>1</v>
      </c>
      <c r="N718">
        <v>35</v>
      </c>
      <c r="O718">
        <v>39000</v>
      </c>
      <c r="P718">
        <v>5</v>
      </c>
      <c r="Q718">
        <v>5</v>
      </c>
      <c r="R718">
        <v>4</v>
      </c>
      <c r="S718">
        <v>5</v>
      </c>
      <c r="T718" s="123">
        <f t="shared" si="57"/>
        <v>0</v>
      </c>
      <c r="U718">
        <f t="shared" si="58"/>
        <v>1</v>
      </c>
      <c r="V718">
        <f t="shared" si="59"/>
        <v>1</v>
      </c>
      <c r="W718">
        <f t="shared" si="60"/>
        <v>1</v>
      </c>
      <c r="X718">
        <f t="shared" si="61"/>
        <v>1</v>
      </c>
    </row>
    <row r="719" spans="1:24">
      <c r="A719" t="s">
        <v>191</v>
      </c>
      <c r="B719">
        <v>3</v>
      </c>
      <c r="C719">
        <v>1</v>
      </c>
      <c r="D719">
        <v>97.514436354506657</v>
      </c>
      <c r="E719">
        <v>99.912126537785582</v>
      </c>
      <c r="F719">
        <v>96.321867938739643</v>
      </c>
      <c r="G719">
        <v>7.8332914888275154</v>
      </c>
      <c r="H719">
        <v>3.5902585990459479</v>
      </c>
      <c r="I719">
        <v>0</v>
      </c>
      <c r="J719">
        <v>0</v>
      </c>
      <c r="K719">
        <v>1</v>
      </c>
      <c r="L719">
        <v>1</v>
      </c>
      <c r="M719">
        <v>1</v>
      </c>
      <c r="N719">
        <v>35</v>
      </c>
      <c r="O719">
        <v>39000</v>
      </c>
      <c r="P719">
        <v>5</v>
      </c>
      <c r="Q719">
        <v>5</v>
      </c>
      <c r="R719">
        <v>4</v>
      </c>
      <c r="S719">
        <v>5</v>
      </c>
      <c r="T719" s="123">
        <f t="shared" si="57"/>
        <v>0</v>
      </c>
      <c r="U719">
        <f t="shared" si="58"/>
        <v>1</v>
      </c>
      <c r="V719">
        <f t="shared" si="59"/>
        <v>1</v>
      </c>
      <c r="W719">
        <f t="shared" si="60"/>
        <v>1</v>
      </c>
      <c r="X719">
        <f t="shared" si="61"/>
        <v>1</v>
      </c>
    </row>
    <row r="720" spans="1:24">
      <c r="A720" t="s">
        <v>191</v>
      </c>
      <c r="B720">
        <v>4</v>
      </c>
      <c r="C720">
        <v>1</v>
      </c>
      <c r="D720">
        <v>98.204870700477031</v>
      </c>
      <c r="E720">
        <v>97.790610092894809</v>
      </c>
      <c r="F720">
        <v>96.033140848606578</v>
      </c>
      <c r="G720">
        <v>2.3600301280441882</v>
      </c>
      <c r="H720">
        <v>2.8119507908611618</v>
      </c>
      <c r="I720">
        <v>0</v>
      </c>
      <c r="J720">
        <v>0</v>
      </c>
      <c r="K720">
        <v>1</v>
      </c>
      <c r="L720">
        <v>1</v>
      </c>
      <c r="M720">
        <v>1</v>
      </c>
      <c r="N720">
        <v>35</v>
      </c>
      <c r="O720">
        <v>39000</v>
      </c>
      <c r="P720">
        <v>5</v>
      </c>
      <c r="Q720">
        <v>5</v>
      </c>
      <c r="R720">
        <v>4</v>
      </c>
      <c r="S720">
        <v>5</v>
      </c>
      <c r="T720" s="123">
        <f t="shared" si="57"/>
        <v>0</v>
      </c>
      <c r="U720">
        <f t="shared" si="58"/>
        <v>1</v>
      </c>
      <c r="V720">
        <f t="shared" si="59"/>
        <v>1</v>
      </c>
      <c r="W720">
        <f t="shared" si="60"/>
        <v>1</v>
      </c>
      <c r="X720">
        <f t="shared" si="61"/>
        <v>1</v>
      </c>
    </row>
    <row r="721" spans="1:24">
      <c r="A721" t="s">
        <v>191</v>
      </c>
      <c r="B721">
        <v>5</v>
      </c>
      <c r="C721">
        <v>1</v>
      </c>
      <c r="D721">
        <v>97.225709264373592</v>
      </c>
      <c r="E721">
        <v>96.660808435852374</v>
      </c>
      <c r="F721">
        <v>95.832287220687931</v>
      </c>
      <c r="G721">
        <v>50</v>
      </c>
      <c r="H721">
        <v>50</v>
      </c>
      <c r="I721">
        <v>0</v>
      </c>
      <c r="J721">
        <v>0</v>
      </c>
      <c r="K721">
        <v>1</v>
      </c>
      <c r="L721">
        <v>1</v>
      </c>
      <c r="M721">
        <v>1</v>
      </c>
      <c r="N721">
        <v>35</v>
      </c>
      <c r="O721">
        <v>39000</v>
      </c>
      <c r="P721">
        <v>5</v>
      </c>
      <c r="Q721">
        <v>5</v>
      </c>
      <c r="R721">
        <v>4</v>
      </c>
      <c r="S721">
        <v>5</v>
      </c>
      <c r="T721" s="123">
        <f t="shared" si="57"/>
        <v>0</v>
      </c>
      <c r="U721">
        <f t="shared" si="58"/>
        <v>1</v>
      </c>
      <c r="V721">
        <f t="shared" si="59"/>
        <v>1</v>
      </c>
      <c r="W721">
        <f t="shared" si="60"/>
        <v>1</v>
      </c>
      <c r="X721">
        <f t="shared" si="61"/>
        <v>1</v>
      </c>
    </row>
    <row r="722" spans="1:24">
      <c r="A722" t="s">
        <v>191</v>
      </c>
      <c r="B722">
        <v>6</v>
      </c>
      <c r="C722">
        <v>1</v>
      </c>
      <c r="D722">
        <v>90.78583981923174</v>
      </c>
      <c r="E722">
        <v>94.3133316595531</v>
      </c>
      <c r="F722">
        <v>96.409741400954047</v>
      </c>
      <c r="G722">
        <v>29.16143610343962</v>
      </c>
      <c r="H722">
        <v>5.9377353753452153</v>
      </c>
      <c r="I722">
        <v>0</v>
      </c>
      <c r="J722">
        <v>0</v>
      </c>
      <c r="K722">
        <v>1</v>
      </c>
      <c r="L722">
        <v>1</v>
      </c>
      <c r="M722">
        <v>1</v>
      </c>
      <c r="N722">
        <v>35</v>
      </c>
      <c r="O722">
        <v>39000</v>
      </c>
      <c r="P722">
        <v>5</v>
      </c>
      <c r="Q722">
        <v>5</v>
      </c>
      <c r="R722">
        <v>4</v>
      </c>
      <c r="S722">
        <v>5</v>
      </c>
      <c r="T722" s="123">
        <f t="shared" si="57"/>
        <v>0</v>
      </c>
      <c r="U722">
        <f t="shared" si="58"/>
        <v>1</v>
      </c>
      <c r="V722">
        <f t="shared" si="59"/>
        <v>1</v>
      </c>
      <c r="W722">
        <f t="shared" si="60"/>
        <v>1</v>
      </c>
      <c r="X722">
        <f t="shared" si="61"/>
        <v>1</v>
      </c>
    </row>
    <row r="723" spans="1:24">
      <c r="A723" t="s">
        <v>191</v>
      </c>
      <c r="B723">
        <v>7</v>
      </c>
      <c r="C723">
        <v>1</v>
      </c>
      <c r="D723">
        <v>97.338689430077835</v>
      </c>
      <c r="E723">
        <v>95.719307054983688</v>
      </c>
      <c r="F723">
        <v>95.719307054983688</v>
      </c>
      <c r="G723">
        <v>13.193572683906609</v>
      </c>
      <c r="H723">
        <v>5.8373085613858899</v>
      </c>
      <c r="I723">
        <v>0</v>
      </c>
      <c r="J723">
        <v>1</v>
      </c>
      <c r="K723">
        <v>1</v>
      </c>
      <c r="L723">
        <v>1</v>
      </c>
      <c r="M723">
        <v>1</v>
      </c>
      <c r="N723">
        <v>35</v>
      </c>
      <c r="O723">
        <v>39000</v>
      </c>
      <c r="P723">
        <v>5</v>
      </c>
      <c r="Q723">
        <v>5</v>
      </c>
      <c r="R723">
        <v>4</v>
      </c>
      <c r="S723">
        <v>5</v>
      </c>
      <c r="T723" s="123">
        <f t="shared" si="57"/>
        <v>0</v>
      </c>
      <c r="U723">
        <f t="shared" si="58"/>
        <v>1</v>
      </c>
      <c r="V723">
        <f t="shared" si="59"/>
        <v>1</v>
      </c>
      <c r="W723">
        <f t="shared" si="60"/>
        <v>1</v>
      </c>
      <c r="X723">
        <f t="shared" si="61"/>
        <v>1</v>
      </c>
    </row>
    <row r="724" spans="1:24" hidden="1">
      <c r="A724" t="s">
        <v>192</v>
      </c>
      <c r="B724">
        <v>1</v>
      </c>
      <c r="C724">
        <v>1</v>
      </c>
      <c r="D724">
        <v>15.00282235303605</v>
      </c>
      <c r="E724">
        <v>2.1893395693895639</v>
      </c>
      <c r="F724">
        <v>2.487702604628661</v>
      </c>
      <c r="G724">
        <v>2.1328925086686552</v>
      </c>
      <c r="H724">
        <v>16.78493669865334</v>
      </c>
      <c r="I724">
        <v>1</v>
      </c>
      <c r="J724">
        <v>0</v>
      </c>
      <c r="K724">
        <v>0</v>
      </c>
      <c r="L724">
        <v>1</v>
      </c>
      <c r="M724">
        <v>0</v>
      </c>
      <c r="N724">
        <v>46</v>
      </c>
      <c r="O724">
        <v>55000</v>
      </c>
      <c r="P724">
        <v>1</v>
      </c>
      <c r="Q724">
        <v>1</v>
      </c>
      <c r="R724">
        <v>3</v>
      </c>
      <c r="S724">
        <v>5</v>
      </c>
      <c r="T724" s="123">
        <f t="shared" si="57"/>
        <v>1</v>
      </c>
      <c r="U724">
        <f t="shared" si="58"/>
        <v>0</v>
      </c>
      <c r="V724">
        <f t="shared" si="59"/>
        <v>0</v>
      </c>
      <c r="W724">
        <f t="shared" si="60"/>
        <v>0</v>
      </c>
      <c r="X724">
        <f t="shared" si="61"/>
        <v>1</v>
      </c>
    </row>
    <row r="725" spans="1:24">
      <c r="A725" t="s">
        <v>192</v>
      </c>
      <c r="B725">
        <v>2</v>
      </c>
      <c r="C725">
        <v>1</v>
      </c>
      <c r="D725">
        <v>3.1005564067413891</v>
      </c>
      <c r="E725">
        <v>1.8224336747036549</v>
      </c>
      <c r="F725">
        <v>1.0160470929763741</v>
      </c>
      <c r="G725">
        <v>97.302636884122251</v>
      </c>
      <c r="H725">
        <v>0</v>
      </c>
      <c r="I725">
        <v>0</v>
      </c>
      <c r="J725">
        <v>0</v>
      </c>
      <c r="K725">
        <v>0</v>
      </c>
      <c r="L725">
        <v>1</v>
      </c>
      <c r="M725">
        <v>0</v>
      </c>
      <c r="N725">
        <v>46</v>
      </c>
      <c r="O725">
        <v>55000</v>
      </c>
      <c r="P725">
        <v>1</v>
      </c>
      <c r="Q725">
        <v>1</v>
      </c>
      <c r="R725">
        <v>3</v>
      </c>
      <c r="S725">
        <v>5</v>
      </c>
      <c r="T725" s="123">
        <f t="shared" si="57"/>
        <v>0</v>
      </c>
      <c r="U725">
        <f t="shared" si="58"/>
        <v>0</v>
      </c>
      <c r="V725">
        <f t="shared" si="59"/>
        <v>0</v>
      </c>
      <c r="W725">
        <f t="shared" si="60"/>
        <v>0</v>
      </c>
      <c r="X725">
        <f t="shared" si="61"/>
        <v>1</v>
      </c>
    </row>
    <row r="726" spans="1:24">
      <c r="A726" t="s">
        <v>192</v>
      </c>
      <c r="B726">
        <v>3</v>
      </c>
      <c r="C726">
        <v>1</v>
      </c>
      <c r="D726">
        <v>6.2938472703814199</v>
      </c>
      <c r="E726">
        <v>5.2092573179582269</v>
      </c>
      <c r="F726">
        <v>5.9995161680509614</v>
      </c>
      <c r="G726">
        <v>94.544794774614942</v>
      </c>
      <c r="H726">
        <v>5.3544069026691403</v>
      </c>
      <c r="I726">
        <v>0</v>
      </c>
      <c r="J726">
        <v>0</v>
      </c>
      <c r="K726">
        <v>0</v>
      </c>
      <c r="L726">
        <v>1</v>
      </c>
      <c r="M726">
        <v>0</v>
      </c>
      <c r="N726">
        <v>46</v>
      </c>
      <c r="O726">
        <v>55000</v>
      </c>
      <c r="P726">
        <v>1</v>
      </c>
      <c r="Q726">
        <v>1</v>
      </c>
      <c r="R726">
        <v>3</v>
      </c>
      <c r="S726">
        <v>5</v>
      </c>
      <c r="T726" s="123">
        <f t="shared" si="57"/>
        <v>0</v>
      </c>
      <c r="U726">
        <f t="shared" si="58"/>
        <v>0</v>
      </c>
      <c r="V726">
        <f t="shared" si="59"/>
        <v>0</v>
      </c>
      <c r="W726">
        <f t="shared" si="60"/>
        <v>0</v>
      </c>
      <c r="X726">
        <f t="shared" si="61"/>
        <v>1</v>
      </c>
    </row>
    <row r="727" spans="1:24">
      <c r="A727" t="s">
        <v>192</v>
      </c>
      <c r="B727">
        <v>4</v>
      </c>
      <c r="C727">
        <v>1</v>
      </c>
      <c r="D727">
        <v>10.59661620658949</v>
      </c>
      <c r="E727">
        <v>18.67764915405165</v>
      </c>
      <c r="F727">
        <v>11.23107747105966</v>
      </c>
      <c r="G727">
        <v>88.924755120213717</v>
      </c>
      <c r="H727">
        <v>50</v>
      </c>
      <c r="I727">
        <v>0</v>
      </c>
      <c r="J727">
        <v>0</v>
      </c>
      <c r="K727">
        <v>0</v>
      </c>
      <c r="L727">
        <v>1</v>
      </c>
      <c r="M727">
        <v>0</v>
      </c>
      <c r="N727">
        <v>46</v>
      </c>
      <c r="O727">
        <v>55000</v>
      </c>
      <c r="P727">
        <v>1</v>
      </c>
      <c r="Q727">
        <v>1</v>
      </c>
      <c r="R727">
        <v>3</v>
      </c>
      <c r="S727">
        <v>5</v>
      </c>
      <c r="T727" s="123">
        <f t="shared" si="57"/>
        <v>0</v>
      </c>
      <c r="U727">
        <f t="shared" si="58"/>
        <v>0</v>
      </c>
      <c r="V727">
        <f t="shared" si="59"/>
        <v>0</v>
      </c>
      <c r="W727">
        <f t="shared" si="60"/>
        <v>0</v>
      </c>
      <c r="X727">
        <f t="shared" si="61"/>
        <v>1</v>
      </c>
    </row>
    <row r="728" spans="1:24">
      <c r="A728" t="s">
        <v>192</v>
      </c>
      <c r="B728">
        <v>5</v>
      </c>
      <c r="C728">
        <v>1</v>
      </c>
      <c r="D728">
        <v>10.696794300979519</v>
      </c>
      <c r="E728">
        <v>50</v>
      </c>
      <c r="F728">
        <v>16.8967052537845</v>
      </c>
      <c r="G728">
        <v>78.261353517364213</v>
      </c>
      <c r="H728">
        <v>50</v>
      </c>
      <c r="I728">
        <v>0</v>
      </c>
      <c r="J728">
        <v>0</v>
      </c>
      <c r="K728">
        <v>0</v>
      </c>
      <c r="L728">
        <v>1</v>
      </c>
      <c r="M728">
        <v>0</v>
      </c>
      <c r="N728">
        <v>46</v>
      </c>
      <c r="O728">
        <v>55000</v>
      </c>
      <c r="P728">
        <v>1</v>
      </c>
      <c r="Q728">
        <v>1</v>
      </c>
      <c r="R728">
        <v>3</v>
      </c>
      <c r="S728">
        <v>5</v>
      </c>
      <c r="T728" s="123">
        <f t="shared" si="57"/>
        <v>0</v>
      </c>
      <c r="U728">
        <f t="shared" si="58"/>
        <v>0</v>
      </c>
      <c r="V728">
        <f t="shared" si="59"/>
        <v>0</v>
      </c>
      <c r="W728">
        <f t="shared" si="60"/>
        <v>0</v>
      </c>
      <c r="X728">
        <f t="shared" si="61"/>
        <v>1</v>
      </c>
    </row>
    <row r="729" spans="1:24">
      <c r="A729" t="s">
        <v>192</v>
      </c>
      <c r="B729">
        <v>6</v>
      </c>
      <c r="C729">
        <v>1</v>
      </c>
      <c r="D729">
        <v>7.7248441674087287</v>
      </c>
      <c r="E729">
        <v>9.9844167408726587</v>
      </c>
      <c r="F729">
        <v>8.9381121994657207</v>
      </c>
      <c r="G729">
        <v>39.915405164737308</v>
      </c>
      <c r="H729">
        <v>6.1331255565449716</v>
      </c>
      <c r="I729">
        <v>0</v>
      </c>
      <c r="J729">
        <v>0</v>
      </c>
      <c r="K729">
        <v>0</v>
      </c>
      <c r="L729">
        <v>1</v>
      </c>
      <c r="M729">
        <v>0</v>
      </c>
      <c r="N729">
        <v>46</v>
      </c>
      <c r="O729">
        <v>55000</v>
      </c>
      <c r="P729">
        <v>1</v>
      </c>
      <c r="Q729">
        <v>1</v>
      </c>
      <c r="R729">
        <v>3</v>
      </c>
      <c r="S729">
        <v>5</v>
      </c>
      <c r="T729" s="123">
        <f t="shared" si="57"/>
        <v>0</v>
      </c>
      <c r="U729">
        <f t="shared" si="58"/>
        <v>0</v>
      </c>
      <c r="V729">
        <f t="shared" si="59"/>
        <v>0</v>
      </c>
      <c r="W729">
        <f t="shared" si="60"/>
        <v>0</v>
      </c>
      <c r="X729">
        <f t="shared" si="61"/>
        <v>1</v>
      </c>
    </row>
    <row r="730" spans="1:24">
      <c r="A730" t="s">
        <v>192</v>
      </c>
      <c r="B730">
        <v>7</v>
      </c>
      <c r="C730">
        <v>1</v>
      </c>
      <c r="D730">
        <v>7.1349065004452372</v>
      </c>
      <c r="E730">
        <v>3.1500445235975061</v>
      </c>
      <c r="F730">
        <v>16.841050756901151</v>
      </c>
      <c r="G730">
        <v>92.86509349955476</v>
      </c>
      <c r="H730">
        <v>2.6380231522707018</v>
      </c>
      <c r="I730">
        <v>0</v>
      </c>
      <c r="J730">
        <v>1</v>
      </c>
      <c r="K730">
        <v>0</v>
      </c>
      <c r="L730">
        <v>1</v>
      </c>
      <c r="M730">
        <v>0</v>
      </c>
      <c r="N730">
        <v>46</v>
      </c>
      <c r="O730">
        <v>55000</v>
      </c>
      <c r="P730">
        <v>1</v>
      </c>
      <c r="Q730">
        <v>1</v>
      </c>
      <c r="R730">
        <v>3</v>
      </c>
      <c r="S730">
        <v>5</v>
      </c>
      <c r="T730" s="123">
        <f t="shared" si="57"/>
        <v>0</v>
      </c>
      <c r="U730">
        <f t="shared" si="58"/>
        <v>0</v>
      </c>
      <c r="V730">
        <f t="shared" si="59"/>
        <v>0</v>
      </c>
      <c r="W730">
        <f t="shared" si="60"/>
        <v>0</v>
      </c>
      <c r="X730">
        <f t="shared" si="61"/>
        <v>1</v>
      </c>
    </row>
    <row r="731" spans="1:24">
      <c r="A731" t="s">
        <v>193</v>
      </c>
      <c r="B731">
        <v>1</v>
      </c>
      <c r="C731">
        <v>1</v>
      </c>
      <c r="D731">
        <v>100</v>
      </c>
      <c r="E731">
        <v>95.323399932272267</v>
      </c>
      <c r="F731">
        <v>99.685066034541151</v>
      </c>
      <c r="G731">
        <v>1.168303420250594</v>
      </c>
      <c r="H731">
        <v>0.39282086014222889</v>
      </c>
      <c r="I731">
        <v>1</v>
      </c>
      <c r="J731">
        <v>0</v>
      </c>
      <c r="K731">
        <v>1</v>
      </c>
      <c r="L731">
        <v>1</v>
      </c>
      <c r="M731">
        <v>0</v>
      </c>
      <c r="N731">
        <v>31</v>
      </c>
      <c r="O731">
        <v>95000</v>
      </c>
      <c r="P731">
        <v>1</v>
      </c>
      <c r="Q731">
        <v>1</v>
      </c>
      <c r="R731">
        <v>3</v>
      </c>
      <c r="S731">
        <v>3</v>
      </c>
      <c r="T731" s="123">
        <f t="shared" si="57"/>
        <v>0</v>
      </c>
      <c r="U731">
        <f t="shared" si="58"/>
        <v>0</v>
      </c>
      <c r="V731">
        <f t="shared" si="59"/>
        <v>0</v>
      </c>
      <c r="W731">
        <f t="shared" si="60"/>
        <v>0</v>
      </c>
      <c r="X731">
        <f t="shared" si="61"/>
        <v>0</v>
      </c>
    </row>
    <row r="732" spans="1:24">
      <c r="A732" t="s">
        <v>193</v>
      </c>
      <c r="B732">
        <v>2</v>
      </c>
      <c r="C732">
        <v>1</v>
      </c>
      <c r="D732">
        <v>99.60379275313241</v>
      </c>
      <c r="E732">
        <v>96.925160853369448</v>
      </c>
      <c r="F732">
        <v>100</v>
      </c>
      <c r="G732">
        <v>1.6898069759566541</v>
      </c>
      <c r="H732">
        <v>0.15916017609211019</v>
      </c>
      <c r="I732">
        <v>0</v>
      </c>
      <c r="J732">
        <v>0</v>
      </c>
      <c r="K732">
        <v>1</v>
      </c>
      <c r="L732">
        <v>1</v>
      </c>
      <c r="M732">
        <v>0</v>
      </c>
      <c r="N732">
        <v>31</v>
      </c>
      <c r="O732">
        <v>95000</v>
      </c>
      <c r="P732">
        <v>1</v>
      </c>
      <c r="Q732">
        <v>1</v>
      </c>
      <c r="R732">
        <v>3</v>
      </c>
      <c r="S732">
        <v>3</v>
      </c>
      <c r="T732" s="123">
        <f t="shared" si="57"/>
        <v>0</v>
      </c>
      <c r="U732">
        <f t="shared" si="58"/>
        <v>0</v>
      </c>
      <c r="V732">
        <f t="shared" si="59"/>
        <v>0</v>
      </c>
      <c r="W732">
        <f t="shared" si="60"/>
        <v>0</v>
      </c>
      <c r="X732">
        <f t="shared" si="61"/>
        <v>0</v>
      </c>
    </row>
    <row r="733" spans="1:24">
      <c r="A733" t="s">
        <v>193</v>
      </c>
      <c r="B733">
        <v>3</v>
      </c>
      <c r="C733">
        <v>1</v>
      </c>
      <c r="D733">
        <v>99.515746698272949</v>
      </c>
      <c r="E733">
        <v>99.959363359295622</v>
      </c>
      <c r="F733">
        <v>99.925499492041993</v>
      </c>
      <c r="G733">
        <v>0.9786657636302043</v>
      </c>
      <c r="H733">
        <v>3.31188621740603</v>
      </c>
      <c r="I733">
        <v>0</v>
      </c>
      <c r="J733">
        <v>0</v>
      </c>
      <c r="K733">
        <v>1</v>
      </c>
      <c r="L733">
        <v>1</v>
      </c>
      <c r="M733">
        <v>0</v>
      </c>
      <c r="N733">
        <v>31</v>
      </c>
      <c r="O733">
        <v>95000</v>
      </c>
      <c r="P733">
        <v>1</v>
      </c>
      <c r="Q733">
        <v>1</v>
      </c>
      <c r="R733">
        <v>3</v>
      </c>
      <c r="S733">
        <v>3</v>
      </c>
      <c r="T733" s="123">
        <f t="shared" si="57"/>
        <v>0</v>
      </c>
      <c r="U733">
        <f t="shared" si="58"/>
        <v>0</v>
      </c>
      <c r="V733">
        <f t="shared" si="59"/>
        <v>0</v>
      </c>
      <c r="W733">
        <f t="shared" si="60"/>
        <v>0</v>
      </c>
      <c r="X733">
        <f t="shared" si="61"/>
        <v>0</v>
      </c>
    </row>
    <row r="734" spans="1:24">
      <c r="A734" t="s">
        <v>193</v>
      </c>
      <c r="B734">
        <v>4</v>
      </c>
      <c r="C734">
        <v>1</v>
      </c>
      <c r="D734">
        <v>94.700686947988217</v>
      </c>
      <c r="E734">
        <v>50</v>
      </c>
      <c r="F734">
        <v>95.816977428851814</v>
      </c>
      <c r="G734">
        <v>16.47448478900883</v>
      </c>
      <c r="H734">
        <v>5.6795878312070673</v>
      </c>
      <c r="I734">
        <v>0</v>
      </c>
      <c r="J734">
        <v>0</v>
      </c>
      <c r="K734">
        <v>1</v>
      </c>
      <c r="L734">
        <v>1</v>
      </c>
      <c r="M734">
        <v>0</v>
      </c>
      <c r="N734">
        <v>31</v>
      </c>
      <c r="O734">
        <v>95000</v>
      </c>
      <c r="P734">
        <v>1</v>
      </c>
      <c r="Q734">
        <v>1</v>
      </c>
      <c r="R734">
        <v>3</v>
      </c>
      <c r="S734">
        <v>3</v>
      </c>
      <c r="T734" s="123">
        <f t="shared" si="57"/>
        <v>0</v>
      </c>
      <c r="U734">
        <f t="shared" si="58"/>
        <v>0</v>
      </c>
      <c r="V734">
        <f t="shared" si="59"/>
        <v>0</v>
      </c>
      <c r="W734">
        <f t="shared" si="60"/>
        <v>0</v>
      </c>
      <c r="X734">
        <f t="shared" si="61"/>
        <v>0</v>
      </c>
    </row>
    <row r="735" spans="1:24">
      <c r="A735" t="s">
        <v>193</v>
      </c>
      <c r="B735">
        <v>5</v>
      </c>
      <c r="C735">
        <v>1</v>
      </c>
      <c r="D735">
        <v>50</v>
      </c>
      <c r="E735">
        <v>14.192836113837091</v>
      </c>
      <c r="F735">
        <v>38.321884200196273</v>
      </c>
      <c r="G735">
        <v>90.456329735034345</v>
      </c>
      <c r="H735">
        <v>38.321884200196273</v>
      </c>
      <c r="I735">
        <v>0</v>
      </c>
      <c r="J735">
        <v>0</v>
      </c>
      <c r="K735">
        <v>0</v>
      </c>
      <c r="L735">
        <v>1</v>
      </c>
      <c r="M735">
        <v>0</v>
      </c>
      <c r="N735">
        <v>31</v>
      </c>
      <c r="O735">
        <v>95000</v>
      </c>
      <c r="P735">
        <v>1</v>
      </c>
      <c r="Q735">
        <v>1</v>
      </c>
      <c r="R735">
        <v>3</v>
      </c>
      <c r="S735">
        <v>3</v>
      </c>
      <c r="T735" s="123">
        <f t="shared" si="57"/>
        <v>0</v>
      </c>
      <c r="U735">
        <f t="shared" si="58"/>
        <v>0</v>
      </c>
      <c r="V735">
        <f t="shared" si="59"/>
        <v>0</v>
      </c>
      <c r="W735">
        <f t="shared" si="60"/>
        <v>0</v>
      </c>
      <c r="X735">
        <f t="shared" si="61"/>
        <v>0</v>
      </c>
    </row>
    <row r="736" spans="1:24">
      <c r="A736" t="s">
        <v>193</v>
      </c>
      <c r="B736">
        <v>6</v>
      </c>
      <c r="C736">
        <v>1</v>
      </c>
      <c r="D736">
        <v>10.684494602551521</v>
      </c>
      <c r="E736">
        <v>50</v>
      </c>
      <c r="F736">
        <v>85.242885181550548</v>
      </c>
      <c r="G736">
        <v>5.7409224730127546</v>
      </c>
      <c r="H736">
        <v>5.2747791952894971</v>
      </c>
      <c r="I736">
        <v>0</v>
      </c>
      <c r="J736">
        <v>0</v>
      </c>
      <c r="K736">
        <v>0</v>
      </c>
      <c r="L736">
        <v>1</v>
      </c>
      <c r="M736">
        <v>0</v>
      </c>
      <c r="N736">
        <v>31</v>
      </c>
      <c r="O736">
        <v>95000</v>
      </c>
      <c r="P736">
        <v>1</v>
      </c>
      <c r="Q736">
        <v>1</v>
      </c>
      <c r="R736">
        <v>3</v>
      </c>
      <c r="S736">
        <v>3</v>
      </c>
      <c r="T736" s="123">
        <f t="shared" si="57"/>
        <v>0</v>
      </c>
      <c r="U736">
        <f t="shared" si="58"/>
        <v>0</v>
      </c>
      <c r="V736">
        <f t="shared" si="59"/>
        <v>0</v>
      </c>
      <c r="W736">
        <f t="shared" si="60"/>
        <v>0</v>
      </c>
      <c r="X736">
        <f t="shared" si="61"/>
        <v>0</v>
      </c>
    </row>
    <row r="737" spans="1:24">
      <c r="A737" t="s">
        <v>193</v>
      </c>
      <c r="B737">
        <v>7</v>
      </c>
      <c r="C737">
        <v>1</v>
      </c>
      <c r="D737">
        <v>6.3174681059862623</v>
      </c>
      <c r="E737">
        <v>7.7772325809617238</v>
      </c>
      <c r="F737">
        <v>3.31207065750736</v>
      </c>
      <c r="G737">
        <v>86.50637880274779</v>
      </c>
      <c r="H737">
        <v>2.1467124631992132</v>
      </c>
      <c r="I737">
        <v>0</v>
      </c>
      <c r="J737">
        <v>1</v>
      </c>
      <c r="K737">
        <v>0</v>
      </c>
      <c r="L737">
        <v>1</v>
      </c>
      <c r="M737">
        <v>0</v>
      </c>
      <c r="N737">
        <v>31</v>
      </c>
      <c r="O737">
        <v>95000</v>
      </c>
      <c r="P737">
        <v>1</v>
      </c>
      <c r="Q737">
        <v>1</v>
      </c>
      <c r="R737">
        <v>3</v>
      </c>
      <c r="S737">
        <v>3</v>
      </c>
      <c r="T737" s="123">
        <f t="shared" si="57"/>
        <v>0</v>
      </c>
      <c r="U737">
        <f t="shared" si="58"/>
        <v>0</v>
      </c>
      <c r="V737">
        <f t="shared" si="59"/>
        <v>0</v>
      </c>
      <c r="W737">
        <f t="shared" si="60"/>
        <v>0</v>
      </c>
      <c r="X737">
        <f t="shared" si="61"/>
        <v>0</v>
      </c>
    </row>
    <row r="738" spans="1:24" hidden="1">
      <c r="A738" t="s">
        <v>194</v>
      </c>
      <c r="B738">
        <v>1</v>
      </c>
      <c r="C738">
        <v>1</v>
      </c>
      <c r="D738">
        <v>0</v>
      </c>
      <c r="E738">
        <v>0</v>
      </c>
      <c r="F738">
        <v>0</v>
      </c>
      <c r="G738">
        <v>0</v>
      </c>
      <c r="H738">
        <v>0</v>
      </c>
      <c r="I738">
        <v>1</v>
      </c>
      <c r="J738">
        <v>0</v>
      </c>
      <c r="K738">
        <v>0</v>
      </c>
      <c r="L738">
        <v>1</v>
      </c>
      <c r="M738">
        <v>1</v>
      </c>
      <c r="N738">
        <v>24</v>
      </c>
      <c r="O738">
        <v>-99</v>
      </c>
      <c r="P738">
        <v>1</v>
      </c>
      <c r="Q738">
        <v>1</v>
      </c>
      <c r="R738">
        <v>3</v>
      </c>
      <c r="S738">
        <v>2</v>
      </c>
      <c r="T738" s="123">
        <f t="shared" si="57"/>
        <v>1</v>
      </c>
      <c r="U738">
        <f t="shared" si="58"/>
        <v>0</v>
      </c>
      <c r="V738">
        <f t="shared" si="59"/>
        <v>0</v>
      </c>
      <c r="W738">
        <f t="shared" si="60"/>
        <v>0</v>
      </c>
      <c r="X738">
        <f t="shared" si="61"/>
        <v>0</v>
      </c>
    </row>
    <row r="739" spans="1:24" hidden="1">
      <c r="A739" t="s">
        <v>194</v>
      </c>
      <c r="B739">
        <v>2</v>
      </c>
      <c r="C739">
        <v>1</v>
      </c>
      <c r="D739">
        <v>0</v>
      </c>
      <c r="E739">
        <v>0</v>
      </c>
      <c r="F739">
        <v>0</v>
      </c>
      <c r="G739">
        <v>0</v>
      </c>
      <c r="H739">
        <v>0.15387997362057429</v>
      </c>
      <c r="I739">
        <v>0</v>
      </c>
      <c r="J739">
        <v>0</v>
      </c>
      <c r="K739">
        <v>0</v>
      </c>
      <c r="L739">
        <v>1</v>
      </c>
      <c r="M739">
        <v>1</v>
      </c>
      <c r="N739">
        <v>24</v>
      </c>
      <c r="O739">
        <v>-99</v>
      </c>
      <c r="P739">
        <v>1</v>
      </c>
      <c r="Q739">
        <v>1</v>
      </c>
      <c r="R739">
        <v>3</v>
      </c>
      <c r="S739">
        <v>2</v>
      </c>
      <c r="T739" s="123">
        <f t="shared" si="57"/>
        <v>1</v>
      </c>
      <c r="U739">
        <f t="shared" si="58"/>
        <v>0</v>
      </c>
      <c r="V739">
        <f t="shared" si="59"/>
        <v>0</v>
      </c>
      <c r="W739">
        <f t="shared" si="60"/>
        <v>0</v>
      </c>
      <c r="X739">
        <f t="shared" si="61"/>
        <v>0</v>
      </c>
    </row>
    <row r="740" spans="1:24" hidden="1">
      <c r="A740" t="s">
        <v>194</v>
      </c>
      <c r="B740">
        <v>3</v>
      </c>
      <c r="C740">
        <v>1</v>
      </c>
      <c r="D740">
        <v>0</v>
      </c>
      <c r="E740">
        <v>0</v>
      </c>
      <c r="F740">
        <v>0</v>
      </c>
      <c r="G740">
        <v>2.4016267311497028</v>
      </c>
      <c r="H740">
        <v>0</v>
      </c>
      <c r="I740">
        <v>0</v>
      </c>
      <c r="J740">
        <v>0</v>
      </c>
      <c r="K740">
        <v>0</v>
      </c>
      <c r="L740">
        <v>1</v>
      </c>
      <c r="M740">
        <v>1</v>
      </c>
      <c r="N740">
        <v>24</v>
      </c>
      <c r="O740">
        <v>-99</v>
      </c>
      <c r="P740">
        <v>1</v>
      </c>
      <c r="Q740">
        <v>1</v>
      </c>
      <c r="R740">
        <v>3</v>
      </c>
      <c r="S740">
        <v>2</v>
      </c>
      <c r="T740" s="123">
        <f t="shared" si="57"/>
        <v>1</v>
      </c>
      <c r="U740">
        <f t="shared" si="58"/>
        <v>0</v>
      </c>
      <c r="V740">
        <f t="shared" si="59"/>
        <v>0</v>
      </c>
      <c r="W740">
        <f t="shared" si="60"/>
        <v>0</v>
      </c>
      <c r="X740">
        <f t="shared" si="61"/>
        <v>0</v>
      </c>
    </row>
    <row r="741" spans="1:24" hidden="1">
      <c r="A741" t="s">
        <v>194</v>
      </c>
      <c r="B741">
        <v>4</v>
      </c>
      <c r="C741">
        <v>1</v>
      </c>
      <c r="D741">
        <v>0</v>
      </c>
      <c r="E741">
        <v>0</v>
      </c>
      <c r="F741">
        <v>0</v>
      </c>
      <c r="G741">
        <v>7.5291272807210374</v>
      </c>
      <c r="H741">
        <v>0</v>
      </c>
      <c r="I741">
        <v>0</v>
      </c>
      <c r="J741">
        <v>0</v>
      </c>
      <c r="K741">
        <v>0</v>
      </c>
      <c r="L741">
        <v>1</v>
      </c>
      <c r="M741">
        <v>1</v>
      </c>
      <c r="N741">
        <v>24</v>
      </c>
      <c r="O741">
        <v>-99</v>
      </c>
      <c r="P741">
        <v>1</v>
      </c>
      <c r="Q741">
        <v>1</v>
      </c>
      <c r="R741">
        <v>3</v>
      </c>
      <c r="S741">
        <v>2</v>
      </c>
      <c r="T741" s="123">
        <f t="shared" si="57"/>
        <v>1</v>
      </c>
      <c r="U741">
        <f t="shared" si="58"/>
        <v>0</v>
      </c>
      <c r="V741">
        <f t="shared" si="59"/>
        <v>0</v>
      </c>
      <c r="W741">
        <f t="shared" si="60"/>
        <v>0</v>
      </c>
      <c r="X741">
        <f t="shared" si="61"/>
        <v>0</v>
      </c>
    </row>
    <row r="742" spans="1:24">
      <c r="A742" t="s">
        <v>194</v>
      </c>
      <c r="B742">
        <v>5</v>
      </c>
      <c r="C742">
        <v>1</v>
      </c>
      <c r="D742">
        <v>50</v>
      </c>
      <c r="E742">
        <v>41.148936170212771</v>
      </c>
      <c r="F742">
        <v>13.031914893617021</v>
      </c>
      <c r="G742">
        <v>85.872340425531917</v>
      </c>
      <c r="H742">
        <v>10.4468085106383</v>
      </c>
      <c r="I742">
        <v>0</v>
      </c>
      <c r="J742">
        <v>0</v>
      </c>
      <c r="K742">
        <v>0</v>
      </c>
      <c r="L742">
        <v>1</v>
      </c>
      <c r="M742">
        <v>1</v>
      </c>
      <c r="N742">
        <v>24</v>
      </c>
      <c r="O742">
        <v>-99</v>
      </c>
      <c r="P742">
        <v>1</v>
      </c>
      <c r="Q742">
        <v>1</v>
      </c>
      <c r="R742">
        <v>3</v>
      </c>
      <c r="S742">
        <v>2</v>
      </c>
      <c r="T742" s="123">
        <f t="shared" si="57"/>
        <v>0</v>
      </c>
      <c r="U742">
        <f t="shared" si="58"/>
        <v>0</v>
      </c>
      <c r="V742">
        <f t="shared" si="59"/>
        <v>0</v>
      </c>
      <c r="W742">
        <f t="shared" si="60"/>
        <v>0</v>
      </c>
      <c r="X742">
        <f t="shared" si="61"/>
        <v>0</v>
      </c>
    </row>
    <row r="743" spans="1:24">
      <c r="A743" t="s">
        <v>194</v>
      </c>
      <c r="B743">
        <v>6</v>
      </c>
      <c r="C743">
        <v>1</v>
      </c>
      <c r="D743">
        <v>32.212765957446813</v>
      </c>
      <c r="E743">
        <v>26.138297872340431</v>
      </c>
      <c r="F743">
        <v>7.904255319148934</v>
      </c>
      <c r="G743">
        <v>3.106382978723405</v>
      </c>
      <c r="H743">
        <v>3.1808510638297869</v>
      </c>
      <c r="I743">
        <v>0</v>
      </c>
      <c r="J743">
        <v>0</v>
      </c>
      <c r="K743">
        <v>0</v>
      </c>
      <c r="L743">
        <v>1</v>
      </c>
      <c r="M743">
        <v>1</v>
      </c>
      <c r="N743">
        <v>24</v>
      </c>
      <c r="O743">
        <v>-99</v>
      </c>
      <c r="P743">
        <v>1</v>
      </c>
      <c r="Q743">
        <v>1</v>
      </c>
      <c r="R743">
        <v>3</v>
      </c>
      <c r="S743">
        <v>2</v>
      </c>
      <c r="T743" s="123">
        <f t="shared" si="57"/>
        <v>0</v>
      </c>
      <c r="U743">
        <f t="shared" si="58"/>
        <v>0</v>
      </c>
      <c r="V743">
        <f t="shared" si="59"/>
        <v>0</v>
      </c>
      <c r="W743">
        <f t="shared" si="60"/>
        <v>0</v>
      </c>
      <c r="X743">
        <f t="shared" si="61"/>
        <v>0</v>
      </c>
    </row>
    <row r="744" spans="1:24">
      <c r="A744" t="s">
        <v>194</v>
      </c>
      <c r="B744">
        <v>7</v>
      </c>
      <c r="C744">
        <v>1</v>
      </c>
      <c r="D744">
        <v>19.648936170212771</v>
      </c>
      <c r="E744">
        <v>13.617021276595739</v>
      </c>
      <c r="F744">
        <v>7.3936170212765937</v>
      </c>
      <c r="G744">
        <v>85.957446808510639</v>
      </c>
      <c r="H744">
        <v>12.882978723404261</v>
      </c>
      <c r="I744">
        <v>0</v>
      </c>
      <c r="J744">
        <v>1</v>
      </c>
      <c r="K744">
        <v>0</v>
      </c>
      <c r="L744">
        <v>1</v>
      </c>
      <c r="M744">
        <v>1</v>
      </c>
      <c r="N744">
        <v>24</v>
      </c>
      <c r="O744">
        <v>-99</v>
      </c>
      <c r="P744">
        <v>1</v>
      </c>
      <c r="Q744">
        <v>1</v>
      </c>
      <c r="R744">
        <v>3</v>
      </c>
      <c r="S744">
        <v>2</v>
      </c>
      <c r="T744" s="123">
        <f t="shared" si="57"/>
        <v>0</v>
      </c>
      <c r="U744">
        <f t="shared" si="58"/>
        <v>0</v>
      </c>
      <c r="V744">
        <f t="shared" si="59"/>
        <v>0</v>
      </c>
      <c r="W744">
        <f t="shared" si="60"/>
        <v>0</v>
      </c>
      <c r="X744">
        <f t="shared" si="61"/>
        <v>0</v>
      </c>
    </row>
    <row r="745" spans="1:24">
      <c r="A745" t="s">
        <v>195</v>
      </c>
      <c r="B745">
        <v>1</v>
      </c>
      <c r="C745">
        <v>1</v>
      </c>
      <c r="D745">
        <v>95.86492890995261</v>
      </c>
      <c r="E745">
        <v>95.86492890995261</v>
      </c>
      <c r="F745">
        <v>86.374407582938389</v>
      </c>
      <c r="G745">
        <v>11.398104265402839</v>
      </c>
      <c r="H745">
        <v>5.6279620853080576</v>
      </c>
      <c r="I745">
        <v>1</v>
      </c>
      <c r="J745">
        <v>0</v>
      </c>
      <c r="K745">
        <v>1</v>
      </c>
      <c r="L745">
        <v>1</v>
      </c>
      <c r="M745">
        <v>0</v>
      </c>
      <c r="N745">
        <v>49</v>
      </c>
      <c r="O745">
        <v>80000</v>
      </c>
      <c r="P745">
        <v>2</v>
      </c>
      <c r="Q745">
        <v>4</v>
      </c>
      <c r="R745">
        <v>4</v>
      </c>
      <c r="S745">
        <v>3</v>
      </c>
      <c r="T745" s="123">
        <f t="shared" si="57"/>
        <v>0</v>
      </c>
      <c r="U745">
        <f t="shared" si="58"/>
        <v>0</v>
      </c>
      <c r="V745">
        <f t="shared" si="59"/>
        <v>1</v>
      </c>
      <c r="W745">
        <f t="shared" si="60"/>
        <v>1</v>
      </c>
      <c r="X745">
        <f t="shared" si="61"/>
        <v>0</v>
      </c>
    </row>
    <row r="746" spans="1:24">
      <c r="A746" t="s">
        <v>195</v>
      </c>
      <c r="B746">
        <v>2</v>
      </c>
      <c r="C746">
        <v>1</v>
      </c>
      <c r="D746">
        <v>91.96682464454976</v>
      </c>
      <c r="E746">
        <v>72.428909952606631</v>
      </c>
      <c r="F746">
        <v>95.201421800947855</v>
      </c>
      <c r="G746">
        <v>13.672985781990519</v>
      </c>
      <c r="H746">
        <v>7.5473933649289124</v>
      </c>
      <c r="I746">
        <v>0</v>
      </c>
      <c r="J746">
        <v>0</v>
      </c>
      <c r="K746">
        <v>1</v>
      </c>
      <c r="L746">
        <v>1</v>
      </c>
      <c r="M746">
        <v>0</v>
      </c>
      <c r="N746">
        <v>49</v>
      </c>
      <c r="O746">
        <v>80000</v>
      </c>
      <c r="P746">
        <v>2</v>
      </c>
      <c r="Q746">
        <v>4</v>
      </c>
      <c r="R746">
        <v>4</v>
      </c>
      <c r="S746">
        <v>3</v>
      </c>
      <c r="T746" s="123">
        <f t="shared" si="57"/>
        <v>0</v>
      </c>
      <c r="U746">
        <f t="shared" si="58"/>
        <v>0</v>
      </c>
      <c r="V746">
        <f t="shared" si="59"/>
        <v>1</v>
      </c>
      <c r="W746">
        <f t="shared" si="60"/>
        <v>1</v>
      </c>
      <c r="X746">
        <f t="shared" si="61"/>
        <v>0</v>
      </c>
    </row>
    <row r="747" spans="1:24" hidden="1">
      <c r="A747" t="s">
        <v>195</v>
      </c>
      <c r="B747">
        <v>3</v>
      </c>
      <c r="C747">
        <v>1</v>
      </c>
      <c r="D747">
        <v>10.4739336492891</v>
      </c>
      <c r="E747">
        <v>28.127962085308059</v>
      </c>
      <c r="F747">
        <v>6.4218009478672951</v>
      </c>
      <c r="G747">
        <v>8.2345971563981042</v>
      </c>
      <c r="H747">
        <v>6.3981042654028428</v>
      </c>
      <c r="I747">
        <v>0</v>
      </c>
      <c r="J747">
        <v>0</v>
      </c>
      <c r="K747">
        <v>0</v>
      </c>
      <c r="L747">
        <v>1</v>
      </c>
      <c r="M747">
        <v>0</v>
      </c>
      <c r="N747">
        <v>49</v>
      </c>
      <c r="O747">
        <v>80000</v>
      </c>
      <c r="P747">
        <v>2</v>
      </c>
      <c r="Q747">
        <v>4</v>
      </c>
      <c r="R747">
        <v>4</v>
      </c>
      <c r="S747">
        <v>3</v>
      </c>
      <c r="T747" s="123">
        <f t="shared" si="57"/>
        <v>1</v>
      </c>
      <c r="U747">
        <f t="shared" si="58"/>
        <v>0</v>
      </c>
      <c r="V747">
        <f t="shared" si="59"/>
        <v>1</v>
      </c>
      <c r="W747">
        <f t="shared" si="60"/>
        <v>1</v>
      </c>
      <c r="X747">
        <f t="shared" si="61"/>
        <v>0</v>
      </c>
    </row>
    <row r="748" spans="1:24" hidden="1">
      <c r="A748" t="s">
        <v>195</v>
      </c>
      <c r="B748">
        <v>4</v>
      </c>
      <c r="C748">
        <v>1</v>
      </c>
      <c r="D748">
        <v>0.79383886255924296</v>
      </c>
      <c r="E748">
        <v>4.8104265402843627</v>
      </c>
      <c r="F748">
        <v>5.9952606635071071</v>
      </c>
      <c r="G748">
        <v>0.27251184834123371</v>
      </c>
      <c r="H748">
        <v>0.26066350710900471</v>
      </c>
      <c r="I748">
        <v>0</v>
      </c>
      <c r="J748">
        <v>0</v>
      </c>
      <c r="K748">
        <v>0</v>
      </c>
      <c r="L748">
        <v>1</v>
      </c>
      <c r="M748">
        <v>0</v>
      </c>
      <c r="N748">
        <v>49</v>
      </c>
      <c r="O748">
        <v>80000</v>
      </c>
      <c r="P748">
        <v>2</v>
      </c>
      <c r="Q748">
        <v>4</v>
      </c>
      <c r="R748">
        <v>4</v>
      </c>
      <c r="S748">
        <v>3</v>
      </c>
      <c r="T748" s="123">
        <f t="shared" si="57"/>
        <v>1</v>
      </c>
      <c r="U748">
        <f t="shared" si="58"/>
        <v>0</v>
      </c>
      <c r="V748">
        <f t="shared" si="59"/>
        <v>1</v>
      </c>
      <c r="W748">
        <f t="shared" si="60"/>
        <v>1</v>
      </c>
      <c r="X748">
        <f t="shared" si="61"/>
        <v>0</v>
      </c>
    </row>
    <row r="749" spans="1:24" hidden="1">
      <c r="A749" t="s">
        <v>195</v>
      </c>
      <c r="B749">
        <v>5</v>
      </c>
      <c r="C749">
        <v>1</v>
      </c>
      <c r="D749">
        <v>0</v>
      </c>
      <c r="E749">
        <v>4.585308056872039</v>
      </c>
      <c r="F749">
        <v>2.9739336492891009</v>
      </c>
      <c r="G749">
        <v>0.36729857819905448</v>
      </c>
      <c r="H749">
        <v>1.3033175355450231</v>
      </c>
      <c r="I749">
        <v>0</v>
      </c>
      <c r="J749">
        <v>0</v>
      </c>
      <c r="K749">
        <v>0</v>
      </c>
      <c r="L749">
        <v>1</v>
      </c>
      <c r="M749">
        <v>0</v>
      </c>
      <c r="N749">
        <v>49</v>
      </c>
      <c r="O749">
        <v>80000</v>
      </c>
      <c r="P749">
        <v>2</v>
      </c>
      <c r="Q749">
        <v>4</v>
      </c>
      <c r="R749">
        <v>4</v>
      </c>
      <c r="S749">
        <v>3</v>
      </c>
      <c r="T749" s="123">
        <f t="shared" si="57"/>
        <v>1</v>
      </c>
      <c r="U749">
        <f t="shared" si="58"/>
        <v>0</v>
      </c>
      <c r="V749">
        <f t="shared" si="59"/>
        <v>1</v>
      </c>
      <c r="W749">
        <f t="shared" si="60"/>
        <v>1</v>
      </c>
      <c r="X749">
        <f t="shared" si="61"/>
        <v>0</v>
      </c>
    </row>
    <row r="750" spans="1:24">
      <c r="A750" t="s">
        <v>195</v>
      </c>
      <c r="B750">
        <v>6</v>
      </c>
      <c r="C750">
        <v>1</v>
      </c>
      <c r="D750">
        <v>7.0497630331753536</v>
      </c>
      <c r="E750">
        <v>9.0165876777251182</v>
      </c>
      <c r="F750">
        <v>10.485781990521319</v>
      </c>
      <c r="G750">
        <v>92.83175355450237</v>
      </c>
      <c r="H750">
        <v>50</v>
      </c>
      <c r="I750">
        <v>0</v>
      </c>
      <c r="J750">
        <v>0</v>
      </c>
      <c r="K750">
        <v>0</v>
      </c>
      <c r="L750">
        <v>1</v>
      </c>
      <c r="M750">
        <v>0</v>
      </c>
      <c r="N750">
        <v>49</v>
      </c>
      <c r="O750">
        <v>80000</v>
      </c>
      <c r="P750">
        <v>2</v>
      </c>
      <c r="Q750">
        <v>4</v>
      </c>
      <c r="R750">
        <v>4</v>
      </c>
      <c r="S750">
        <v>3</v>
      </c>
      <c r="T750" s="123">
        <f t="shared" si="57"/>
        <v>0</v>
      </c>
      <c r="U750">
        <f t="shared" si="58"/>
        <v>0</v>
      </c>
      <c r="V750">
        <f t="shared" si="59"/>
        <v>1</v>
      </c>
      <c r="W750">
        <f t="shared" si="60"/>
        <v>1</v>
      </c>
      <c r="X750">
        <f t="shared" si="61"/>
        <v>0</v>
      </c>
    </row>
    <row r="751" spans="1:24">
      <c r="A751" t="s">
        <v>195</v>
      </c>
      <c r="B751">
        <v>7</v>
      </c>
      <c r="C751">
        <v>1</v>
      </c>
      <c r="D751">
        <v>7.8909952606635079</v>
      </c>
      <c r="E751">
        <v>93.317535545023702</v>
      </c>
      <c r="F751">
        <v>5.9478672985781964</v>
      </c>
      <c r="G751">
        <v>86.007109004739334</v>
      </c>
      <c r="H751">
        <v>83.874407582938375</v>
      </c>
      <c r="I751">
        <v>0</v>
      </c>
      <c r="J751">
        <v>1</v>
      </c>
      <c r="K751">
        <v>0</v>
      </c>
      <c r="L751">
        <v>1</v>
      </c>
      <c r="M751">
        <v>0</v>
      </c>
      <c r="N751">
        <v>49</v>
      </c>
      <c r="O751">
        <v>80000</v>
      </c>
      <c r="P751">
        <v>2</v>
      </c>
      <c r="Q751">
        <v>4</v>
      </c>
      <c r="R751">
        <v>4</v>
      </c>
      <c r="S751">
        <v>3</v>
      </c>
      <c r="T751" s="123">
        <f t="shared" si="57"/>
        <v>0</v>
      </c>
      <c r="U751">
        <f t="shared" si="58"/>
        <v>0</v>
      </c>
      <c r="V751">
        <f t="shared" si="59"/>
        <v>1</v>
      </c>
      <c r="W751">
        <f t="shared" si="60"/>
        <v>1</v>
      </c>
      <c r="X751">
        <f t="shared" si="61"/>
        <v>0</v>
      </c>
    </row>
    <row r="752" spans="1:24">
      <c r="A752" t="s">
        <v>196</v>
      </c>
      <c r="B752">
        <v>1</v>
      </c>
      <c r="C752">
        <v>1</v>
      </c>
      <c r="D752">
        <v>21.488673139158571</v>
      </c>
      <c r="E752">
        <v>50</v>
      </c>
      <c r="F752">
        <v>15.54476806903992</v>
      </c>
      <c r="G752">
        <v>86.030204962243801</v>
      </c>
      <c r="H752">
        <v>21.37001078748651</v>
      </c>
      <c r="I752">
        <v>1</v>
      </c>
      <c r="J752">
        <v>0</v>
      </c>
      <c r="K752">
        <v>0</v>
      </c>
      <c r="L752">
        <v>1</v>
      </c>
      <c r="M752">
        <v>1</v>
      </c>
      <c r="N752">
        <v>18</v>
      </c>
      <c r="O752">
        <v>7000</v>
      </c>
      <c r="P752">
        <v>2</v>
      </c>
      <c r="Q752">
        <v>2</v>
      </c>
      <c r="R752">
        <v>4</v>
      </c>
      <c r="S752">
        <v>2</v>
      </c>
      <c r="T752" s="123">
        <f t="shared" si="57"/>
        <v>0</v>
      </c>
      <c r="U752">
        <f t="shared" si="58"/>
        <v>0</v>
      </c>
      <c r="V752">
        <f t="shared" si="59"/>
        <v>0</v>
      </c>
      <c r="W752">
        <f t="shared" si="60"/>
        <v>1</v>
      </c>
      <c r="X752">
        <f t="shared" si="61"/>
        <v>0</v>
      </c>
    </row>
    <row r="753" spans="1:24">
      <c r="A753" t="s">
        <v>196</v>
      </c>
      <c r="B753">
        <v>2</v>
      </c>
      <c r="C753">
        <v>1</v>
      </c>
      <c r="D753">
        <v>7.7346278317152128</v>
      </c>
      <c r="E753">
        <v>18.985976267529669</v>
      </c>
      <c r="F753">
        <v>12.39482200647249</v>
      </c>
      <c r="G753">
        <v>5.2750809061488653</v>
      </c>
      <c r="H753">
        <v>88.446601941747574</v>
      </c>
      <c r="I753">
        <v>0</v>
      </c>
      <c r="J753">
        <v>0</v>
      </c>
      <c r="K753">
        <v>0</v>
      </c>
      <c r="L753">
        <v>1</v>
      </c>
      <c r="M753">
        <v>1</v>
      </c>
      <c r="N753">
        <v>18</v>
      </c>
      <c r="O753">
        <v>7000</v>
      </c>
      <c r="P753">
        <v>2</v>
      </c>
      <c r="Q753">
        <v>2</v>
      </c>
      <c r="R753">
        <v>4</v>
      </c>
      <c r="S753">
        <v>2</v>
      </c>
      <c r="T753" s="123">
        <f t="shared" si="57"/>
        <v>0</v>
      </c>
      <c r="U753">
        <f t="shared" si="58"/>
        <v>0</v>
      </c>
      <c r="V753">
        <f t="shared" si="59"/>
        <v>0</v>
      </c>
      <c r="W753">
        <f t="shared" si="60"/>
        <v>1</v>
      </c>
      <c r="X753">
        <f t="shared" si="61"/>
        <v>0</v>
      </c>
    </row>
    <row r="754" spans="1:24" hidden="1">
      <c r="A754" t="s">
        <v>196</v>
      </c>
      <c r="B754">
        <v>3</v>
      </c>
      <c r="C754">
        <v>1</v>
      </c>
      <c r="D754">
        <v>4.4444444444444464</v>
      </c>
      <c r="E754">
        <v>11.87702265372168</v>
      </c>
      <c r="F754">
        <v>8.2955771305285868</v>
      </c>
      <c r="G754">
        <v>4.1100323624595481</v>
      </c>
      <c r="H754">
        <v>93.721682847896432</v>
      </c>
      <c r="I754">
        <v>0</v>
      </c>
      <c r="J754">
        <v>0</v>
      </c>
      <c r="K754">
        <v>0</v>
      </c>
      <c r="L754">
        <v>1</v>
      </c>
      <c r="M754">
        <v>1</v>
      </c>
      <c r="N754">
        <v>18</v>
      </c>
      <c r="O754">
        <v>7000</v>
      </c>
      <c r="P754">
        <v>2</v>
      </c>
      <c r="Q754">
        <v>2</v>
      </c>
      <c r="R754">
        <v>4</v>
      </c>
      <c r="S754">
        <v>2</v>
      </c>
      <c r="T754" s="123">
        <f t="shared" si="57"/>
        <v>1</v>
      </c>
      <c r="U754">
        <f t="shared" si="58"/>
        <v>0</v>
      </c>
      <c r="V754">
        <f t="shared" si="59"/>
        <v>0</v>
      </c>
      <c r="W754">
        <f t="shared" si="60"/>
        <v>1</v>
      </c>
      <c r="X754">
        <f t="shared" si="61"/>
        <v>0</v>
      </c>
    </row>
    <row r="755" spans="1:24" hidden="1">
      <c r="A755" t="s">
        <v>196</v>
      </c>
      <c r="B755">
        <v>4</v>
      </c>
      <c r="C755">
        <v>1</v>
      </c>
      <c r="D755">
        <v>3.8834951456310658</v>
      </c>
      <c r="E755">
        <v>19.190938511326859</v>
      </c>
      <c r="F755">
        <v>4.4336569579288003</v>
      </c>
      <c r="G755">
        <v>10.04314994606257</v>
      </c>
      <c r="H755">
        <v>96.5480043149946</v>
      </c>
      <c r="I755">
        <v>0</v>
      </c>
      <c r="J755">
        <v>0</v>
      </c>
      <c r="K755">
        <v>0</v>
      </c>
      <c r="L755">
        <v>1</v>
      </c>
      <c r="M755">
        <v>1</v>
      </c>
      <c r="N755">
        <v>18</v>
      </c>
      <c r="O755">
        <v>7000</v>
      </c>
      <c r="P755">
        <v>2</v>
      </c>
      <c r="Q755">
        <v>2</v>
      </c>
      <c r="R755">
        <v>4</v>
      </c>
      <c r="S755">
        <v>2</v>
      </c>
      <c r="T755" s="123">
        <f t="shared" si="57"/>
        <v>1</v>
      </c>
      <c r="U755">
        <f t="shared" si="58"/>
        <v>0</v>
      </c>
      <c r="V755">
        <f t="shared" si="59"/>
        <v>0</v>
      </c>
      <c r="W755">
        <f t="shared" si="60"/>
        <v>1</v>
      </c>
      <c r="X755">
        <f t="shared" si="61"/>
        <v>0</v>
      </c>
    </row>
    <row r="756" spans="1:24" hidden="1">
      <c r="A756" t="s">
        <v>196</v>
      </c>
      <c r="B756">
        <v>5</v>
      </c>
      <c r="C756">
        <v>1</v>
      </c>
      <c r="D756">
        <v>3.451995685005393</v>
      </c>
      <c r="E756">
        <v>13.21467098166127</v>
      </c>
      <c r="F756">
        <v>10.507011866235169</v>
      </c>
      <c r="G756">
        <v>5.7065803667745394</v>
      </c>
      <c r="H756">
        <v>89.16936353829557</v>
      </c>
      <c r="I756">
        <v>0</v>
      </c>
      <c r="J756">
        <v>0</v>
      </c>
      <c r="K756">
        <v>0</v>
      </c>
      <c r="L756">
        <v>1</v>
      </c>
      <c r="M756">
        <v>1</v>
      </c>
      <c r="N756">
        <v>18</v>
      </c>
      <c r="O756">
        <v>7000</v>
      </c>
      <c r="P756">
        <v>2</v>
      </c>
      <c r="Q756">
        <v>2</v>
      </c>
      <c r="R756">
        <v>4</v>
      </c>
      <c r="S756">
        <v>2</v>
      </c>
      <c r="T756" s="123">
        <f t="shared" si="57"/>
        <v>1</v>
      </c>
      <c r="U756">
        <f t="shared" si="58"/>
        <v>0</v>
      </c>
      <c r="V756">
        <f t="shared" si="59"/>
        <v>0</v>
      </c>
      <c r="W756">
        <f t="shared" si="60"/>
        <v>1</v>
      </c>
      <c r="X756">
        <f t="shared" si="61"/>
        <v>0</v>
      </c>
    </row>
    <row r="757" spans="1:24" hidden="1">
      <c r="A757" t="s">
        <v>196</v>
      </c>
      <c r="B757">
        <v>6</v>
      </c>
      <c r="C757">
        <v>1</v>
      </c>
      <c r="D757">
        <v>1.984897518878104</v>
      </c>
      <c r="E757">
        <v>0.9277238403452015</v>
      </c>
      <c r="F757">
        <v>2.8478964401294489</v>
      </c>
      <c r="G757">
        <v>1.2837108953613789</v>
      </c>
      <c r="H757">
        <v>11.68284789644013</v>
      </c>
      <c r="I757">
        <v>0</v>
      </c>
      <c r="J757">
        <v>0</v>
      </c>
      <c r="K757">
        <v>0</v>
      </c>
      <c r="L757">
        <v>1</v>
      </c>
      <c r="M757">
        <v>1</v>
      </c>
      <c r="N757">
        <v>18</v>
      </c>
      <c r="O757">
        <v>7000</v>
      </c>
      <c r="P757">
        <v>2</v>
      </c>
      <c r="Q757">
        <v>2</v>
      </c>
      <c r="R757">
        <v>4</v>
      </c>
      <c r="S757">
        <v>2</v>
      </c>
      <c r="T757" s="123">
        <f t="shared" si="57"/>
        <v>1</v>
      </c>
      <c r="U757">
        <f t="shared" si="58"/>
        <v>0</v>
      </c>
      <c r="V757">
        <f t="shared" si="59"/>
        <v>0</v>
      </c>
      <c r="W757">
        <f t="shared" si="60"/>
        <v>1</v>
      </c>
      <c r="X757">
        <f t="shared" si="61"/>
        <v>0</v>
      </c>
    </row>
    <row r="758" spans="1:24" hidden="1">
      <c r="A758" t="s">
        <v>196</v>
      </c>
      <c r="B758">
        <v>7</v>
      </c>
      <c r="C758">
        <v>1</v>
      </c>
      <c r="D758">
        <v>0.88457389428263089</v>
      </c>
      <c r="E758">
        <v>0.88457389428263089</v>
      </c>
      <c r="F758">
        <v>0</v>
      </c>
      <c r="G758">
        <v>0.72276159654800498</v>
      </c>
      <c r="H758">
        <v>6.9363538295577118</v>
      </c>
      <c r="I758">
        <v>0</v>
      </c>
      <c r="J758">
        <v>1</v>
      </c>
      <c r="K758">
        <v>0</v>
      </c>
      <c r="L758">
        <v>1</v>
      </c>
      <c r="M758">
        <v>1</v>
      </c>
      <c r="N758">
        <v>18</v>
      </c>
      <c r="O758">
        <v>7000</v>
      </c>
      <c r="P758">
        <v>2</v>
      </c>
      <c r="Q758">
        <v>2</v>
      </c>
      <c r="R758">
        <v>4</v>
      </c>
      <c r="S758">
        <v>2</v>
      </c>
      <c r="T758" s="123">
        <f t="shared" si="57"/>
        <v>1</v>
      </c>
      <c r="U758">
        <f t="shared" si="58"/>
        <v>0</v>
      </c>
      <c r="V758">
        <f t="shared" si="59"/>
        <v>0</v>
      </c>
      <c r="W758">
        <f t="shared" si="60"/>
        <v>1</v>
      </c>
      <c r="X758">
        <f t="shared" si="61"/>
        <v>0</v>
      </c>
    </row>
    <row r="759" spans="1:24" hidden="1">
      <c r="A759" t="s">
        <v>197</v>
      </c>
      <c r="B759">
        <v>1</v>
      </c>
      <c r="C759">
        <v>1</v>
      </c>
      <c r="D759">
        <v>0.1218611521418</v>
      </c>
      <c r="E759">
        <v>0.83456425406203683</v>
      </c>
      <c r="F759">
        <v>0.28434268833087423</v>
      </c>
      <c r="G759">
        <v>1.6248153618906971</v>
      </c>
      <c r="H759">
        <v>0.76440177252584673</v>
      </c>
      <c r="I759">
        <v>1</v>
      </c>
      <c r="J759">
        <v>0</v>
      </c>
      <c r="K759">
        <v>0</v>
      </c>
      <c r="L759">
        <v>1</v>
      </c>
      <c r="M759">
        <v>0</v>
      </c>
      <c r="N759">
        <v>43</v>
      </c>
      <c r="O759">
        <v>48000</v>
      </c>
      <c r="P759">
        <v>4</v>
      </c>
      <c r="Q759">
        <v>2</v>
      </c>
      <c r="R759">
        <v>5</v>
      </c>
      <c r="S759">
        <v>5</v>
      </c>
      <c r="T759" s="123">
        <f t="shared" si="57"/>
        <v>1</v>
      </c>
      <c r="U759">
        <f t="shared" si="58"/>
        <v>1</v>
      </c>
      <c r="V759">
        <f t="shared" si="59"/>
        <v>0</v>
      </c>
      <c r="W759">
        <f t="shared" si="60"/>
        <v>1</v>
      </c>
      <c r="X759">
        <f t="shared" si="61"/>
        <v>1</v>
      </c>
    </row>
    <row r="760" spans="1:24" hidden="1">
      <c r="A760" t="s">
        <v>197</v>
      </c>
      <c r="B760">
        <v>2</v>
      </c>
      <c r="C760">
        <v>1</v>
      </c>
      <c r="D760">
        <v>4.3353028064992642</v>
      </c>
      <c r="E760">
        <v>1.100443131462336</v>
      </c>
      <c r="F760">
        <v>0.50960118168389967</v>
      </c>
      <c r="G760">
        <v>1.3220088626292481</v>
      </c>
      <c r="H760">
        <v>0</v>
      </c>
      <c r="I760">
        <v>0</v>
      </c>
      <c r="J760">
        <v>0</v>
      </c>
      <c r="K760">
        <v>0</v>
      </c>
      <c r="L760">
        <v>1</v>
      </c>
      <c r="M760">
        <v>0</v>
      </c>
      <c r="N760">
        <v>43</v>
      </c>
      <c r="O760">
        <v>48000</v>
      </c>
      <c r="P760">
        <v>4</v>
      </c>
      <c r="Q760">
        <v>2</v>
      </c>
      <c r="R760">
        <v>5</v>
      </c>
      <c r="S760">
        <v>5</v>
      </c>
      <c r="T760" s="123">
        <f t="shared" si="57"/>
        <v>1</v>
      </c>
      <c r="U760">
        <f t="shared" si="58"/>
        <v>1</v>
      </c>
      <c r="V760">
        <f t="shared" si="59"/>
        <v>0</v>
      </c>
      <c r="W760">
        <f t="shared" si="60"/>
        <v>1</v>
      </c>
      <c r="X760">
        <f t="shared" si="61"/>
        <v>1</v>
      </c>
    </row>
    <row r="761" spans="1:24" hidden="1">
      <c r="A761" t="s">
        <v>197</v>
      </c>
      <c r="B761">
        <v>3</v>
      </c>
      <c r="C761">
        <v>1</v>
      </c>
      <c r="D761">
        <v>1.554652880354507</v>
      </c>
      <c r="E761">
        <v>2.1196454948301362</v>
      </c>
      <c r="F761">
        <v>1.7725258493353051</v>
      </c>
      <c r="G761">
        <v>2.3485967503692748</v>
      </c>
      <c r="H761">
        <v>5.5022156573116714</v>
      </c>
      <c r="I761">
        <v>0</v>
      </c>
      <c r="J761">
        <v>0</v>
      </c>
      <c r="K761">
        <v>0</v>
      </c>
      <c r="L761">
        <v>1</v>
      </c>
      <c r="M761">
        <v>0</v>
      </c>
      <c r="N761">
        <v>43</v>
      </c>
      <c r="O761">
        <v>48000</v>
      </c>
      <c r="P761">
        <v>4</v>
      </c>
      <c r="Q761">
        <v>2</v>
      </c>
      <c r="R761">
        <v>5</v>
      </c>
      <c r="S761">
        <v>5</v>
      </c>
      <c r="T761" s="123">
        <f t="shared" si="57"/>
        <v>1</v>
      </c>
      <c r="U761">
        <f t="shared" si="58"/>
        <v>1</v>
      </c>
      <c r="V761">
        <f t="shared" si="59"/>
        <v>0</v>
      </c>
      <c r="W761">
        <f t="shared" si="60"/>
        <v>1</v>
      </c>
      <c r="X761">
        <f t="shared" si="61"/>
        <v>1</v>
      </c>
    </row>
    <row r="762" spans="1:24">
      <c r="A762" t="s">
        <v>197</v>
      </c>
      <c r="B762">
        <v>4</v>
      </c>
      <c r="C762">
        <v>1</v>
      </c>
      <c r="D762">
        <v>42.924414392658782</v>
      </c>
      <c r="E762">
        <v>50</v>
      </c>
      <c r="F762">
        <v>14.77903887949771</v>
      </c>
      <c r="G762">
        <v>21.456170007244619</v>
      </c>
      <c r="H762">
        <v>24.716252113016179</v>
      </c>
      <c r="I762">
        <v>0</v>
      </c>
      <c r="J762">
        <v>0</v>
      </c>
      <c r="K762">
        <v>0</v>
      </c>
      <c r="L762">
        <v>1</v>
      </c>
      <c r="M762">
        <v>0</v>
      </c>
      <c r="N762">
        <v>43</v>
      </c>
      <c r="O762">
        <v>48000</v>
      </c>
      <c r="P762">
        <v>4</v>
      </c>
      <c r="Q762">
        <v>2</v>
      </c>
      <c r="R762">
        <v>5</v>
      </c>
      <c r="S762">
        <v>5</v>
      </c>
      <c r="T762" s="123">
        <f t="shared" si="57"/>
        <v>0</v>
      </c>
      <c r="U762">
        <f t="shared" si="58"/>
        <v>1</v>
      </c>
      <c r="V762">
        <f t="shared" si="59"/>
        <v>0</v>
      </c>
      <c r="W762">
        <f t="shared" si="60"/>
        <v>1</v>
      </c>
      <c r="X762">
        <f t="shared" si="61"/>
        <v>1</v>
      </c>
    </row>
    <row r="763" spans="1:24">
      <c r="A763" t="s">
        <v>197</v>
      </c>
      <c r="B763">
        <v>5</v>
      </c>
      <c r="C763">
        <v>1</v>
      </c>
      <c r="D763">
        <v>11.470659261048061</v>
      </c>
      <c r="E763">
        <v>7.0997343636802714</v>
      </c>
      <c r="F763">
        <v>4.0569910649601528</v>
      </c>
      <c r="G763">
        <v>18.679063028254049</v>
      </c>
      <c r="H763">
        <v>7.2204781453755142</v>
      </c>
      <c r="I763">
        <v>0</v>
      </c>
      <c r="J763">
        <v>0</v>
      </c>
      <c r="K763">
        <v>0</v>
      </c>
      <c r="L763">
        <v>1</v>
      </c>
      <c r="M763">
        <v>0</v>
      </c>
      <c r="N763">
        <v>43</v>
      </c>
      <c r="O763">
        <v>48000</v>
      </c>
      <c r="P763">
        <v>4</v>
      </c>
      <c r="Q763">
        <v>2</v>
      </c>
      <c r="R763">
        <v>5</v>
      </c>
      <c r="S763">
        <v>5</v>
      </c>
      <c r="T763" s="123">
        <f t="shared" si="57"/>
        <v>0</v>
      </c>
      <c r="U763">
        <f t="shared" si="58"/>
        <v>1</v>
      </c>
      <c r="V763">
        <f t="shared" si="59"/>
        <v>0</v>
      </c>
      <c r="W763">
        <f t="shared" si="60"/>
        <v>1</v>
      </c>
      <c r="X763">
        <f t="shared" si="61"/>
        <v>1</v>
      </c>
    </row>
    <row r="764" spans="1:24" hidden="1">
      <c r="A764" t="s">
        <v>197</v>
      </c>
      <c r="B764">
        <v>6</v>
      </c>
      <c r="C764">
        <v>1</v>
      </c>
      <c r="D764">
        <v>1.6421154310553021</v>
      </c>
      <c r="E764">
        <v>2.5476937937696231</v>
      </c>
      <c r="F764">
        <v>10.480560251147059</v>
      </c>
      <c r="G764">
        <v>9.5629075102632193</v>
      </c>
      <c r="H764">
        <v>1.6421154310553021</v>
      </c>
      <c r="I764">
        <v>0</v>
      </c>
      <c r="J764">
        <v>0</v>
      </c>
      <c r="K764">
        <v>0</v>
      </c>
      <c r="L764">
        <v>1</v>
      </c>
      <c r="M764">
        <v>0</v>
      </c>
      <c r="N764">
        <v>43</v>
      </c>
      <c r="O764">
        <v>48000</v>
      </c>
      <c r="P764">
        <v>4</v>
      </c>
      <c r="Q764">
        <v>2</v>
      </c>
      <c r="R764">
        <v>5</v>
      </c>
      <c r="S764">
        <v>5</v>
      </c>
      <c r="T764" s="123">
        <f t="shared" si="57"/>
        <v>1</v>
      </c>
      <c r="U764">
        <f t="shared" si="58"/>
        <v>1</v>
      </c>
      <c r="V764">
        <f t="shared" si="59"/>
        <v>0</v>
      </c>
      <c r="W764">
        <f t="shared" si="60"/>
        <v>1</v>
      </c>
      <c r="X764">
        <f t="shared" si="61"/>
        <v>1</v>
      </c>
    </row>
    <row r="765" spans="1:24" hidden="1">
      <c r="A765" t="s">
        <v>197</v>
      </c>
      <c r="B765">
        <v>7</v>
      </c>
      <c r="C765">
        <v>1</v>
      </c>
      <c r="D765">
        <v>8.5124366095146122</v>
      </c>
      <c r="E765">
        <v>0.78483458101907821</v>
      </c>
      <c r="F765">
        <v>16.04684858729776</v>
      </c>
      <c r="G765">
        <v>4.5158174354020746</v>
      </c>
      <c r="H765">
        <v>3.8275778797391919</v>
      </c>
      <c r="I765">
        <v>0</v>
      </c>
      <c r="J765">
        <v>1</v>
      </c>
      <c r="K765">
        <v>0</v>
      </c>
      <c r="L765">
        <v>1</v>
      </c>
      <c r="M765">
        <v>0</v>
      </c>
      <c r="N765">
        <v>43</v>
      </c>
      <c r="O765">
        <v>48000</v>
      </c>
      <c r="P765">
        <v>4</v>
      </c>
      <c r="Q765">
        <v>2</v>
      </c>
      <c r="R765">
        <v>5</v>
      </c>
      <c r="S765">
        <v>5</v>
      </c>
      <c r="T765" s="123">
        <f t="shared" si="57"/>
        <v>1</v>
      </c>
      <c r="U765">
        <f t="shared" si="58"/>
        <v>1</v>
      </c>
      <c r="V765">
        <f t="shared" si="59"/>
        <v>0</v>
      </c>
      <c r="W765">
        <f t="shared" si="60"/>
        <v>1</v>
      </c>
      <c r="X765">
        <f t="shared" si="61"/>
        <v>1</v>
      </c>
    </row>
    <row r="766" spans="1:24">
      <c r="A766" t="s">
        <v>198</v>
      </c>
      <c r="B766">
        <v>1</v>
      </c>
      <c r="C766">
        <v>1</v>
      </c>
      <c r="D766">
        <v>13.123359580052499</v>
      </c>
      <c r="E766">
        <v>28.775948460987831</v>
      </c>
      <c r="F766">
        <v>50</v>
      </c>
      <c r="G766">
        <v>8.3631591505607279</v>
      </c>
      <c r="H766">
        <v>22.679551419708901</v>
      </c>
      <c r="I766">
        <v>1</v>
      </c>
      <c r="J766">
        <v>0</v>
      </c>
      <c r="K766">
        <v>0</v>
      </c>
      <c r="L766">
        <v>1</v>
      </c>
      <c r="M766">
        <v>1</v>
      </c>
      <c r="N766">
        <v>58</v>
      </c>
      <c r="O766">
        <v>-99</v>
      </c>
      <c r="P766">
        <v>1</v>
      </c>
      <c r="Q766">
        <v>1</v>
      </c>
      <c r="R766">
        <v>3</v>
      </c>
      <c r="S766">
        <v>3</v>
      </c>
      <c r="T766" s="123">
        <f t="shared" si="57"/>
        <v>0</v>
      </c>
      <c r="U766">
        <f t="shared" si="58"/>
        <v>0</v>
      </c>
      <c r="V766">
        <f t="shared" si="59"/>
        <v>0</v>
      </c>
      <c r="W766">
        <f t="shared" si="60"/>
        <v>0</v>
      </c>
      <c r="X766">
        <f t="shared" si="61"/>
        <v>0</v>
      </c>
    </row>
    <row r="767" spans="1:24" hidden="1">
      <c r="A767" t="s">
        <v>198</v>
      </c>
      <c r="B767">
        <v>2</v>
      </c>
      <c r="C767">
        <v>1</v>
      </c>
      <c r="D767">
        <v>2.278692436172753</v>
      </c>
      <c r="E767">
        <v>3.6029587210689549</v>
      </c>
      <c r="F767">
        <v>11.94225721784777</v>
      </c>
      <c r="G767">
        <v>5.4879503698401333</v>
      </c>
      <c r="H767">
        <v>2.159389167263182</v>
      </c>
      <c r="I767">
        <v>0</v>
      </c>
      <c r="J767">
        <v>0</v>
      </c>
      <c r="K767">
        <v>0</v>
      </c>
      <c r="L767">
        <v>1</v>
      </c>
      <c r="M767">
        <v>1</v>
      </c>
      <c r="N767">
        <v>58</v>
      </c>
      <c r="O767">
        <v>-99</v>
      </c>
      <c r="P767">
        <v>1</v>
      </c>
      <c r="Q767">
        <v>1</v>
      </c>
      <c r="R767">
        <v>3</v>
      </c>
      <c r="S767">
        <v>3</v>
      </c>
      <c r="T767" s="123">
        <f t="shared" si="57"/>
        <v>1</v>
      </c>
      <c r="U767">
        <f t="shared" si="58"/>
        <v>0</v>
      </c>
      <c r="V767">
        <f t="shared" si="59"/>
        <v>0</v>
      </c>
      <c r="W767">
        <f t="shared" si="60"/>
        <v>0</v>
      </c>
      <c r="X767">
        <f t="shared" si="61"/>
        <v>0</v>
      </c>
    </row>
    <row r="768" spans="1:24" hidden="1">
      <c r="A768" t="s">
        <v>198</v>
      </c>
      <c r="B768">
        <v>3</v>
      </c>
      <c r="C768">
        <v>1</v>
      </c>
      <c r="D768">
        <v>1.193032689095763E-2</v>
      </c>
      <c r="E768">
        <v>0.3937007874015741</v>
      </c>
      <c r="F768">
        <v>1.395848246241949</v>
      </c>
      <c r="G768">
        <v>8.7210689572894289</v>
      </c>
      <c r="H768">
        <v>1.395848246241949</v>
      </c>
      <c r="I768">
        <v>0</v>
      </c>
      <c r="J768">
        <v>0</v>
      </c>
      <c r="K768">
        <v>0</v>
      </c>
      <c r="L768">
        <v>1</v>
      </c>
      <c r="M768">
        <v>1</v>
      </c>
      <c r="N768">
        <v>58</v>
      </c>
      <c r="O768">
        <v>-99</v>
      </c>
      <c r="P768">
        <v>1</v>
      </c>
      <c r="Q768">
        <v>1</v>
      </c>
      <c r="R768">
        <v>3</v>
      </c>
      <c r="S768">
        <v>3</v>
      </c>
      <c r="T768" s="123">
        <f t="shared" si="57"/>
        <v>1</v>
      </c>
      <c r="U768">
        <f t="shared" si="58"/>
        <v>0</v>
      </c>
      <c r="V768">
        <f t="shared" si="59"/>
        <v>0</v>
      </c>
      <c r="W768">
        <f t="shared" si="60"/>
        <v>0</v>
      </c>
      <c r="X768">
        <f t="shared" si="61"/>
        <v>0</v>
      </c>
    </row>
    <row r="769" spans="1:24" hidden="1">
      <c r="A769" t="s">
        <v>198</v>
      </c>
      <c r="B769">
        <v>4</v>
      </c>
      <c r="C769">
        <v>1</v>
      </c>
      <c r="D769">
        <v>2.5769506084466709</v>
      </c>
      <c r="E769">
        <v>0</v>
      </c>
      <c r="F769">
        <v>8.9835361488904812</v>
      </c>
      <c r="G769">
        <v>2.684323550465284</v>
      </c>
      <c r="H769">
        <v>1.0856597470770719</v>
      </c>
      <c r="I769">
        <v>0</v>
      </c>
      <c r="J769">
        <v>0</v>
      </c>
      <c r="K769">
        <v>0</v>
      </c>
      <c r="L769">
        <v>1</v>
      </c>
      <c r="M769">
        <v>1</v>
      </c>
      <c r="N769">
        <v>58</v>
      </c>
      <c r="O769">
        <v>-99</v>
      </c>
      <c r="P769">
        <v>1</v>
      </c>
      <c r="Q769">
        <v>1</v>
      </c>
      <c r="R769">
        <v>3</v>
      </c>
      <c r="S769">
        <v>3</v>
      </c>
      <c r="T769" s="123">
        <f t="shared" si="57"/>
        <v>1</v>
      </c>
      <c r="U769">
        <f t="shared" si="58"/>
        <v>0</v>
      </c>
      <c r="V769">
        <f t="shared" si="59"/>
        <v>0</v>
      </c>
      <c r="W769">
        <f t="shared" si="60"/>
        <v>0</v>
      </c>
      <c r="X769">
        <f t="shared" si="61"/>
        <v>0</v>
      </c>
    </row>
    <row r="770" spans="1:24" hidden="1">
      <c r="A770" t="s">
        <v>198</v>
      </c>
      <c r="B770">
        <v>5</v>
      </c>
      <c r="C770">
        <v>1</v>
      </c>
      <c r="D770">
        <v>2.684323550465284</v>
      </c>
      <c r="E770">
        <v>2.5888809353376279</v>
      </c>
      <c r="F770">
        <v>2.3979957050823182</v>
      </c>
      <c r="G770">
        <v>7.1343354807921759</v>
      </c>
      <c r="H770">
        <v>2.636602242901454</v>
      </c>
      <c r="I770">
        <v>0</v>
      </c>
      <c r="J770">
        <v>0</v>
      </c>
      <c r="K770">
        <v>0</v>
      </c>
      <c r="L770">
        <v>1</v>
      </c>
      <c r="M770">
        <v>1</v>
      </c>
      <c r="N770">
        <v>58</v>
      </c>
      <c r="O770">
        <v>-99</v>
      </c>
      <c r="P770">
        <v>1</v>
      </c>
      <c r="Q770">
        <v>1</v>
      </c>
      <c r="R770">
        <v>3</v>
      </c>
      <c r="S770">
        <v>3</v>
      </c>
      <c r="T770" s="123">
        <f t="shared" si="57"/>
        <v>1</v>
      </c>
      <c r="U770">
        <f t="shared" si="58"/>
        <v>0</v>
      </c>
      <c r="V770">
        <f t="shared" si="59"/>
        <v>0</v>
      </c>
      <c r="W770">
        <f t="shared" si="60"/>
        <v>0</v>
      </c>
      <c r="X770">
        <f t="shared" si="61"/>
        <v>0</v>
      </c>
    </row>
    <row r="771" spans="1:24" hidden="1">
      <c r="A771" t="s">
        <v>198</v>
      </c>
      <c r="B771">
        <v>6</v>
      </c>
      <c r="C771">
        <v>1</v>
      </c>
      <c r="D771">
        <v>2.5888809353376279</v>
      </c>
      <c r="E771">
        <v>2.5530899546647561</v>
      </c>
      <c r="F771">
        <v>2.493438320209973</v>
      </c>
      <c r="G771">
        <v>2.612741589119544</v>
      </c>
      <c r="H771">
        <v>2.696253877356241</v>
      </c>
      <c r="I771">
        <v>0</v>
      </c>
      <c r="J771">
        <v>0</v>
      </c>
      <c r="K771">
        <v>0</v>
      </c>
      <c r="L771">
        <v>1</v>
      </c>
      <c r="M771">
        <v>1</v>
      </c>
      <c r="N771">
        <v>58</v>
      </c>
      <c r="O771">
        <v>-99</v>
      </c>
      <c r="P771">
        <v>1</v>
      </c>
      <c r="Q771">
        <v>1</v>
      </c>
      <c r="R771">
        <v>3</v>
      </c>
      <c r="S771">
        <v>3</v>
      </c>
      <c r="T771" s="123">
        <f t="shared" si="57"/>
        <v>1</v>
      </c>
      <c r="U771">
        <f t="shared" si="58"/>
        <v>0</v>
      </c>
      <c r="V771">
        <f t="shared" si="59"/>
        <v>0</v>
      </c>
      <c r="W771">
        <f t="shared" si="60"/>
        <v>0</v>
      </c>
      <c r="X771">
        <f t="shared" si="61"/>
        <v>0</v>
      </c>
    </row>
    <row r="772" spans="1:24" hidden="1">
      <c r="A772" t="s">
        <v>198</v>
      </c>
      <c r="B772">
        <v>7</v>
      </c>
      <c r="C772">
        <v>1</v>
      </c>
      <c r="D772">
        <v>13.254593175853021</v>
      </c>
      <c r="E772">
        <v>9.9141016463851095</v>
      </c>
      <c r="F772">
        <v>20.55595323311859</v>
      </c>
      <c r="G772">
        <v>15.139584824624199</v>
      </c>
      <c r="H772">
        <v>13.839179193509899</v>
      </c>
      <c r="I772">
        <v>0</v>
      </c>
      <c r="J772">
        <v>1</v>
      </c>
      <c r="K772">
        <v>0</v>
      </c>
      <c r="L772">
        <v>1</v>
      </c>
      <c r="M772">
        <v>1</v>
      </c>
      <c r="N772">
        <v>58</v>
      </c>
      <c r="O772">
        <v>-99</v>
      </c>
      <c r="P772">
        <v>1</v>
      </c>
      <c r="Q772">
        <v>1</v>
      </c>
      <c r="R772">
        <v>3</v>
      </c>
      <c r="S772">
        <v>3</v>
      </c>
      <c r="T772" s="123">
        <f t="shared" ref="T772:T835" si="62">IF(OR(IF(AVERAGE(E772:F772)-G772&gt;(10),1,0),IF(AVERAGE(E772:F772)-G772&lt;(-10),1,0)),0,1)</f>
        <v>1</v>
      </c>
      <c r="U772">
        <f t="shared" ref="U772:U835" si="63">IF(P772&gt;3,1,0)</f>
        <v>0</v>
      </c>
      <c r="V772">
        <f t="shared" ref="V772:V835" si="64">IF(Q772&gt;3,1,0)</f>
        <v>0</v>
      </c>
      <c r="W772">
        <f t="shared" ref="W772:W835" si="65">IF(R772&gt;3,1,0)</f>
        <v>0</v>
      </c>
      <c r="X772">
        <f t="shared" ref="X772:X835" si="66">IF(S772&gt;3,1,0)</f>
        <v>0</v>
      </c>
    </row>
    <row r="773" spans="1:24">
      <c r="A773" t="s">
        <v>199</v>
      </c>
      <c r="B773">
        <v>1</v>
      </c>
      <c r="C773">
        <v>1</v>
      </c>
      <c r="D773">
        <v>93.442037610092825</v>
      </c>
      <c r="E773">
        <v>92.037610092835038</v>
      </c>
      <c r="F773">
        <v>93.632468459890504</v>
      </c>
      <c r="G773">
        <v>17.86479409664366</v>
      </c>
      <c r="H773">
        <v>50</v>
      </c>
      <c r="I773">
        <v>1</v>
      </c>
      <c r="J773">
        <v>0</v>
      </c>
      <c r="K773">
        <v>1</v>
      </c>
      <c r="L773">
        <v>1</v>
      </c>
      <c r="M773">
        <v>0</v>
      </c>
      <c r="N773">
        <v>30</v>
      </c>
      <c r="O773">
        <v>9000</v>
      </c>
      <c r="P773">
        <v>2</v>
      </c>
      <c r="Q773">
        <v>4</v>
      </c>
      <c r="R773">
        <v>5</v>
      </c>
      <c r="S773">
        <v>5</v>
      </c>
      <c r="T773" s="123">
        <f t="shared" si="62"/>
        <v>0</v>
      </c>
      <c r="U773">
        <f t="shared" si="63"/>
        <v>0</v>
      </c>
      <c r="V773">
        <f t="shared" si="64"/>
        <v>1</v>
      </c>
      <c r="W773">
        <f t="shared" si="65"/>
        <v>1</v>
      </c>
      <c r="X773">
        <f t="shared" si="66"/>
        <v>1</v>
      </c>
    </row>
    <row r="774" spans="1:24">
      <c r="A774" t="s">
        <v>199</v>
      </c>
      <c r="B774">
        <v>2</v>
      </c>
      <c r="C774">
        <v>1</v>
      </c>
      <c r="D774">
        <v>97.02451797191145</v>
      </c>
      <c r="E774">
        <v>97.405379671506793</v>
      </c>
      <c r="F774">
        <v>95.631992382766001</v>
      </c>
      <c r="G774">
        <v>15.31778148059986</v>
      </c>
      <c r="H774">
        <v>16.710307069745301</v>
      </c>
      <c r="I774">
        <v>0</v>
      </c>
      <c r="J774">
        <v>0</v>
      </c>
      <c r="K774">
        <v>1</v>
      </c>
      <c r="L774">
        <v>1</v>
      </c>
      <c r="M774">
        <v>0</v>
      </c>
      <c r="N774">
        <v>30</v>
      </c>
      <c r="O774">
        <v>9000</v>
      </c>
      <c r="P774">
        <v>2</v>
      </c>
      <c r="Q774">
        <v>4</v>
      </c>
      <c r="R774">
        <v>5</v>
      </c>
      <c r="S774">
        <v>5</v>
      </c>
      <c r="T774" s="123">
        <f t="shared" si="62"/>
        <v>0</v>
      </c>
      <c r="U774">
        <f t="shared" si="63"/>
        <v>0</v>
      </c>
      <c r="V774">
        <f t="shared" si="64"/>
        <v>1</v>
      </c>
      <c r="W774">
        <f t="shared" si="65"/>
        <v>1</v>
      </c>
      <c r="X774">
        <f t="shared" si="66"/>
        <v>1</v>
      </c>
    </row>
    <row r="775" spans="1:24" hidden="1">
      <c r="A775" t="s">
        <v>199</v>
      </c>
      <c r="B775">
        <v>3</v>
      </c>
      <c r="C775">
        <v>1</v>
      </c>
      <c r="D775">
        <v>95.822423232563665</v>
      </c>
      <c r="E775">
        <v>99.60723637229232</v>
      </c>
      <c r="F775">
        <v>82.099500119019268</v>
      </c>
      <c r="G775">
        <v>100</v>
      </c>
      <c r="H775">
        <v>95.822423232563665</v>
      </c>
      <c r="I775">
        <v>0</v>
      </c>
      <c r="J775">
        <v>0</v>
      </c>
      <c r="K775">
        <v>1</v>
      </c>
      <c r="L775">
        <v>1</v>
      </c>
      <c r="M775">
        <v>0</v>
      </c>
      <c r="N775">
        <v>30</v>
      </c>
      <c r="O775">
        <v>9000</v>
      </c>
      <c r="P775">
        <v>2</v>
      </c>
      <c r="Q775">
        <v>4</v>
      </c>
      <c r="R775">
        <v>5</v>
      </c>
      <c r="S775">
        <v>5</v>
      </c>
      <c r="T775" s="123">
        <f t="shared" si="62"/>
        <v>1</v>
      </c>
      <c r="U775">
        <f t="shared" si="63"/>
        <v>0</v>
      </c>
      <c r="V775">
        <f t="shared" si="64"/>
        <v>1</v>
      </c>
      <c r="W775">
        <f t="shared" si="65"/>
        <v>1</v>
      </c>
      <c r="X775">
        <f t="shared" si="66"/>
        <v>1</v>
      </c>
    </row>
    <row r="776" spans="1:24">
      <c r="A776" t="s">
        <v>199</v>
      </c>
      <c r="B776">
        <v>4</v>
      </c>
      <c r="C776">
        <v>1</v>
      </c>
      <c r="D776">
        <v>93.846703165912885</v>
      </c>
      <c r="E776">
        <v>94.882170911687695</v>
      </c>
      <c r="F776">
        <v>84.289454891692444</v>
      </c>
      <c r="G776">
        <v>7.153058795524875</v>
      </c>
      <c r="H776">
        <v>12.52082837419662</v>
      </c>
      <c r="I776">
        <v>0</v>
      </c>
      <c r="J776">
        <v>0</v>
      </c>
      <c r="K776">
        <v>1</v>
      </c>
      <c r="L776">
        <v>1</v>
      </c>
      <c r="M776">
        <v>0</v>
      </c>
      <c r="N776">
        <v>30</v>
      </c>
      <c r="O776">
        <v>9000</v>
      </c>
      <c r="P776">
        <v>2</v>
      </c>
      <c r="Q776">
        <v>4</v>
      </c>
      <c r="R776">
        <v>5</v>
      </c>
      <c r="S776">
        <v>5</v>
      </c>
      <c r="T776" s="123">
        <f t="shared" si="62"/>
        <v>0</v>
      </c>
      <c r="U776">
        <f t="shared" si="63"/>
        <v>0</v>
      </c>
      <c r="V776">
        <f t="shared" si="64"/>
        <v>1</v>
      </c>
      <c r="W776">
        <f t="shared" si="65"/>
        <v>1</v>
      </c>
      <c r="X776">
        <f t="shared" si="66"/>
        <v>1</v>
      </c>
    </row>
    <row r="777" spans="1:24" hidden="1">
      <c r="A777" t="s">
        <v>199</v>
      </c>
      <c r="B777">
        <v>5</v>
      </c>
      <c r="C777">
        <v>1</v>
      </c>
      <c r="D777">
        <v>19.769102594620321</v>
      </c>
      <c r="E777">
        <v>10.3427755296358</v>
      </c>
      <c r="F777">
        <v>7.153058795524875</v>
      </c>
      <c r="G777">
        <v>3.9752439895262999</v>
      </c>
      <c r="H777">
        <v>9.1525827184003816</v>
      </c>
      <c r="I777">
        <v>0</v>
      </c>
      <c r="J777">
        <v>0</v>
      </c>
      <c r="K777">
        <v>0</v>
      </c>
      <c r="L777">
        <v>1</v>
      </c>
      <c r="M777">
        <v>0</v>
      </c>
      <c r="N777">
        <v>30</v>
      </c>
      <c r="O777">
        <v>9000</v>
      </c>
      <c r="P777">
        <v>2</v>
      </c>
      <c r="Q777">
        <v>4</v>
      </c>
      <c r="R777">
        <v>5</v>
      </c>
      <c r="S777">
        <v>5</v>
      </c>
      <c r="T777" s="123">
        <f t="shared" si="62"/>
        <v>1</v>
      </c>
      <c r="U777">
        <f t="shared" si="63"/>
        <v>0</v>
      </c>
      <c r="V777">
        <f t="shared" si="64"/>
        <v>1</v>
      </c>
      <c r="W777">
        <f t="shared" si="65"/>
        <v>1</v>
      </c>
      <c r="X777">
        <f t="shared" si="66"/>
        <v>1</v>
      </c>
    </row>
    <row r="778" spans="1:24">
      <c r="A778" t="s">
        <v>199</v>
      </c>
      <c r="B778">
        <v>6</v>
      </c>
      <c r="C778">
        <v>1</v>
      </c>
      <c r="D778">
        <v>10.545108307545821</v>
      </c>
      <c r="E778">
        <v>11.747203046893601</v>
      </c>
      <c r="F778">
        <v>7.5577243513449188</v>
      </c>
      <c r="G778">
        <v>91.644846465127344</v>
      </c>
      <c r="H778">
        <v>93.442037610092825</v>
      </c>
      <c r="I778">
        <v>0</v>
      </c>
      <c r="J778">
        <v>0</v>
      </c>
      <c r="K778">
        <v>0</v>
      </c>
      <c r="L778">
        <v>1</v>
      </c>
      <c r="M778">
        <v>0</v>
      </c>
      <c r="N778">
        <v>30</v>
      </c>
      <c r="O778">
        <v>9000</v>
      </c>
      <c r="P778">
        <v>2</v>
      </c>
      <c r="Q778">
        <v>4</v>
      </c>
      <c r="R778">
        <v>5</v>
      </c>
      <c r="S778">
        <v>5</v>
      </c>
      <c r="T778" s="123">
        <f t="shared" si="62"/>
        <v>0</v>
      </c>
      <c r="U778">
        <f t="shared" si="63"/>
        <v>0</v>
      </c>
      <c r="V778">
        <f t="shared" si="64"/>
        <v>1</v>
      </c>
      <c r="W778">
        <f t="shared" si="65"/>
        <v>1</v>
      </c>
      <c r="X778">
        <f t="shared" si="66"/>
        <v>1</v>
      </c>
    </row>
    <row r="779" spans="1:24">
      <c r="A779" t="s">
        <v>199</v>
      </c>
      <c r="B779">
        <v>7</v>
      </c>
      <c r="C779">
        <v>1</v>
      </c>
      <c r="D779">
        <v>91.466317543442031</v>
      </c>
      <c r="E779">
        <v>95.810521304451328</v>
      </c>
      <c r="F779">
        <v>21.482980242799329</v>
      </c>
      <c r="G779">
        <v>8.7598190906926945</v>
      </c>
      <c r="H779">
        <v>6.1532968340871239</v>
      </c>
      <c r="I779">
        <v>0</v>
      </c>
      <c r="J779">
        <v>1</v>
      </c>
      <c r="K779">
        <v>1</v>
      </c>
      <c r="L779">
        <v>1</v>
      </c>
      <c r="M779">
        <v>0</v>
      </c>
      <c r="N779">
        <v>30</v>
      </c>
      <c r="O779">
        <v>9000</v>
      </c>
      <c r="P779">
        <v>2</v>
      </c>
      <c r="Q779">
        <v>4</v>
      </c>
      <c r="R779">
        <v>5</v>
      </c>
      <c r="S779">
        <v>5</v>
      </c>
      <c r="T779" s="123">
        <f t="shared" si="62"/>
        <v>0</v>
      </c>
      <c r="U779">
        <f t="shared" si="63"/>
        <v>0</v>
      </c>
      <c r="V779">
        <f t="shared" si="64"/>
        <v>1</v>
      </c>
      <c r="W779">
        <f t="shared" si="65"/>
        <v>1</v>
      </c>
      <c r="X779">
        <f t="shared" si="66"/>
        <v>1</v>
      </c>
    </row>
    <row r="780" spans="1:24">
      <c r="A780" t="s">
        <v>200</v>
      </c>
      <c r="B780">
        <v>1</v>
      </c>
      <c r="C780">
        <v>1</v>
      </c>
      <c r="D780">
        <v>7.3829760243562079</v>
      </c>
      <c r="E780">
        <v>93.251300266396044</v>
      </c>
      <c r="F780">
        <v>91.564125332995047</v>
      </c>
      <c r="G780">
        <v>12.799695547380439</v>
      </c>
      <c r="H780">
        <v>7.4273753647088654</v>
      </c>
      <c r="I780">
        <v>1</v>
      </c>
      <c r="J780">
        <v>0</v>
      </c>
      <c r="K780">
        <v>0</v>
      </c>
      <c r="L780">
        <v>1</v>
      </c>
      <c r="M780">
        <v>0</v>
      </c>
      <c r="N780">
        <v>44</v>
      </c>
      <c r="O780">
        <v>65000</v>
      </c>
      <c r="P780">
        <v>1</v>
      </c>
      <c r="Q780">
        <v>1</v>
      </c>
      <c r="R780">
        <v>4</v>
      </c>
      <c r="S780">
        <v>5</v>
      </c>
      <c r="T780" s="123">
        <f t="shared" si="62"/>
        <v>0</v>
      </c>
      <c r="U780">
        <f t="shared" si="63"/>
        <v>0</v>
      </c>
      <c r="V780">
        <f t="shared" si="64"/>
        <v>0</v>
      </c>
      <c r="W780">
        <f t="shared" si="65"/>
        <v>1</v>
      </c>
      <c r="X780">
        <f t="shared" si="66"/>
        <v>1</v>
      </c>
    </row>
    <row r="781" spans="1:24" hidden="1">
      <c r="A781" t="s">
        <v>200</v>
      </c>
      <c r="B781">
        <v>2</v>
      </c>
      <c r="C781">
        <v>1</v>
      </c>
      <c r="D781">
        <v>1.255867055689458</v>
      </c>
      <c r="E781">
        <v>1.687174933400992</v>
      </c>
      <c r="F781">
        <v>1.1670683749841431</v>
      </c>
      <c r="G781">
        <v>1.160725612076619</v>
      </c>
      <c r="H781">
        <v>5.0742103260180134</v>
      </c>
      <c r="I781">
        <v>0</v>
      </c>
      <c r="J781">
        <v>0</v>
      </c>
      <c r="K781">
        <v>0</v>
      </c>
      <c r="L781">
        <v>1</v>
      </c>
      <c r="M781">
        <v>0</v>
      </c>
      <c r="N781">
        <v>44</v>
      </c>
      <c r="O781">
        <v>65000</v>
      </c>
      <c r="P781">
        <v>1</v>
      </c>
      <c r="Q781">
        <v>1</v>
      </c>
      <c r="R781">
        <v>4</v>
      </c>
      <c r="S781">
        <v>5</v>
      </c>
      <c r="T781" s="123">
        <f t="shared" si="62"/>
        <v>1</v>
      </c>
      <c r="U781">
        <f t="shared" si="63"/>
        <v>0</v>
      </c>
      <c r="V781">
        <f t="shared" si="64"/>
        <v>0</v>
      </c>
      <c r="W781">
        <f t="shared" si="65"/>
        <v>1</v>
      </c>
      <c r="X781">
        <f t="shared" si="66"/>
        <v>1</v>
      </c>
    </row>
    <row r="782" spans="1:24" hidden="1">
      <c r="A782" t="s">
        <v>200</v>
      </c>
      <c r="B782">
        <v>3</v>
      </c>
      <c r="C782">
        <v>1</v>
      </c>
      <c r="D782">
        <v>3.1777242166687811</v>
      </c>
      <c r="E782">
        <v>13.896993530381829</v>
      </c>
      <c r="F782">
        <v>1.05924140555626</v>
      </c>
      <c r="G782">
        <v>4.0339972091843199</v>
      </c>
      <c r="H782">
        <v>0</v>
      </c>
      <c r="I782">
        <v>0</v>
      </c>
      <c r="J782">
        <v>0</v>
      </c>
      <c r="K782">
        <v>0</v>
      </c>
      <c r="L782">
        <v>1</v>
      </c>
      <c r="M782">
        <v>0</v>
      </c>
      <c r="N782">
        <v>44</v>
      </c>
      <c r="O782">
        <v>65000</v>
      </c>
      <c r="P782">
        <v>1</v>
      </c>
      <c r="Q782">
        <v>1</v>
      </c>
      <c r="R782">
        <v>4</v>
      </c>
      <c r="S782">
        <v>5</v>
      </c>
      <c r="T782" s="123">
        <f t="shared" si="62"/>
        <v>1</v>
      </c>
      <c r="U782">
        <f t="shared" si="63"/>
        <v>0</v>
      </c>
      <c r="V782">
        <f t="shared" si="64"/>
        <v>0</v>
      </c>
      <c r="W782">
        <f t="shared" si="65"/>
        <v>1</v>
      </c>
      <c r="X782">
        <f t="shared" si="66"/>
        <v>1</v>
      </c>
    </row>
    <row r="783" spans="1:24">
      <c r="A783" t="s">
        <v>200</v>
      </c>
      <c r="B783">
        <v>4</v>
      </c>
      <c r="C783">
        <v>1</v>
      </c>
      <c r="D783">
        <v>11.319505736981469</v>
      </c>
      <c r="E783">
        <v>50</v>
      </c>
      <c r="F783">
        <v>24.349073256840249</v>
      </c>
      <c r="G783">
        <v>13.65842894969108</v>
      </c>
      <c r="H783">
        <v>16.935127978817299</v>
      </c>
      <c r="I783">
        <v>0</v>
      </c>
      <c r="J783">
        <v>0</v>
      </c>
      <c r="K783">
        <v>0</v>
      </c>
      <c r="L783">
        <v>1</v>
      </c>
      <c r="M783">
        <v>0</v>
      </c>
      <c r="N783">
        <v>44</v>
      </c>
      <c r="O783">
        <v>65000</v>
      </c>
      <c r="P783">
        <v>1</v>
      </c>
      <c r="Q783">
        <v>1</v>
      </c>
      <c r="R783">
        <v>4</v>
      </c>
      <c r="S783">
        <v>5</v>
      </c>
      <c r="T783" s="123">
        <f t="shared" si="62"/>
        <v>0</v>
      </c>
      <c r="U783">
        <f t="shared" si="63"/>
        <v>0</v>
      </c>
      <c r="V783">
        <f t="shared" si="64"/>
        <v>0</v>
      </c>
      <c r="W783">
        <f t="shared" si="65"/>
        <v>1</v>
      </c>
      <c r="X783">
        <f t="shared" si="66"/>
        <v>1</v>
      </c>
    </row>
    <row r="784" spans="1:24" hidden="1">
      <c r="A784" t="s">
        <v>200</v>
      </c>
      <c r="B784">
        <v>5</v>
      </c>
      <c r="C784">
        <v>1</v>
      </c>
      <c r="D784">
        <v>3.3208296557811101</v>
      </c>
      <c r="E784">
        <v>5.141218005295678</v>
      </c>
      <c r="F784">
        <v>15.33539276257723</v>
      </c>
      <c r="G784">
        <v>6.2224183583406862</v>
      </c>
      <c r="H784">
        <v>2.956751985878197</v>
      </c>
      <c r="I784">
        <v>0</v>
      </c>
      <c r="J784">
        <v>0</v>
      </c>
      <c r="K784">
        <v>0</v>
      </c>
      <c r="L784">
        <v>1</v>
      </c>
      <c r="M784">
        <v>0</v>
      </c>
      <c r="N784">
        <v>44</v>
      </c>
      <c r="O784">
        <v>65000</v>
      </c>
      <c r="P784">
        <v>1</v>
      </c>
      <c r="Q784">
        <v>1</v>
      </c>
      <c r="R784">
        <v>4</v>
      </c>
      <c r="S784">
        <v>5</v>
      </c>
      <c r="T784" s="123">
        <f t="shared" si="62"/>
        <v>1</v>
      </c>
      <c r="U784">
        <f t="shared" si="63"/>
        <v>0</v>
      </c>
      <c r="V784">
        <f t="shared" si="64"/>
        <v>0</v>
      </c>
      <c r="W784">
        <f t="shared" si="65"/>
        <v>1</v>
      </c>
      <c r="X784">
        <f t="shared" si="66"/>
        <v>1</v>
      </c>
    </row>
    <row r="785" spans="1:24" hidden="1">
      <c r="A785" t="s">
        <v>200</v>
      </c>
      <c r="B785">
        <v>6</v>
      </c>
      <c r="C785">
        <v>1</v>
      </c>
      <c r="D785">
        <v>2.1954986760811979</v>
      </c>
      <c r="E785">
        <v>4.600617828773168</v>
      </c>
      <c r="F785">
        <v>1.64386584289497</v>
      </c>
      <c r="G785">
        <v>2.5595763459841159</v>
      </c>
      <c r="H785">
        <v>1.64386584289497</v>
      </c>
      <c r="I785">
        <v>0</v>
      </c>
      <c r="J785">
        <v>0</v>
      </c>
      <c r="K785">
        <v>0</v>
      </c>
      <c r="L785">
        <v>1</v>
      </c>
      <c r="M785">
        <v>0</v>
      </c>
      <c r="N785">
        <v>44</v>
      </c>
      <c r="O785">
        <v>65000</v>
      </c>
      <c r="P785">
        <v>1</v>
      </c>
      <c r="Q785">
        <v>1</v>
      </c>
      <c r="R785">
        <v>4</v>
      </c>
      <c r="S785">
        <v>5</v>
      </c>
      <c r="T785" s="123">
        <f t="shared" si="62"/>
        <v>1</v>
      </c>
      <c r="U785">
        <f t="shared" si="63"/>
        <v>0</v>
      </c>
      <c r="V785">
        <f t="shared" si="64"/>
        <v>0</v>
      </c>
      <c r="W785">
        <f t="shared" si="65"/>
        <v>1</v>
      </c>
      <c r="X785">
        <f t="shared" si="66"/>
        <v>1</v>
      </c>
    </row>
    <row r="786" spans="1:24" hidden="1">
      <c r="A786" t="s">
        <v>200</v>
      </c>
      <c r="B786">
        <v>7</v>
      </c>
      <c r="C786">
        <v>1</v>
      </c>
      <c r="D786">
        <v>3.6959399823477508</v>
      </c>
      <c r="E786">
        <v>2.217563989408649</v>
      </c>
      <c r="F786">
        <v>8.8481906443071523</v>
      </c>
      <c r="G786">
        <v>2.2065313327449272</v>
      </c>
      <c r="H786">
        <v>2.2065313327449272</v>
      </c>
      <c r="I786">
        <v>0</v>
      </c>
      <c r="J786">
        <v>1</v>
      </c>
      <c r="K786">
        <v>0</v>
      </c>
      <c r="L786">
        <v>1</v>
      </c>
      <c r="M786">
        <v>0</v>
      </c>
      <c r="N786">
        <v>44</v>
      </c>
      <c r="O786">
        <v>65000</v>
      </c>
      <c r="P786">
        <v>1</v>
      </c>
      <c r="Q786">
        <v>1</v>
      </c>
      <c r="R786">
        <v>4</v>
      </c>
      <c r="S786">
        <v>5</v>
      </c>
      <c r="T786" s="123">
        <f t="shared" si="62"/>
        <v>1</v>
      </c>
      <c r="U786">
        <f t="shared" si="63"/>
        <v>0</v>
      </c>
      <c r="V786">
        <f t="shared" si="64"/>
        <v>0</v>
      </c>
      <c r="W786">
        <f t="shared" si="65"/>
        <v>1</v>
      </c>
      <c r="X786">
        <f t="shared" si="66"/>
        <v>1</v>
      </c>
    </row>
    <row r="787" spans="1:24">
      <c r="A787" t="s">
        <v>201</v>
      </c>
      <c r="B787">
        <v>1</v>
      </c>
      <c r="C787">
        <v>1</v>
      </c>
      <c r="D787">
        <v>8.7587484561547964</v>
      </c>
      <c r="E787">
        <v>50</v>
      </c>
      <c r="F787">
        <v>81.101452464788721</v>
      </c>
      <c r="G787">
        <v>93.414392605633793</v>
      </c>
      <c r="H787">
        <v>5.3725813091807346</v>
      </c>
      <c r="I787">
        <v>1</v>
      </c>
      <c r="J787">
        <v>0</v>
      </c>
      <c r="K787">
        <v>0</v>
      </c>
      <c r="L787">
        <v>1</v>
      </c>
      <c r="M787">
        <v>0</v>
      </c>
      <c r="N787">
        <v>50</v>
      </c>
      <c r="O787">
        <v>45000</v>
      </c>
      <c r="P787">
        <v>2</v>
      </c>
      <c r="Q787">
        <v>4</v>
      </c>
      <c r="R787">
        <v>4</v>
      </c>
      <c r="S787">
        <v>3</v>
      </c>
      <c r="T787" s="123">
        <f t="shared" si="62"/>
        <v>0</v>
      </c>
      <c r="U787">
        <f t="shared" si="63"/>
        <v>0</v>
      </c>
      <c r="V787">
        <f t="shared" si="64"/>
        <v>1</v>
      </c>
      <c r="W787">
        <f t="shared" si="65"/>
        <v>1</v>
      </c>
      <c r="X787">
        <f t="shared" si="66"/>
        <v>0</v>
      </c>
    </row>
    <row r="788" spans="1:24">
      <c r="A788" t="s">
        <v>201</v>
      </c>
      <c r="B788">
        <v>2</v>
      </c>
      <c r="C788">
        <v>1</v>
      </c>
      <c r="D788">
        <v>50</v>
      </c>
      <c r="E788">
        <v>50</v>
      </c>
      <c r="F788">
        <v>54.878550843968711</v>
      </c>
      <c r="G788">
        <v>78.962536023054753</v>
      </c>
      <c r="H788">
        <v>19.75092630712227</v>
      </c>
      <c r="I788">
        <v>0</v>
      </c>
      <c r="J788">
        <v>0</v>
      </c>
      <c r="K788">
        <v>1</v>
      </c>
      <c r="L788">
        <v>1</v>
      </c>
      <c r="M788">
        <v>0</v>
      </c>
      <c r="N788">
        <v>50</v>
      </c>
      <c r="O788">
        <v>45000</v>
      </c>
      <c r="P788">
        <v>2</v>
      </c>
      <c r="Q788">
        <v>4</v>
      </c>
      <c r="R788">
        <v>4</v>
      </c>
      <c r="S788">
        <v>3</v>
      </c>
      <c r="T788" s="123">
        <f t="shared" si="62"/>
        <v>0</v>
      </c>
      <c r="U788">
        <f t="shared" si="63"/>
        <v>0</v>
      </c>
      <c r="V788">
        <f t="shared" si="64"/>
        <v>1</v>
      </c>
      <c r="W788">
        <f t="shared" si="65"/>
        <v>1</v>
      </c>
      <c r="X788">
        <f t="shared" si="66"/>
        <v>0</v>
      </c>
    </row>
    <row r="789" spans="1:24" hidden="1">
      <c r="A789" t="s">
        <v>201</v>
      </c>
      <c r="B789">
        <v>3</v>
      </c>
      <c r="C789">
        <v>1</v>
      </c>
      <c r="D789">
        <v>0</v>
      </c>
      <c r="E789">
        <v>0</v>
      </c>
      <c r="F789">
        <v>5.0851063829787213</v>
      </c>
      <c r="G789">
        <v>0</v>
      </c>
      <c r="H789">
        <v>0</v>
      </c>
      <c r="I789">
        <v>0</v>
      </c>
      <c r="J789">
        <v>0</v>
      </c>
      <c r="K789">
        <v>0</v>
      </c>
      <c r="L789">
        <v>1</v>
      </c>
      <c r="M789">
        <v>0</v>
      </c>
      <c r="N789">
        <v>50</v>
      </c>
      <c r="O789">
        <v>45000</v>
      </c>
      <c r="P789">
        <v>2</v>
      </c>
      <c r="Q789">
        <v>4</v>
      </c>
      <c r="R789">
        <v>4</v>
      </c>
      <c r="S789">
        <v>3</v>
      </c>
      <c r="T789" s="123">
        <f t="shared" si="62"/>
        <v>1</v>
      </c>
      <c r="U789">
        <f t="shared" si="63"/>
        <v>0</v>
      </c>
      <c r="V789">
        <f t="shared" si="64"/>
        <v>1</v>
      </c>
      <c r="W789">
        <f t="shared" si="65"/>
        <v>1</v>
      </c>
      <c r="X789">
        <f t="shared" si="66"/>
        <v>0</v>
      </c>
    </row>
    <row r="790" spans="1:24">
      <c r="A790" t="s">
        <v>201</v>
      </c>
      <c r="B790">
        <v>4</v>
      </c>
      <c r="C790">
        <v>1</v>
      </c>
      <c r="D790">
        <v>50</v>
      </c>
      <c r="E790">
        <v>100</v>
      </c>
      <c r="F790">
        <v>94.744680851063819</v>
      </c>
      <c r="G790">
        <v>29.60638297872341</v>
      </c>
      <c r="H790">
        <v>97.351063829787236</v>
      </c>
      <c r="I790">
        <v>0</v>
      </c>
      <c r="J790">
        <v>0</v>
      </c>
      <c r="K790">
        <v>1</v>
      </c>
      <c r="L790">
        <v>1</v>
      </c>
      <c r="M790">
        <v>0</v>
      </c>
      <c r="N790">
        <v>50</v>
      </c>
      <c r="O790">
        <v>45000</v>
      </c>
      <c r="P790">
        <v>2</v>
      </c>
      <c r="Q790">
        <v>4</v>
      </c>
      <c r="R790">
        <v>4</v>
      </c>
      <c r="S790">
        <v>3</v>
      </c>
      <c r="T790" s="123">
        <f t="shared" si="62"/>
        <v>0</v>
      </c>
      <c r="U790">
        <f t="shared" si="63"/>
        <v>0</v>
      </c>
      <c r="V790">
        <f t="shared" si="64"/>
        <v>1</v>
      </c>
      <c r="W790">
        <f t="shared" si="65"/>
        <v>1</v>
      </c>
      <c r="X790">
        <f t="shared" si="66"/>
        <v>0</v>
      </c>
    </row>
    <row r="791" spans="1:24" hidden="1">
      <c r="A791" t="s">
        <v>201</v>
      </c>
      <c r="B791">
        <v>5</v>
      </c>
      <c r="C791">
        <v>1</v>
      </c>
      <c r="D791">
        <v>100</v>
      </c>
      <c r="E791">
        <v>100</v>
      </c>
      <c r="F791">
        <v>100</v>
      </c>
      <c r="G791">
        <v>100</v>
      </c>
      <c r="H791">
        <v>76.531914893617014</v>
      </c>
      <c r="I791">
        <v>0</v>
      </c>
      <c r="J791">
        <v>0</v>
      </c>
      <c r="K791">
        <v>1</v>
      </c>
      <c r="L791">
        <v>1</v>
      </c>
      <c r="M791">
        <v>0</v>
      </c>
      <c r="N791">
        <v>50</v>
      </c>
      <c r="O791">
        <v>45000</v>
      </c>
      <c r="P791">
        <v>2</v>
      </c>
      <c r="Q791">
        <v>4</v>
      </c>
      <c r="R791">
        <v>4</v>
      </c>
      <c r="S791">
        <v>3</v>
      </c>
      <c r="T791" s="123">
        <f t="shared" si="62"/>
        <v>1</v>
      </c>
      <c r="U791">
        <f t="shared" si="63"/>
        <v>0</v>
      </c>
      <c r="V791">
        <f t="shared" si="64"/>
        <v>1</v>
      </c>
      <c r="W791">
        <f t="shared" si="65"/>
        <v>1</v>
      </c>
      <c r="X791">
        <f t="shared" si="66"/>
        <v>0</v>
      </c>
    </row>
    <row r="792" spans="1:24" hidden="1">
      <c r="A792" t="s">
        <v>201</v>
      </c>
      <c r="B792">
        <v>6</v>
      </c>
      <c r="C792">
        <v>1</v>
      </c>
      <c r="D792">
        <v>100</v>
      </c>
      <c r="E792">
        <v>100</v>
      </c>
      <c r="F792">
        <v>100</v>
      </c>
      <c r="G792">
        <v>100</v>
      </c>
      <c r="H792">
        <v>100</v>
      </c>
      <c r="I792">
        <v>0</v>
      </c>
      <c r="J792">
        <v>0</v>
      </c>
      <c r="K792">
        <v>1</v>
      </c>
      <c r="L792">
        <v>1</v>
      </c>
      <c r="M792">
        <v>0</v>
      </c>
      <c r="N792">
        <v>50</v>
      </c>
      <c r="O792">
        <v>45000</v>
      </c>
      <c r="P792">
        <v>2</v>
      </c>
      <c r="Q792">
        <v>4</v>
      </c>
      <c r="R792">
        <v>4</v>
      </c>
      <c r="S792">
        <v>3</v>
      </c>
      <c r="T792" s="123">
        <f t="shared" si="62"/>
        <v>1</v>
      </c>
      <c r="U792">
        <f t="shared" si="63"/>
        <v>0</v>
      </c>
      <c r="V792">
        <f t="shared" si="64"/>
        <v>1</v>
      </c>
      <c r="W792">
        <f t="shared" si="65"/>
        <v>1</v>
      </c>
      <c r="X792">
        <f t="shared" si="66"/>
        <v>0</v>
      </c>
    </row>
    <row r="793" spans="1:24" hidden="1">
      <c r="A793" t="s">
        <v>201</v>
      </c>
      <c r="B793">
        <v>7</v>
      </c>
      <c r="C793">
        <v>1</v>
      </c>
      <c r="D793">
        <v>0</v>
      </c>
      <c r="E793">
        <v>0</v>
      </c>
      <c r="F793">
        <v>0.51063829787234005</v>
      </c>
      <c r="G793">
        <v>0</v>
      </c>
      <c r="H793">
        <v>2.9255319148936199</v>
      </c>
      <c r="I793">
        <v>0</v>
      </c>
      <c r="J793">
        <v>1</v>
      </c>
      <c r="K793">
        <v>0</v>
      </c>
      <c r="L793">
        <v>1</v>
      </c>
      <c r="M793">
        <v>0</v>
      </c>
      <c r="N793">
        <v>50</v>
      </c>
      <c r="O793">
        <v>45000</v>
      </c>
      <c r="P793">
        <v>2</v>
      </c>
      <c r="Q793">
        <v>4</v>
      </c>
      <c r="R793">
        <v>4</v>
      </c>
      <c r="S793">
        <v>3</v>
      </c>
      <c r="T793" s="123">
        <f t="shared" si="62"/>
        <v>1</v>
      </c>
      <c r="U793">
        <f t="shared" si="63"/>
        <v>0</v>
      </c>
      <c r="V793">
        <f t="shared" si="64"/>
        <v>1</v>
      </c>
      <c r="W793">
        <f t="shared" si="65"/>
        <v>1</v>
      </c>
      <c r="X793">
        <f t="shared" si="66"/>
        <v>0</v>
      </c>
    </row>
    <row r="794" spans="1:24">
      <c r="A794" t="s">
        <v>202</v>
      </c>
      <c r="B794">
        <v>1</v>
      </c>
      <c r="C794">
        <v>1</v>
      </c>
      <c r="D794">
        <v>86.900493052442854</v>
      </c>
      <c r="E794">
        <v>100</v>
      </c>
      <c r="F794">
        <v>97.187359928283286</v>
      </c>
      <c r="G794">
        <v>2.812640071716721</v>
      </c>
      <c r="H794">
        <v>13.099506947557151</v>
      </c>
      <c r="I794">
        <v>1</v>
      </c>
      <c r="J794">
        <v>0</v>
      </c>
      <c r="K794">
        <v>1</v>
      </c>
      <c r="L794">
        <v>1</v>
      </c>
      <c r="M794">
        <v>0</v>
      </c>
      <c r="N794">
        <v>21</v>
      </c>
      <c r="O794">
        <v>50000</v>
      </c>
      <c r="P794">
        <v>1</v>
      </c>
      <c r="Q794">
        <v>2</v>
      </c>
      <c r="R794">
        <v>5</v>
      </c>
      <c r="S794">
        <v>5</v>
      </c>
      <c r="T794" s="123">
        <f t="shared" si="62"/>
        <v>0</v>
      </c>
      <c r="U794">
        <f t="shared" si="63"/>
        <v>0</v>
      </c>
      <c r="V794">
        <f t="shared" si="64"/>
        <v>0</v>
      </c>
      <c r="W794">
        <f t="shared" si="65"/>
        <v>1</v>
      </c>
      <c r="X794">
        <f t="shared" si="66"/>
        <v>1</v>
      </c>
    </row>
    <row r="795" spans="1:24">
      <c r="A795" t="s">
        <v>202</v>
      </c>
      <c r="B795">
        <v>2</v>
      </c>
      <c r="C795">
        <v>1</v>
      </c>
      <c r="D795">
        <v>50</v>
      </c>
      <c r="E795">
        <v>98.422675521821631</v>
      </c>
      <c r="F795">
        <v>16.603415559772291</v>
      </c>
      <c r="G795">
        <v>7.3173624288425057</v>
      </c>
      <c r="H795">
        <v>92.481024667931692</v>
      </c>
      <c r="I795">
        <v>0</v>
      </c>
      <c r="J795">
        <v>0</v>
      </c>
      <c r="K795">
        <v>0</v>
      </c>
      <c r="L795">
        <v>1</v>
      </c>
      <c r="M795">
        <v>0</v>
      </c>
      <c r="N795">
        <v>21</v>
      </c>
      <c r="O795">
        <v>50000</v>
      </c>
      <c r="P795">
        <v>1</v>
      </c>
      <c r="Q795">
        <v>2</v>
      </c>
      <c r="R795">
        <v>5</v>
      </c>
      <c r="S795">
        <v>5</v>
      </c>
      <c r="T795" s="123">
        <f t="shared" si="62"/>
        <v>0</v>
      </c>
      <c r="U795">
        <f t="shared" si="63"/>
        <v>0</v>
      </c>
      <c r="V795">
        <f t="shared" si="64"/>
        <v>0</v>
      </c>
      <c r="W795">
        <f t="shared" si="65"/>
        <v>1</v>
      </c>
      <c r="X795">
        <f t="shared" si="66"/>
        <v>1</v>
      </c>
    </row>
    <row r="796" spans="1:24">
      <c r="A796" t="s">
        <v>202</v>
      </c>
      <c r="B796">
        <v>3</v>
      </c>
      <c r="C796">
        <v>1</v>
      </c>
      <c r="D796">
        <v>95.884724857685015</v>
      </c>
      <c r="E796">
        <v>98.612428842504741</v>
      </c>
      <c r="F796">
        <v>93.275616698292225</v>
      </c>
      <c r="G796">
        <v>2.8344402277039831</v>
      </c>
      <c r="H796">
        <v>2.9767552182163199</v>
      </c>
      <c r="I796">
        <v>0</v>
      </c>
      <c r="J796">
        <v>0</v>
      </c>
      <c r="K796">
        <v>1</v>
      </c>
      <c r="L796">
        <v>1</v>
      </c>
      <c r="M796">
        <v>0</v>
      </c>
      <c r="N796">
        <v>21</v>
      </c>
      <c r="O796">
        <v>50000</v>
      </c>
      <c r="P796">
        <v>1</v>
      </c>
      <c r="Q796">
        <v>2</v>
      </c>
      <c r="R796">
        <v>5</v>
      </c>
      <c r="S796">
        <v>5</v>
      </c>
      <c r="T796" s="123">
        <f t="shared" si="62"/>
        <v>0</v>
      </c>
      <c r="U796">
        <f t="shared" si="63"/>
        <v>0</v>
      </c>
      <c r="V796">
        <f t="shared" si="64"/>
        <v>0</v>
      </c>
      <c r="W796">
        <f t="shared" si="65"/>
        <v>1</v>
      </c>
      <c r="X796">
        <f t="shared" si="66"/>
        <v>1</v>
      </c>
    </row>
    <row r="797" spans="1:24">
      <c r="A797" t="s">
        <v>202</v>
      </c>
      <c r="B797">
        <v>4</v>
      </c>
      <c r="C797">
        <v>1</v>
      </c>
      <c r="D797">
        <v>99.003795066413659</v>
      </c>
      <c r="E797">
        <v>99.395161290322577</v>
      </c>
      <c r="F797">
        <v>98.221062618595823</v>
      </c>
      <c r="G797">
        <v>4.5659392789373809</v>
      </c>
      <c r="H797">
        <v>10.49573055028463</v>
      </c>
      <c r="I797">
        <v>0</v>
      </c>
      <c r="J797">
        <v>0</v>
      </c>
      <c r="K797">
        <v>1</v>
      </c>
      <c r="L797">
        <v>1</v>
      </c>
      <c r="M797">
        <v>0</v>
      </c>
      <c r="N797">
        <v>21</v>
      </c>
      <c r="O797">
        <v>50000</v>
      </c>
      <c r="P797">
        <v>1</v>
      </c>
      <c r="Q797">
        <v>2</v>
      </c>
      <c r="R797">
        <v>5</v>
      </c>
      <c r="S797">
        <v>5</v>
      </c>
      <c r="T797" s="123">
        <f t="shared" si="62"/>
        <v>0</v>
      </c>
      <c r="U797">
        <f t="shared" si="63"/>
        <v>0</v>
      </c>
      <c r="V797">
        <f t="shared" si="64"/>
        <v>0</v>
      </c>
      <c r="W797">
        <f t="shared" si="65"/>
        <v>1</v>
      </c>
      <c r="X797">
        <f t="shared" si="66"/>
        <v>1</v>
      </c>
    </row>
    <row r="798" spans="1:24">
      <c r="A798" t="s">
        <v>202</v>
      </c>
      <c r="B798">
        <v>5</v>
      </c>
      <c r="C798">
        <v>1</v>
      </c>
      <c r="D798">
        <v>12.64231499051234</v>
      </c>
      <c r="E798">
        <v>97.972011385199238</v>
      </c>
      <c r="F798">
        <v>99.181688804554085</v>
      </c>
      <c r="G798">
        <v>7.9103415559772294</v>
      </c>
      <c r="H798">
        <v>3.949240986717268</v>
      </c>
      <c r="I798">
        <v>0</v>
      </c>
      <c r="J798">
        <v>0</v>
      </c>
      <c r="K798">
        <v>0</v>
      </c>
      <c r="L798">
        <v>1</v>
      </c>
      <c r="M798">
        <v>0</v>
      </c>
      <c r="N798">
        <v>21</v>
      </c>
      <c r="O798">
        <v>50000</v>
      </c>
      <c r="P798">
        <v>1</v>
      </c>
      <c r="Q798">
        <v>2</v>
      </c>
      <c r="R798">
        <v>5</v>
      </c>
      <c r="S798">
        <v>5</v>
      </c>
      <c r="T798" s="123">
        <f t="shared" si="62"/>
        <v>0</v>
      </c>
      <c r="U798">
        <f t="shared" si="63"/>
        <v>0</v>
      </c>
      <c r="V798">
        <f t="shared" si="64"/>
        <v>0</v>
      </c>
      <c r="W798">
        <f t="shared" si="65"/>
        <v>1</v>
      </c>
      <c r="X798">
        <f t="shared" si="66"/>
        <v>1</v>
      </c>
    </row>
    <row r="799" spans="1:24">
      <c r="A799" t="s">
        <v>202</v>
      </c>
      <c r="B799">
        <v>6</v>
      </c>
      <c r="C799">
        <v>1</v>
      </c>
      <c r="D799">
        <v>5.3605313092979117</v>
      </c>
      <c r="E799">
        <v>97.414611005692592</v>
      </c>
      <c r="F799">
        <v>88.911290322580655</v>
      </c>
      <c r="G799">
        <v>8.7167931688804536</v>
      </c>
      <c r="H799">
        <v>5.3486717267552164</v>
      </c>
      <c r="I799">
        <v>0</v>
      </c>
      <c r="J799">
        <v>0</v>
      </c>
      <c r="K799">
        <v>0</v>
      </c>
      <c r="L799">
        <v>1</v>
      </c>
      <c r="M799">
        <v>0</v>
      </c>
      <c r="N799">
        <v>21</v>
      </c>
      <c r="O799">
        <v>50000</v>
      </c>
      <c r="P799">
        <v>1</v>
      </c>
      <c r="Q799">
        <v>2</v>
      </c>
      <c r="R799">
        <v>5</v>
      </c>
      <c r="S799">
        <v>5</v>
      </c>
      <c r="T799" s="123">
        <f t="shared" si="62"/>
        <v>0</v>
      </c>
      <c r="U799">
        <f t="shared" si="63"/>
        <v>0</v>
      </c>
      <c r="V799">
        <f t="shared" si="64"/>
        <v>0</v>
      </c>
      <c r="W799">
        <f t="shared" si="65"/>
        <v>1</v>
      </c>
      <c r="X799">
        <f t="shared" si="66"/>
        <v>1</v>
      </c>
    </row>
    <row r="800" spans="1:24">
      <c r="A800" t="s">
        <v>202</v>
      </c>
      <c r="B800">
        <v>7</v>
      </c>
      <c r="C800">
        <v>1</v>
      </c>
      <c r="D800">
        <v>6.25</v>
      </c>
      <c r="E800">
        <v>4.5422201138519913</v>
      </c>
      <c r="F800">
        <v>2.8581593927893718</v>
      </c>
      <c r="G800">
        <v>94.449715370018978</v>
      </c>
      <c r="H800">
        <v>96.027039848197333</v>
      </c>
      <c r="I800">
        <v>0</v>
      </c>
      <c r="J800">
        <v>1</v>
      </c>
      <c r="K800">
        <v>0</v>
      </c>
      <c r="L800">
        <v>1</v>
      </c>
      <c r="M800">
        <v>0</v>
      </c>
      <c r="N800">
        <v>21</v>
      </c>
      <c r="O800">
        <v>50000</v>
      </c>
      <c r="P800">
        <v>1</v>
      </c>
      <c r="Q800">
        <v>2</v>
      </c>
      <c r="R800">
        <v>5</v>
      </c>
      <c r="S800">
        <v>5</v>
      </c>
      <c r="T800" s="123">
        <f t="shared" si="62"/>
        <v>0</v>
      </c>
      <c r="U800">
        <f t="shared" si="63"/>
        <v>0</v>
      </c>
      <c r="V800">
        <f t="shared" si="64"/>
        <v>0</v>
      </c>
      <c r="W800">
        <f t="shared" si="65"/>
        <v>1</v>
      </c>
      <c r="X800">
        <f t="shared" si="66"/>
        <v>1</v>
      </c>
    </row>
    <row r="801" spans="1:24">
      <c r="A801" t="s">
        <v>203</v>
      </c>
      <c r="B801">
        <v>1</v>
      </c>
      <c r="C801">
        <v>1</v>
      </c>
      <c r="D801">
        <v>10.910125142207059</v>
      </c>
      <c r="E801">
        <v>50</v>
      </c>
      <c r="F801">
        <v>11.27417519908987</v>
      </c>
      <c r="G801">
        <v>87.519908987485778</v>
      </c>
      <c r="H801">
        <v>8.2707622298065999</v>
      </c>
      <c r="I801">
        <v>1</v>
      </c>
      <c r="J801">
        <v>0</v>
      </c>
      <c r="K801">
        <v>0</v>
      </c>
      <c r="L801">
        <v>1</v>
      </c>
      <c r="M801">
        <v>0</v>
      </c>
      <c r="N801">
        <v>48</v>
      </c>
      <c r="O801">
        <v>98000</v>
      </c>
      <c r="P801">
        <v>1</v>
      </c>
      <c r="Q801">
        <v>2</v>
      </c>
      <c r="R801">
        <v>3</v>
      </c>
      <c r="S801">
        <v>3</v>
      </c>
      <c r="T801" s="123">
        <f t="shared" si="62"/>
        <v>0</v>
      </c>
      <c r="U801">
        <f t="shared" si="63"/>
        <v>0</v>
      </c>
      <c r="V801">
        <f t="shared" si="64"/>
        <v>0</v>
      </c>
      <c r="W801">
        <f t="shared" si="65"/>
        <v>0</v>
      </c>
      <c r="X801">
        <f t="shared" si="66"/>
        <v>0</v>
      </c>
    </row>
    <row r="802" spans="1:24" hidden="1">
      <c r="A802" t="s">
        <v>203</v>
      </c>
      <c r="B802">
        <v>2</v>
      </c>
      <c r="C802">
        <v>1</v>
      </c>
      <c r="D802">
        <v>2.5369738339021621</v>
      </c>
      <c r="E802">
        <v>1.183162684869171</v>
      </c>
      <c r="F802">
        <v>1.183162684869171</v>
      </c>
      <c r="G802">
        <v>1.001137656427759</v>
      </c>
      <c r="H802">
        <v>4.3344709897610914</v>
      </c>
      <c r="I802">
        <v>0</v>
      </c>
      <c r="J802">
        <v>0</v>
      </c>
      <c r="K802">
        <v>0</v>
      </c>
      <c r="L802">
        <v>1</v>
      </c>
      <c r="M802">
        <v>0</v>
      </c>
      <c r="N802">
        <v>48</v>
      </c>
      <c r="O802">
        <v>98000</v>
      </c>
      <c r="P802">
        <v>1</v>
      </c>
      <c r="Q802">
        <v>2</v>
      </c>
      <c r="R802">
        <v>3</v>
      </c>
      <c r="S802">
        <v>3</v>
      </c>
      <c r="T802" s="123">
        <f t="shared" si="62"/>
        <v>1</v>
      </c>
      <c r="U802">
        <f t="shared" si="63"/>
        <v>0</v>
      </c>
      <c r="V802">
        <f t="shared" si="64"/>
        <v>0</v>
      </c>
      <c r="W802">
        <f t="shared" si="65"/>
        <v>0</v>
      </c>
      <c r="X802">
        <f t="shared" si="66"/>
        <v>0</v>
      </c>
    </row>
    <row r="803" spans="1:24" hidden="1">
      <c r="A803" t="s">
        <v>203</v>
      </c>
      <c r="B803">
        <v>3</v>
      </c>
      <c r="C803">
        <v>1</v>
      </c>
      <c r="D803">
        <v>0.91012514220705221</v>
      </c>
      <c r="E803">
        <v>0.4550625711035261</v>
      </c>
      <c r="F803">
        <v>4.0159271899886217</v>
      </c>
      <c r="G803">
        <v>8.0204778156996568</v>
      </c>
      <c r="H803">
        <v>1.274175199089878</v>
      </c>
      <c r="I803">
        <v>0</v>
      </c>
      <c r="J803">
        <v>0</v>
      </c>
      <c r="K803">
        <v>0</v>
      </c>
      <c r="L803">
        <v>1</v>
      </c>
      <c r="M803">
        <v>0</v>
      </c>
      <c r="N803">
        <v>48</v>
      </c>
      <c r="O803">
        <v>98000</v>
      </c>
      <c r="P803">
        <v>1</v>
      </c>
      <c r="Q803">
        <v>2</v>
      </c>
      <c r="R803">
        <v>3</v>
      </c>
      <c r="S803">
        <v>3</v>
      </c>
      <c r="T803" s="123">
        <f t="shared" si="62"/>
        <v>1</v>
      </c>
      <c r="U803">
        <f t="shared" si="63"/>
        <v>0</v>
      </c>
      <c r="V803">
        <f t="shared" si="64"/>
        <v>0</v>
      </c>
      <c r="W803">
        <f t="shared" si="65"/>
        <v>0</v>
      </c>
      <c r="X803">
        <f t="shared" si="66"/>
        <v>0</v>
      </c>
    </row>
    <row r="804" spans="1:24" hidden="1">
      <c r="A804" t="s">
        <v>203</v>
      </c>
      <c r="B804">
        <v>4</v>
      </c>
      <c r="C804">
        <v>1</v>
      </c>
      <c r="D804">
        <v>10.921501706484641</v>
      </c>
      <c r="E804">
        <v>6.0978384527872578</v>
      </c>
      <c r="F804">
        <v>7.9180887372013684</v>
      </c>
      <c r="G804">
        <v>12.935153583617749</v>
      </c>
      <c r="H804">
        <v>7.00796359499431</v>
      </c>
      <c r="I804">
        <v>0</v>
      </c>
      <c r="J804">
        <v>0</v>
      </c>
      <c r="K804">
        <v>0</v>
      </c>
      <c r="L804">
        <v>1</v>
      </c>
      <c r="M804">
        <v>0</v>
      </c>
      <c r="N804">
        <v>48</v>
      </c>
      <c r="O804">
        <v>98000</v>
      </c>
      <c r="P804">
        <v>1</v>
      </c>
      <c r="Q804">
        <v>2</v>
      </c>
      <c r="R804">
        <v>3</v>
      </c>
      <c r="S804">
        <v>3</v>
      </c>
      <c r="T804" s="123">
        <f t="shared" si="62"/>
        <v>1</v>
      </c>
      <c r="U804">
        <f t="shared" si="63"/>
        <v>0</v>
      </c>
      <c r="V804">
        <f t="shared" si="64"/>
        <v>0</v>
      </c>
      <c r="W804">
        <f t="shared" si="65"/>
        <v>0</v>
      </c>
      <c r="X804">
        <f t="shared" si="66"/>
        <v>0</v>
      </c>
    </row>
    <row r="805" spans="1:24" hidden="1">
      <c r="A805" t="s">
        <v>203</v>
      </c>
      <c r="B805">
        <v>5</v>
      </c>
      <c r="C805">
        <v>1</v>
      </c>
      <c r="D805">
        <v>1.911262798634811</v>
      </c>
      <c r="E805">
        <v>1.911262798634811</v>
      </c>
      <c r="F805">
        <v>1.490329920364047</v>
      </c>
      <c r="G805">
        <v>1.001137656427759</v>
      </c>
      <c r="H805">
        <v>4.0045506257110342</v>
      </c>
      <c r="I805">
        <v>0</v>
      </c>
      <c r="J805">
        <v>0</v>
      </c>
      <c r="K805">
        <v>0</v>
      </c>
      <c r="L805">
        <v>1</v>
      </c>
      <c r="M805">
        <v>0</v>
      </c>
      <c r="N805">
        <v>48</v>
      </c>
      <c r="O805">
        <v>98000</v>
      </c>
      <c r="P805">
        <v>1</v>
      </c>
      <c r="Q805">
        <v>2</v>
      </c>
      <c r="R805">
        <v>3</v>
      </c>
      <c r="S805">
        <v>3</v>
      </c>
      <c r="T805" s="123">
        <f t="shared" si="62"/>
        <v>1</v>
      </c>
      <c r="U805">
        <f t="shared" si="63"/>
        <v>0</v>
      </c>
      <c r="V805">
        <f t="shared" si="64"/>
        <v>0</v>
      </c>
      <c r="W805">
        <f t="shared" si="65"/>
        <v>0</v>
      </c>
      <c r="X805">
        <f t="shared" si="66"/>
        <v>0</v>
      </c>
    </row>
    <row r="806" spans="1:24" hidden="1">
      <c r="A806" t="s">
        <v>203</v>
      </c>
      <c r="B806">
        <v>6</v>
      </c>
      <c r="C806">
        <v>1</v>
      </c>
      <c r="D806">
        <v>0</v>
      </c>
      <c r="E806">
        <v>0.81911262798634588</v>
      </c>
      <c r="F806">
        <v>0.54607508532423243</v>
      </c>
      <c r="G806">
        <v>3.7201365187713331</v>
      </c>
      <c r="H806">
        <v>0</v>
      </c>
      <c r="I806">
        <v>0</v>
      </c>
      <c r="J806">
        <v>0</v>
      </c>
      <c r="K806">
        <v>0</v>
      </c>
      <c r="L806">
        <v>1</v>
      </c>
      <c r="M806">
        <v>0</v>
      </c>
      <c r="N806">
        <v>48</v>
      </c>
      <c r="O806">
        <v>98000</v>
      </c>
      <c r="P806">
        <v>1</v>
      </c>
      <c r="Q806">
        <v>2</v>
      </c>
      <c r="R806">
        <v>3</v>
      </c>
      <c r="S806">
        <v>3</v>
      </c>
      <c r="T806" s="123">
        <f t="shared" si="62"/>
        <v>1</v>
      </c>
      <c r="U806">
        <f t="shared" si="63"/>
        <v>0</v>
      </c>
      <c r="V806">
        <f t="shared" si="64"/>
        <v>0</v>
      </c>
      <c r="W806">
        <f t="shared" si="65"/>
        <v>0</v>
      </c>
      <c r="X806">
        <f t="shared" si="66"/>
        <v>0</v>
      </c>
    </row>
    <row r="807" spans="1:24" hidden="1">
      <c r="A807" t="s">
        <v>203</v>
      </c>
      <c r="B807">
        <v>7</v>
      </c>
      <c r="C807">
        <v>1</v>
      </c>
      <c r="D807">
        <v>2.7303754266211619</v>
      </c>
      <c r="E807">
        <v>1.740614334470991</v>
      </c>
      <c r="F807">
        <v>8.1911262798634805</v>
      </c>
      <c r="G807">
        <v>3.8111490329920339</v>
      </c>
      <c r="H807">
        <v>2.0932878270762241</v>
      </c>
      <c r="I807">
        <v>0</v>
      </c>
      <c r="J807">
        <v>1</v>
      </c>
      <c r="K807">
        <v>0</v>
      </c>
      <c r="L807">
        <v>1</v>
      </c>
      <c r="M807">
        <v>0</v>
      </c>
      <c r="N807">
        <v>48</v>
      </c>
      <c r="O807">
        <v>98000</v>
      </c>
      <c r="P807">
        <v>1</v>
      </c>
      <c r="Q807">
        <v>2</v>
      </c>
      <c r="R807">
        <v>3</v>
      </c>
      <c r="S807">
        <v>3</v>
      </c>
      <c r="T807" s="123">
        <f t="shared" si="62"/>
        <v>1</v>
      </c>
      <c r="U807">
        <f t="shared" si="63"/>
        <v>0</v>
      </c>
      <c r="V807">
        <f t="shared" si="64"/>
        <v>0</v>
      </c>
      <c r="W807">
        <f t="shared" si="65"/>
        <v>0</v>
      </c>
      <c r="X807">
        <f t="shared" si="66"/>
        <v>0</v>
      </c>
    </row>
    <row r="808" spans="1:24">
      <c r="A808" t="s">
        <v>204</v>
      </c>
      <c r="B808">
        <v>1</v>
      </c>
      <c r="C808">
        <v>1</v>
      </c>
      <c r="D808">
        <v>93.262316910785614</v>
      </c>
      <c r="E808">
        <v>99.041278295605863</v>
      </c>
      <c r="F808">
        <v>97.656458055925427</v>
      </c>
      <c r="G808">
        <v>5.2729693741677739</v>
      </c>
      <c r="H808">
        <v>0.5858854860186391</v>
      </c>
      <c r="I808">
        <v>1</v>
      </c>
      <c r="J808">
        <v>0</v>
      </c>
      <c r="K808">
        <v>1</v>
      </c>
      <c r="L808">
        <v>1</v>
      </c>
      <c r="M808">
        <v>1</v>
      </c>
      <c r="N808">
        <v>35</v>
      </c>
      <c r="O808">
        <v>75000</v>
      </c>
      <c r="P808">
        <v>3</v>
      </c>
      <c r="Q808">
        <v>4</v>
      </c>
      <c r="R808">
        <v>4</v>
      </c>
      <c r="S808">
        <v>5</v>
      </c>
      <c r="T808" s="123">
        <f t="shared" si="62"/>
        <v>0</v>
      </c>
      <c r="U808">
        <f t="shared" si="63"/>
        <v>0</v>
      </c>
      <c r="V808">
        <f t="shared" si="64"/>
        <v>1</v>
      </c>
      <c r="W808">
        <f t="shared" si="65"/>
        <v>1</v>
      </c>
      <c r="X808">
        <f t="shared" si="66"/>
        <v>1</v>
      </c>
    </row>
    <row r="809" spans="1:24">
      <c r="A809" t="s">
        <v>204</v>
      </c>
      <c r="B809">
        <v>2</v>
      </c>
      <c r="C809">
        <v>1</v>
      </c>
      <c r="D809">
        <v>98.082556591211727</v>
      </c>
      <c r="E809">
        <v>96.484687083888161</v>
      </c>
      <c r="F809">
        <v>94.660452729693745</v>
      </c>
      <c r="G809">
        <v>1.411451398135821</v>
      </c>
      <c r="H809">
        <v>1.398135818908125</v>
      </c>
      <c r="I809">
        <v>0</v>
      </c>
      <c r="J809">
        <v>0</v>
      </c>
      <c r="K809">
        <v>1</v>
      </c>
      <c r="L809">
        <v>1</v>
      </c>
      <c r="M809">
        <v>1</v>
      </c>
      <c r="N809">
        <v>35</v>
      </c>
      <c r="O809">
        <v>75000</v>
      </c>
      <c r="P809">
        <v>3</v>
      </c>
      <c r="Q809">
        <v>4</v>
      </c>
      <c r="R809">
        <v>4</v>
      </c>
      <c r="S809">
        <v>5</v>
      </c>
      <c r="T809" s="123">
        <f t="shared" si="62"/>
        <v>0</v>
      </c>
      <c r="U809">
        <f t="shared" si="63"/>
        <v>0</v>
      </c>
      <c r="V809">
        <f t="shared" si="64"/>
        <v>1</v>
      </c>
      <c r="W809">
        <f t="shared" si="65"/>
        <v>1</v>
      </c>
      <c r="X809">
        <f t="shared" si="66"/>
        <v>1</v>
      </c>
    </row>
    <row r="810" spans="1:24">
      <c r="A810" t="s">
        <v>204</v>
      </c>
      <c r="B810">
        <v>3</v>
      </c>
      <c r="C810">
        <v>1</v>
      </c>
      <c r="D810">
        <v>50</v>
      </c>
      <c r="E810">
        <v>95.312916111850868</v>
      </c>
      <c r="F810">
        <v>92.636484687083893</v>
      </c>
      <c r="G810">
        <v>3.3288948069240991</v>
      </c>
      <c r="H810">
        <v>9.906790945406124</v>
      </c>
      <c r="I810">
        <v>0</v>
      </c>
      <c r="J810">
        <v>0</v>
      </c>
      <c r="K810">
        <v>1</v>
      </c>
      <c r="L810">
        <v>1</v>
      </c>
      <c r="M810">
        <v>1</v>
      </c>
      <c r="N810">
        <v>35</v>
      </c>
      <c r="O810">
        <v>75000</v>
      </c>
      <c r="P810">
        <v>3</v>
      </c>
      <c r="Q810">
        <v>4</v>
      </c>
      <c r="R810">
        <v>4</v>
      </c>
      <c r="S810">
        <v>5</v>
      </c>
      <c r="T810" s="123">
        <f t="shared" si="62"/>
        <v>0</v>
      </c>
      <c r="U810">
        <f t="shared" si="63"/>
        <v>0</v>
      </c>
      <c r="V810">
        <f t="shared" si="64"/>
        <v>1</v>
      </c>
      <c r="W810">
        <f t="shared" si="65"/>
        <v>1</v>
      </c>
      <c r="X810">
        <f t="shared" si="66"/>
        <v>1</v>
      </c>
    </row>
    <row r="811" spans="1:24">
      <c r="A811" t="s">
        <v>204</v>
      </c>
      <c r="B811">
        <v>4</v>
      </c>
      <c r="C811">
        <v>1</v>
      </c>
      <c r="D811">
        <v>98.828229027962706</v>
      </c>
      <c r="E811">
        <v>96.671105193075903</v>
      </c>
      <c r="F811">
        <v>96.99067909454061</v>
      </c>
      <c r="G811">
        <v>0</v>
      </c>
      <c r="H811">
        <v>1.3315579227696221E-2</v>
      </c>
      <c r="I811">
        <v>0</v>
      </c>
      <c r="J811">
        <v>0</v>
      </c>
      <c r="K811">
        <v>1</v>
      </c>
      <c r="L811">
        <v>1</v>
      </c>
      <c r="M811">
        <v>1</v>
      </c>
      <c r="N811">
        <v>35</v>
      </c>
      <c r="O811">
        <v>75000</v>
      </c>
      <c r="P811">
        <v>3</v>
      </c>
      <c r="Q811">
        <v>4</v>
      </c>
      <c r="R811">
        <v>4</v>
      </c>
      <c r="S811">
        <v>5</v>
      </c>
      <c r="T811" s="123">
        <f t="shared" si="62"/>
        <v>0</v>
      </c>
      <c r="U811">
        <f t="shared" si="63"/>
        <v>0</v>
      </c>
      <c r="V811">
        <f t="shared" si="64"/>
        <v>1</v>
      </c>
      <c r="W811">
        <f t="shared" si="65"/>
        <v>1</v>
      </c>
      <c r="X811">
        <f t="shared" si="66"/>
        <v>1</v>
      </c>
    </row>
    <row r="812" spans="1:24">
      <c r="A812" t="s">
        <v>204</v>
      </c>
      <c r="B812">
        <v>5</v>
      </c>
      <c r="C812">
        <v>1</v>
      </c>
      <c r="D812">
        <v>99.134487350199734</v>
      </c>
      <c r="E812">
        <v>97.736351531291604</v>
      </c>
      <c r="F812">
        <v>97.736351531291604</v>
      </c>
      <c r="G812">
        <v>2.6364846870838901</v>
      </c>
      <c r="H812">
        <v>3.2623169107856178</v>
      </c>
      <c r="I812">
        <v>0</v>
      </c>
      <c r="J812">
        <v>0</v>
      </c>
      <c r="K812">
        <v>1</v>
      </c>
      <c r="L812">
        <v>1</v>
      </c>
      <c r="M812">
        <v>1</v>
      </c>
      <c r="N812">
        <v>35</v>
      </c>
      <c r="O812">
        <v>75000</v>
      </c>
      <c r="P812">
        <v>3</v>
      </c>
      <c r="Q812">
        <v>4</v>
      </c>
      <c r="R812">
        <v>4</v>
      </c>
      <c r="S812">
        <v>5</v>
      </c>
      <c r="T812" s="123">
        <f t="shared" si="62"/>
        <v>0</v>
      </c>
      <c r="U812">
        <f t="shared" si="63"/>
        <v>0</v>
      </c>
      <c r="V812">
        <f t="shared" si="64"/>
        <v>1</v>
      </c>
      <c r="W812">
        <f t="shared" si="65"/>
        <v>1</v>
      </c>
      <c r="X812">
        <f t="shared" si="66"/>
        <v>1</v>
      </c>
    </row>
    <row r="813" spans="1:24">
      <c r="A813" t="s">
        <v>204</v>
      </c>
      <c r="B813">
        <v>6</v>
      </c>
      <c r="C813">
        <v>1</v>
      </c>
      <c r="D813">
        <v>99.334221038615183</v>
      </c>
      <c r="E813">
        <v>97.589880159786958</v>
      </c>
      <c r="F813">
        <v>97.962716378162455</v>
      </c>
      <c r="G813">
        <v>1.1185086551264991</v>
      </c>
      <c r="H813">
        <v>3.82157123834887</v>
      </c>
      <c r="I813">
        <v>0</v>
      </c>
      <c r="J813">
        <v>0</v>
      </c>
      <c r="K813">
        <v>1</v>
      </c>
      <c r="L813">
        <v>1</v>
      </c>
      <c r="M813">
        <v>1</v>
      </c>
      <c r="N813">
        <v>35</v>
      </c>
      <c r="O813">
        <v>75000</v>
      </c>
      <c r="P813">
        <v>3</v>
      </c>
      <c r="Q813">
        <v>4</v>
      </c>
      <c r="R813">
        <v>4</v>
      </c>
      <c r="S813">
        <v>5</v>
      </c>
      <c r="T813" s="123">
        <f t="shared" si="62"/>
        <v>0</v>
      </c>
      <c r="U813">
        <f t="shared" si="63"/>
        <v>0</v>
      </c>
      <c r="V813">
        <f t="shared" si="64"/>
        <v>1</v>
      </c>
      <c r="W813">
        <f t="shared" si="65"/>
        <v>1</v>
      </c>
      <c r="X813">
        <f t="shared" si="66"/>
        <v>1</v>
      </c>
    </row>
    <row r="814" spans="1:24">
      <c r="A814" t="s">
        <v>204</v>
      </c>
      <c r="B814">
        <v>7</v>
      </c>
      <c r="C814">
        <v>1</v>
      </c>
      <c r="D814">
        <v>98.73501997336885</v>
      </c>
      <c r="E814">
        <v>99.360852197070571</v>
      </c>
      <c r="F814">
        <v>97.749667110519312</v>
      </c>
      <c r="G814">
        <v>2.3834886817576559</v>
      </c>
      <c r="H814">
        <v>3.9547270306258322</v>
      </c>
      <c r="I814">
        <v>0</v>
      </c>
      <c r="J814">
        <v>1</v>
      </c>
      <c r="K814">
        <v>1</v>
      </c>
      <c r="L814">
        <v>1</v>
      </c>
      <c r="M814">
        <v>1</v>
      </c>
      <c r="N814">
        <v>35</v>
      </c>
      <c r="O814">
        <v>75000</v>
      </c>
      <c r="P814">
        <v>3</v>
      </c>
      <c r="Q814">
        <v>4</v>
      </c>
      <c r="R814">
        <v>4</v>
      </c>
      <c r="S814">
        <v>5</v>
      </c>
      <c r="T814" s="123">
        <f t="shared" si="62"/>
        <v>0</v>
      </c>
      <c r="U814">
        <f t="shared" si="63"/>
        <v>0</v>
      </c>
      <c r="V814">
        <f t="shared" si="64"/>
        <v>1</v>
      </c>
      <c r="W814">
        <f t="shared" si="65"/>
        <v>1</v>
      </c>
      <c r="X814">
        <f t="shared" si="66"/>
        <v>1</v>
      </c>
    </row>
    <row r="815" spans="1:24">
      <c r="A815" t="s">
        <v>205</v>
      </c>
      <c r="B815">
        <v>1</v>
      </c>
      <c r="C815">
        <v>1</v>
      </c>
      <c r="D815">
        <v>3.2363907531692768</v>
      </c>
      <c r="E815">
        <v>5.3616703952274412</v>
      </c>
      <c r="F815">
        <v>5.1081282624906796</v>
      </c>
      <c r="G815">
        <v>96.517524235645041</v>
      </c>
      <c r="H815">
        <v>5.2348993288590604</v>
      </c>
      <c r="I815">
        <v>1</v>
      </c>
      <c r="J815">
        <v>0</v>
      </c>
      <c r="K815">
        <v>0</v>
      </c>
      <c r="L815">
        <v>1</v>
      </c>
      <c r="M815">
        <v>0</v>
      </c>
      <c r="N815">
        <v>46</v>
      </c>
      <c r="O815">
        <v>37000</v>
      </c>
      <c r="P815">
        <v>1</v>
      </c>
      <c r="Q815">
        <v>1</v>
      </c>
      <c r="R815">
        <v>3</v>
      </c>
      <c r="S815">
        <v>5</v>
      </c>
      <c r="T815" s="123">
        <f t="shared" si="62"/>
        <v>0</v>
      </c>
      <c r="U815">
        <f t="shared" si="63"/>
        <v>0</v>
      </c>
      <c r="V815">
        <f t="shared" si="64"/>
        <v>0</v>
      </c>
      <c r="W815">
        <f t="shared" si="65"/>
        <v>0</v>
      </c>
      <c r="X815">
        <f t="shared" si="66"/>
        <v>1</v>
      </c>
    </row>
    <row r="816" spans="1:24">
      <c r="A816" t="s">
        <v>205</v>
      </c>
      <c r="B816">
        <v>2</v>
      </c>
      <c r="C816">
        <v>1</v>
      </c>
      <c r="D816">
        <v>3.715132066156507</v>
      </c>
      <c r="E816">
        <v>8.4423599111330514</v>
      </c>
      <c r="F816">
        <v>50</v>
      </c>
      <c r="G816">
        <v>62.330288817575912</v>
      </c>
      <c r="H816">
        <v>4.3446062700567776</v>
      </c>
      <c r="I816">
        <v>0</v>
      </c>
      <c r="J816">
        <v>0</v>
      </c>
      <c r="K816">
        <v>0</v>
      </c>
      <c r="L816">
        <v>1</v>
      </c>
      <c r="M816">
        <v>0</v>
      </c>
      <c r="N816">
        <v>46</v>
      </c>
      <c r="O816">
        <v>37000</v>
      </c>
      <c r="P816">
        <v>1</v>
      </c>
      <c r="Q816">
        <v>1</v>
      </c>
      <c r="R816">
        <v>3</v>
      </c>
      <c r="S816">
        <v>5</v>
      </c>
      <c r="T816" s="123">
        <f t="shared" si="62"/>
        <v>0</v>
      </c>
      <c r="U816">
        <f t="shared" si="63"/>
        <v>0</v>
      </c>
      <c r="V816">
        <f t="shared" si="64"/>
        <v>0</v>
      </c>
      <c r="W816">
        <f t="shared" si="65"/>
        <v>0</v>
      </c>
      <c r="X816">
        <f t="shared" si="66"/>
        <v>1</v>
      </c>
    </row>
    <row r="817" spans="1:24">
      <c r="A817" t="s">
        <v>205</v>
      </c>
      <c r="B817">
        <v>3</v>
      </c>
      <c r="C817">
        <v>1</v>
      </c>
      <c r="D817">
        <v>3.0980004937052552</v>
      </c>
      <c r="E817">
        <v>6.1836583559614908</v>
      </c>
      <c r="F817">
        <v>2.271044186620585</v>
      </c>
      <c r="G817">
        <v>97.728955813379415</v>
      </c>
      <c r="H817">
        <v>4.122438903974329</v>
      </c>
      <c r="I817">
        <v>0</v>
      </c>
      <c r="J817">
        <v>0</v>
      </c>
      <c r="K817">
        <v>0</v>
      </c>
      <c r="L817">
        <v>1</v>
      </c>
      <c r="M817">
        <v>0</v>
      </c>
      <c r="N817">
        <v>46</v>
      </c>
      <c r="O817">
        <v>37000</v>
      </c>
      <c r="P817">
        <v>1</v>
      </c>
      <c r="Q817">
        <v>1</v>
      </c>
      <c r="R817">
        <v>3</v>
      </c>
      <c r="S817">
        <v>5</v>
      </c>
      <c r="T817" s="123">
        <f t="shared" si="62"/>
        <v>0</v>
      </c>
      <c r="U817">
        <f t="shared" si="63"/>
        <v>0</v>
      </c>
      <c r="V817">
        <f t="shared" si="64"/>
        <v>0</v>
      </c>
      <c r="W817">
        <f t="shared" si="65"/>
        <v>0</v>
      </c>
      <c r="X817">
        <f t="shared" si="66"/>
        <v>1</v>
      </c>
    </row>
    <row r="818" spans="1:24">
      <c r="A818" t="s">
        <v>205</v>
      </c>
      <c r="B818">
        <v>4</v>
      </c>
      <c r="C818">
        <v>1</v>
      </c>
      <c r="D818">
        <v>5.3567020488768211</v>
      </c>
      <c r="E818">
        <v>50</v>
      </c>
      <c r="F818">
        <v>19.735867686990861</v>
      </c>
      <c r="G818">
        <v>72.833868180696129</v>
      </c>
      <c r="H818">
        <v>18.526289804986419</v>
      </c>
      <c r="I818">
        <v>0</v>
      </c>
      <c r="J818">
        <v>0</v>
      </c>
      <c r="K818">
        <v>0</v>
      </c>
      <c r="L818">
        <v>1</v>
      </c>
      <c r="M818">
        <v>0</v>
      </c>
      <c r="N818">
        <v>46</v>
      </c>
      <c r="O818">
        <v>37000</v>
      </c>
      <c r="P818">
        <v>1</v>
      </c>
      <c r="Q818">
        <v>1</v>
      </c>
      <c r="R818">
        <v>3</v>
      </c>
      <c r="S818">
        <v>5</v>
      </c>
      <c r="T818" s="123">
        <f t="shared" si="62"/>
        <v>0</v>
      </c>
      <c r="U818">
        <f t="shared" si="63"/>
        <v>0</v>
      </c>
      <c r="V818">
        <f t="shared" si="64"/>
        <v>0</v>
      </c>
      <c r="W818">
        <f t="shared" si="65"/>
        <v>0</v>
      </c>
      <c r="X818">
        <f t="shared" si="66"/>
        <v>1</v>
      </c>
    </row>
    <row r="819" spans="1:24">
      <c r="A819" t="s">
        <v>205</v>
      </c>
      <c r="B819">
        <v>5</v>
      </c>
      <c r="C819">
        <v>1</v>
      </c>
      <c r="D819">
        <v>0</v>
      </c>
      <c r="E819">
        <v>6.1960009874105157</v>
      </c>
      <c r="F819">
        <v>6.1836583559614908</v>
      </c>
      <c r="G819">
        <v>75.907183411503325</v>
      </c>
      <c r="H819">
        <v>3.3078252283386789</v>
      </c>
      <c r="I819">
        <v>0</v>
      </c>
      <c r="J819">
        <v>0</v>
      </c>
      <c r="K819">
        <v>0</v>
      </c>
      <c r="L819">
        <v>1</v>
      </c>
      <c r="M819">
        <v>0</v>
      </c>
      <c r="N819">
        <v>46</v>
      </c>
      <c r="O819">
        <v>37000</v>
      </c>
      <c r="P819">
        <v>1</v>
      </c>
      <c r="Q819">
        <v>1</v>
      </c>
      <c r="R819">
        <v>3</v>
      </c>
      <c r="S819">
        <v>5</v>
      </c>
      <c r="T819" s="123">
        <f t="shared" si="62"/>
        <v>0</v>
      </c>
      <c r="U819">
        <f t="shared" si="63"/>
        <v>0</v>
      </c>
      <c r="V819">
        <f t="shared" si="64"/>
        <v>0</v>
      </c>
      <c r="W819">
        <f t="shared" si="65"/>
        <v>0</v>
      </c>
      <c r="X819">
        <f t="shared" si="66"/>
        <v>1</v>
      </c>
    </row>
    <row r="820" spans="1:24">
      <c r="A820" t="s">
        <v>205</v>
      </c>
      <c r="B820">
        <v>6</v>
      </c>
      <c r="C820">
        <v>1</v>
      </c>
      <c r="D820">
        <v>10.0962725253024</v>
      </c>
      <c r="E820">
        <v>8.2448778079486527</v>
      </c>
      <c r="F820">
        <v>8.0473957047642539</v>
      </c>
      <c r="G820">
        <v>92.174771661318204</v>
      </c>
      <c r="H820">
        <v>2.271044186620585</v>
      </c>
      <c r="I820">
        <v>0</v>
      </c>
      <c r="J820">
        <v>0</v>
      </c>
      <c r="K820">
        <v>0</v>
      </c>
      <c r="L820">
        <v>1</v>
      </c>
      <c r="M820">
        <v>0</v>
      </c>
      <c r="N820">
        <v>46</v>
      </c>
      <c r="O820">
        <v>37000</v>
      </c>
      <c r="P820">
        <v>1</v>
      </c>
      <c r="Q820">
        <v>1</v>
      </c>
      <c r="R820">
        <v>3</v>
      </c>
      <c r="S820">
        <v>5</v>
      </c>
      <c r="T820" s="123">
        <f t="shared" si="62"/>
        <v>0</v>
      </c>
      <c r="U820">
        <f t="shared" si="63"/>
        <v>0</v>
      </c>
      <c r="V820">
        <f t="shared" si="64"/>
        <v>0</v>
      </c>
      <c r="W820">
        <f t="shared" si="65"/>
        <v>0</v>
      </c>
      <c r="X820">
        <f t="shared" si="66"/>
        <v>1</v>
      </c>
    </row>
    <row r="821" spans="1:24">
      <c r="A821" t="s">
        <v>205</v>
      </c>
      <c r="B821">
        <v>7</v>
      </c>
      <c r="C821">
        <v>1</v>
      </c>
      <c r="D821">
        <v>9.0594914835843028</v>
      </c>
      <c r="E821">
        <v>5.1468773142433966</v>
      </c>
      <c r="F821">
        <v>9.2816588496667514</v>
      </c>
      <c r="G821">
        <v>97.099481609479142</v>
      </c>
      <c r="H821">
        <v>8.2448778079486527</v>
      </c>
      <c r="I821">
        <v>0</v>
      </c>
      <c r="J821">
        <v>1</v>
      </c>
      <c r="K821">
        <v>0</v>
      </c>
      <c r="L821">
        <v>1</v>
      </c>
      <c r="M821">
        <v>0</v>
      </c>
      <c r="N821">
        <v>46</v>
      </c>
      <c r="O821">
        <v>37000</v>
      </c>
      <c r="P821">
        <v>1</v>
      </c>
      <c r="Q821">
        <v>1</v>
      </c>
      <c r="R821">
        <v>3</v>
      </c>
      <c r="S821">
        <v>5</v>
      </c>
      <c r="T821" s="123">
        <f t="shared" si="62"/>
        <v>0</v>
      </c>
      <c r="U821">
        <f t="shared" si="63"/>
        <v>0</v>
      </c>
      <c r="V821">
        <f t="shared" si="64"/>
        <v>0</v>
      </c>
      <c r="W821">
        <f t="shared" si="65"/>
        <v>0</v>
      </c>
      <c r="X821">
        <f t="shared" si="66"/>
        <v>1</v>
      </c>
    </row>
    <row r="822" spans="1:24">
      <c r="A822" t="s">
        <v>206</v>
      </c>
      <c r="B822">
        <v>1</v>
      </c>
      <c r="C822">
        <v>1</v>
      </c>
      <c r="D822">
        <v>81.021328246922138</v>
      </c>
      <c r="E822">
        <v>97.407664296861455</v>
      </c>
      <c r="F822">
        <v>8.7046991503381292</v>
      </c>
      <c r="G822">
        <v>84.610716143575516</v>
      </c>
      <c r="H822">
        <v>7.0920756025663279</v>
      </c>
      <c r="I822">
        <v>1</v>
      </c>
      <c r="J822">
        <v>0</v>
      </c>
      <c r="K822">
        <v>1</v>
      </c>
      <c r="L822">
        <v>1</v>
      </c>
      <c r="M822">
        <v>0</v>
      </c>
      <c r="N822">
        <v>20</v>
      </c>
      <c r="O822">
        <v>-99</v>
      </c>
      <c r="P822">
        <v>3</v>
      </c>
      <c r="Q822">
        <v>3</v>
      </c>
      <c r="R822">
        <v>3</v>
      </c>
      <c r="S822">
        <v>3</v>
      </c>
      <c r="T822" s="123">
        <f t="shared" si="62"/>
        <v>0</v>
      </c>
      <c r="U822">
        <f t="shared" si="63"/>
        <v>0</v>
      </c>
      <c r="V822">
        <f t="shared" si="64"/>
        <v>0</v>
      </c>
      <c r="W822">
        <f t="shared" si="65"/>
        <v>0</v>
      </c>
      <c r="X822">
        <f t="shared" si="66"/>
        <v>0</v>
      </c>
    </row>
    <row r="823" spans="1:24">
      <c r="A823" t="s">
        <v>206</v>
      </c>
      <c r="B823">
        <v>2</v>
      </c>
      <c r="C823">
        <v>1</v>
      </c>
      <c r="D823">
        <v>97.825573150555428</v>
      </c>
      <c r="E823">
        <v>88.824345413559911</v>
      </c>
      <c r="F823">
        <v>95.07208697707398</v>
      </c>
      <c r="G823">
        <v>50</v>
      </c>
      <c r="H823">
        <v>98.227369416213662</v>
      </c>
      <c r="I823">
        <v>0</v>
      </c>
      <c r="J823">
        <v>0</v>
      </c>
      <c r="K823">
        <v>1</v>
      </c>
      <c r="L823">
        <v>1</v>
      </c>
      <c r="M823">
        <v>0</v>
      </c>
      <c r="N823">
        <v>20</v>
      </c>
      <c r="O823">
        <v>-99</v>
      </c>
      <c r="P823">
        <v>3</v>
      </c>
      <c r="Q823">
        <v>3</v>
      </c>
      <c r="R823">
        <v>3</v>
      </c>
      <c r="S823">
        <v>3</v>
      </c>
      <c r="T823" s="123">
        <f t="shared" si="62"/>
        <v>0</v>
      </c>
      <c r="U823">
        <f t="shared" si="63"/>
        <v>0</v>
      </c>
      <c r="V823">
        <f t="shared" si="64"/>
        <v>0</v>
      </c>
      <c r="W823">
        <f t="shared" si="65"/>
        <v>0</v>
      </c>
      <c r="X823">
        <f t="shared" si="66"/>
        <v>0</v>
      </c>
    </row>
    <row r="824" spans="1:24">
      <c r="A824" t="s">
        <v>206</v>
      </c>
      <c r="B824">
        <v>3</v>
      </c>
      <c r="C824">
        <v>1</v>
      </c>
      <c r="D824">
        <v>95.887497045615703</v>
      </c>
      <c r="E824">
        <v>91.692271330654691</v>
      </c>
      <c r="F824">
        <v>86.906168754431576</v>
      </c>
      <c r="G824">
        <v>50</v>
      </c>
      <c r="H824">
        <v>92.105885133538166</v>
      </c>
      <c r="I824">
        <v>0</v>
      </c>
      <c r="J824">
        <v>0</v>
      </c>
      <c r="K824">
        <v>1</v>
      </c>
      <c r="L824">
        <v>1</v>
      </c>
      <c r="M824">
        <v>0</v>
      </c>
      <c r="N824">
        <v>20</v>
      </c>
      <c r="O824">
        <v>-99</v>
      </c>
      <c r="P824">
        <v>3</v>
      </c>
      <c r="Q824">
        <v>3</v>
      </c>
      <c r="R824">
        <v>3</v>
      </c>
      <c r="S824">
        <v>3</v>
      </c>
      <c r="T824" s="123">
        <f t="shared" si="62"/>
        <v>0</v>
      </c>
      <c r="U824">
        <f t="shared" si="63"/>
        <v>0</v>
      </c>
      <c r="V824">
        <f t="shared" si="64"/>
        <v>0</v>
      </c>
      <c r="W824">
        <f t="shared" si="65"/>
        <v>0</v>
      </c>
      <c r="X824">
        <f t="shared" si="66"/>
        <v>0</v>
      </c>
    </row>
    <row r="825" spans="1:24">
      <c r="A825" t="s">
        <v>206</v>
      </c>
      <c r="B825">
        <v>4</v>
      </c>
      <c r="C825">
        <v>1</v>
      </c>
      <c r="D825">
        <v>75.289529662018424</v>
      </c>
      <c r="E825">
        <v>97.837390687780669</v>
      </c>
      <c r="F825">
        <v>98.227369416213662</v>
      </c>
      <c r="G825">
        <v>34.365398251004493</v>
      </c>
      <c r="H825">
        <v>47.411959347671953</v>
      </c>
      <c r="I825">
        <v>0</v>
      </c>
      <c r="J825">
        <v>0</v>
      </c>
      <c r="K825">
        <v>1</v>
      </c>
      <c r="L825">
        <v>1</v>
      </c>
      <c r="M825">
        <v>0</v>
      </c>
      <c r="N825">
        <v>20</v>
      </c>
      <c r="O825">
        <v>-99</v>
      </c>
      <c r="P825">
        <v>3</v>
      </c>
      <c r="Q825">
        <v>3</v>
      </c>
      <c r="R825">
        <v>3</v>
      </c>
      <c r="S825">
        <v>3</v>
      </c>
      <c r="T825" s="123">
        <f t="shared" si="62"/>
        <v>0</v>
      </c>
      <c r="U825">
        <f t="shared" si="63"/>
        <v>0</v>
      </c>
      <c r="V825">
        <f t="shared" si="64"/>
        <v>0</v>
      </c>
      <c r="W825">
        <f t="shared" si="65"/>
        <v>0</v>
      </c>
      <c r="X825">
        <f t="shared" si="66"/>
        <v>0</v>
      </c>
    </row>
    <row r="826" spans="1:24">
      <c r="A826" t="s">
        <v>206</v>
      </c>
      <c r="B826">
        <v>5</v>
      </c>
      <c r="C826">
        <v>1</v>
      </c>
      <c r="D826">
        <v>100</v>
      </c>
      <c r="E826">
        <v>98.203734341763166</v>
      </c>
      <c r="F826">
        <v>94.244859371307015</v>
      </c>
      <c r="G826">
        <v>81.848262822027891</v>
      </c>
      <c r="H826">
        <v>98.014653746159297</v>
      </c>
      <c r="I826">
        <v>0</v>
      </c>
      <c r="J826">
        <v>0</v>
      </c>
      <c r="K826">
        <v>1</v>
      </c>
      <c r="L826">
        <v>1</v>
      </c>
      <c r="M826">
        <v>0</v>
      </c>
      <c r="N826">
        <v>20</v>
      </c>
      <c r="O826">
        <v>-99</v>
      </c>
      <c r="P826">
        <v>3</v>
      </c>
      <c r="Q826">
        <v>3</v>
      </c>
      <c r="R826">
        <v>3</v>
      </c>
      <c r="S826">
        <v>3</v>
      </c>
      <c r="T826" s="123">
        <f t="shared" si="62"/>
        <v>0</v>
      </c>
      <c r="U826">
        <f t="shared" si="63"/>
        <v>0</v>
      </c>
      <c r="V826">
        <f t="shared" si="64"/>
        <v>0</v>
      </c>
      <c r="W826">
        <f t="shared" si="65"/>
        <v>0</v>
      </c>
      <c r="X826">
        <f t="shared" si="66"/>
        <v>0</v>
      </c>
    </row>
    <row r="827" spans="1:24">
      <c r="A827" t="s">
        <v>206</v>
      </c>
      <c r="B827">
        <v>6</v>
      </c>
      <c r="C827">
        <v>1</v>
      </c>
      <c r="D827">
        <v>15.043724887733401</v>
      </c>
      <c r="E827">
        <v>3.568896242023162</v>
      </c>
      <c r="F827">
        <v>3.568896242023162</v>
      </c>
      <c r="G827">
        <v>82.805483337272506</v>
      </c>
      <c r="H827">
        <v>93.724887733396358</v>
      </c>
      <c r="I827">
        <v>0</v>
      </c>
      <c r="J827">
        <v>0</v>
      </c>
      <c r="K827">
        <v>0</v>
      </c>
      <c r="L827">
        <v>1</v>
      </c>
      <c r="M827">
        <v>0</v>
      </c>
      <c r="N827">
        <v>20</v>
      </c>
      <c r="O827">
        <v>-99</v>
      </c>
      <c r="P827">
        <v>3</v>
      </c>
      <c r="Q827">
        <v>3</v>
      </c>
      <c r="R827">
        <v>3</v>
      </c>
      <c r="S827">
        <v>3</v>
      </c>
      <c r="T827" s="123">
        <f t="shared" si="62"/>
        <v>0</v>
      </c>
      <c r="U827">
        <f t="shared" si="63"/>
        <v>0</v>
      </c>
      <c r="V827">
        <f t="shared" si="64"/>
        <v>0</v>
      </c>
      <c r="W827">
        <f t="shared" si="65"/>
        <v>0</v>
      </c>
      <c r="X827">
        <f t="shared" si="66"/>
        <v>0</v>
      </c>
    </row>
    <row r="828" spans="1:24" hidden="1">
      <c r="A828" t="s">
        <v>206</v>
      </c>
      <c r="B828">
        <v>7</v>
      </c>
      <c r="C828">
        <v>1</v>
      </c>
      <c r="D828">
        <v>7.5277712124793172</v>
      </c>
      <c r="E828">
        <v>5.9678562987473427</v>
      </c>
      <c r="F828">
        <v>11.61663909241314</v>
      </c>
      <c r="G828">
        <v>14.39376034034508</v>
      </c>
      <c r="H828">
        <v>81.635547151973526</v>
      </c>
      <c r="I828">
        <v>0</v>
      </c>
      <c r="J828">
        <v>1</v>
      </c>
      <c r="K828">
        <v>0</v>
      </c>
      <c r="L828">
        <v>1</v>
      </c>
      <c r="M828">
        <v>0</v>
      </c>
      <c r="N828">
        <v>20</v>
      </c>
      <c r="O828">
        <v>-99</v>
      </c>
      <c r="P828">
        <v>3</v>
      </c>
      <c r="Q828">
        <v>3</v>
      </c>
      <c r="R828">
        <v>3</v>
      </c>
      <c r="S828">
        <v>3</v>
      </c>
      <c r="T828" s="123">
        <f t="shared" si="62"/>
        <v>1</v>
      </c>
      <c r="U828">
        <f t="shared" si="63"/>
        <v>0</v>
      </c>
      <c r="V828">
        <f t="shared" si="64"/>
        <v>0</v>
      </c>
      <c r="W828">
        <f t="shared" si="65"/>
        <v>0</v>
      </c>
      <c r="X828">
        <f t="shared" si="66"/>
        <v>0</v>
      </c>
    </row>
    <row r="829" spans="1:24">
      <c r="A829" t="s">
        <v>207</v>
      </c>
      <c r="B829">
        <v>1</v>
      </c>
      <c r="C829">
        <v>1</v>
      </c>
      <c r="D829">
        <v>94.440846286701202</v>
      </c>
      <c r="E829">
        <v>94.235751295336783</v>
      </c>
      <c r="F829">
        <v>92.746113989637308</v>
      </c>
      <c r="G829">
        <v>6.9840241796200351</v>
      </c>
      <c r="H829">
        <v>77.493523316062181</v>
      </c>
      <c r="I829">
        <v>1</v>
      </c>
      <c r="J829">
        <v>0</v>
      </c>
      <c r="K829">
        <v>1</v>
      </c>
      <c r="L829">
        <v>1</v>
      </c>
      <c r="M829">
        <v>0</v>
      </c>
      <c r="N829">
        <v>25</v>
      </c>
      <c r="O829">
        <v>50000</v>
      </c>
      <c r="P829">
        <v>2</v>
      </c>
      <c r="Q829">
        <v>4</v>
      </c>
      <c r="R829">
        <v>2</v>
      </c>
      <c r="S829">
        <v>4</v>
      </c>
      <c r="T829" s="123">
        <f t="shared" si="62"/>
        <v>0</v>
      </c>
      <c r="U829">
        <f t="shared" si="63"/>
        <v>0</v>
      </c>
      <c r="V829">
        <f t="shared" si="64"/>
        <v>1</v>
      </c>
      <c r="W829">
        <f t="shared" si="65"/>
        <v>0</v>
      </c>
      <c r="X829">
        <f t="shared" si="66"/>
        <v>1</v>
      </c>
    </row>
    <row r="830" spans="1:24">
      <c r="A830" t="s">
        <v>207</v>
      </c>
      <c r="B830">
        <v>2</v>
      </c>
      <c r="C830">
        <v>1</v>
      </c>
      <c r="D830">
        <v>86.463071258392901</v>
      </c>
      <c r="E830">
        <v>50</v>
      </c>
      <c r="F830">
        <v>91.509638293264018</v>
      </c>
      <c r="G830">
        <v>14.81481481481481</v>
      </c>
      <c r="H830">
        <v>11.035304310158111</v>
      </c>
      <c r="I830">
        <v>0</v>
      </c>
      <c r="J830">
        <v>0</v>
      </c>
      <c r="K830">
        <v>1</v>
      </c>
      <c r="L830">
        <v>1</v>
      </c>
      <c r="M830">
        <v>0</v>
      </c>
      <c r="N830">
        <v>25</v>
      </c>
      <c r="O830">
        <v>50000</v>
      </c>
      <c r="P830">
        <v>2</v>
      </c>
      <c r="Q830">
        <v>4</v>
      </c>
      <c r="R830">
        <v>2</v>
      </c>
      <c r="S830">
        <v>4</v>
      </c>
      <c r="T830" s="123">
        <f t="shared" si="62"/>
        <v>0</v>
      </c>
      <c r="U830">
        <f t="shared" si="63"/>
        <v>0</v>
      </c>
      <c r="V830">
        <f t="shared" si="64"/>
        <v>1</v>
      </c>
      <c r="W830">
        <f t="shared" si="65"/>
        <v>0</v>
      </c>
      <c r="X830">
        <f t="shared" si="66"/>
        <v>1</v>
      </c>
    </row>
    <row r="831" spans="1:24">
      <c r="A831" t="s">
        <v>207</v>
      </c>
      <c r="B831">
        <v>3</v>
      </c>
      <c r="C831">
        <v>1</v>
      </c>
      <c r="D831">
        <v>99.837556855100715</v>
      </c>
      <c r="E831">
        <v>0.57396577864414211</v>
      </c>
      <c r="F831">
        <v>2.003465453757852</v>
      </c>
      <c r="G831">
        <v>100</v>
      </c>
      <c r="H831">
        <v>97.99653454624216</v>
      </c>
      <c r="I831">
        <v>0</v>
      </c>
      <c r="J831">
        <v>0</v>
      </c>
      <c r="K831">
        <v>1</v>
      </c>
      <c r="L831">
        <v>1</v>
      </c>
      <c r="M831">
        <v>0</v>
      </c>
      <c r="N831">
        <v>25</v>
      </c>
      <c r="O831">
        <v>50000</v>
      </c>
      <c r="P831">
        <v>2</v>
      </c>
      <c r="Q831">
        <v>4</v>
      </c>
      <c r="R831">
        <v>2</v>
      </c>
      <c r="S831">
        <v>4</v>
      </c>
      <c r="T831" s="123">
        <f t="shared" si="62"/>
        <v>0</v>
      </c>
      <c r="U831">
        <f t="shared" si="63"/>
        <v>0</v>
      </c>
      <c r="V831">
        <f t="shared" si="64"/>
        <v>1</v>
      </c>
      <c r="W831">
        <f t="shared" si="65"/>
        <v>0</v>
      </c>
      <c r="X831">
        <f t="shared" si="66"/>
        <v>1</v>
      </c>
    </row>
    <row r="832" spans="1:24">
      <c r="A832" t="s">
        <v>207</v>
      </c>
      <c r="B832">
        <v>4</v>
      </c>
      <c r="C832">
        <v>1</v>
      </c>
      <c r="D832">
        <v>92.224388130820884</v>
      </c>
      <c r="E832">
        <v>95.484080571799865</v>
      </c>
      <c r="F832">
        <v>95.289148797920731</v>
      </c>
      <c r="G832">
        <v>25.319471518301931</v>
      </c>
      <c r="H832">
        <v>90.599956681828033</v>
      </c>
      <c r="I832">
        <v>0</v>
      </c>
      <c r="J832">
        <v>0</v>
      </c>
      <c r="K832">
        <v>1</v>
      </c>
      <c r="L832">
        <v>1</v>
      </c>
      <c r="M832">
        <v>0</v>
      </c>
      <c r="N832">
        <v>25</v>
      </c>
      <c r="O832">
        <v>50000</v>
      </c>
      <c r="P832">
        <v>2</v>
      </c>
      <c r="Q832">
        <v>4</v>
      </c>
      <c r="R832">
        <v>2</v>
      </c>
      <c r="S832">
        <v>4</v>
      </c>
      <c r="T832" s="123">
        <f t="shared" si="62"/>
        <v>0</v>
      </c>
      <c r="U832">
        <f t="shared" si="63"/>
        <v>0</v>
      </c>
      <c r="V832">
        <f t="shared" si="64"/>
        <v>1</v>
      </c>
      <c r="W832">
        <f t="shared" si="65"/>
        <v>0</v>
      </c>
      <c r="X832">
        <f t="shared" si="66"/>
        <v>1</v>
      </c>
    </row>
    <row r="833" spans="1:24">
      <c r="A833" t="s">
        <v>207</v>
      </c>
      <c r="B833">
        <v>5</v>
      </c>
      <c r="C833">
        <v>1</v>
      </c>
      <c r="D833">
        <v>7.7756118691791221</v>
      </c>
      <c r="E833">
        <v>8.1113277019709766</v>
      </c>
      <c r="F833">
        <v>13.72103097249297</v>
      </c>
      <c r="G833">
        <v>86.268139484513753</v>
      </c>
      <c r="H833">
        <v>71.258392895819782</v>
      </c>
      <c r="I833">
        <v>0</v>
      </c>
      <c r="J833">
        <v>0</v>
      </c>
      <c r="K833">
        <v>0</v>
      </c>
      <c r="L833">
        <v>1</v>
      </c>
      <c r="M833">
        <v>0</v>
      </c>
      <c r="N833">
        <v>25</v>
      </c>
      <c r="O833">
        <v>50000</v>
      </c>
      <c r="P833">
        <v>2</v>
      </c>
      <c r="Q833">
        <v>4</v>
      </c>
      <c r="R833">
        <v>2</v>
      </c>
      <c r="S833">
        <v>4</v>
      </c>
      <c r="T833" s="123">
        <f t="shared" si="62"/>
        <v>0</v>
      </c>
      <c r="U833">
        <f t="shared" si="63"/>
        <v>0</v>
      </c>
      <c r="V833">
        <f t="shared" si="64"/>
        <v>1</v>
      </c>
      <c r="W833">
        <f t="shared" si="65"/>
        <v>0</v>
      </c>
      <c r="X833">
        <f t="shared" si="66"/>
        <v>1</v>
      </c>
    </row>
    <row r="834" spans="1:24">
      <c r="A834" t="s">
        <v>207</v>
      </c>
      <c r="B834">
        <v>6</v>
      </c>
      <c r="C834">
        <v>1</v>
      </c>
      <c r="D834">
        <v>0.35737491877843031</v>
      </c>
      <c r="E834">
        <v>99.436863764349141</v>
      </c>
      <c r="F834">
        <v>11.60927008880225</v>
      </c>
      <c r="G834">
        <v>0.54147714966428229</v>
      </c>
      <c r="H834">
        <v>97.465886939571149</v>
      </c>
      <c r="I834">
        <v>0</v>
      </c>
      <c r="J834">
        <v>0</v>
      </c>
      <c r="K834">
        <v>0</v>
      </c>
      <c r="L834">
        <v>1</v>
      </c>
      <c r="M834">
        <v>0</v>
      </c>
      <c r="N834">
        <v>25</v>
      </c>
      <c r="O834">
        <v>50000</v>
      </c>
      <c r="P834">
        <v>2</v>
      </c>
      <c r="Q834">
        <v>4</v>
      </c>
      <c r="R834">
        <v>2</v>
      </c>
      <c r="S834">
        <v>4</v>
      </c>
      <c r="T834" s="123">
        <f t="shared" si="62"/>
        <v>0</v>
      </c>
      <c r="U834">
        <f t="shared" si="63"/>
        <v>0</v>
      </c>
      <c r="V834">
        <f t="shared" si="64"/>
        <v>1</v>
      </c>
      <c r="W834">
        <f t="shared" si="65"/>
        <v>0</v>
      </c>
      <c r="X834">
        <f t="shared" si="66"/>
        <v>1</v>
      </c>
    </row>
    <row r="835" spans="1:24">
      <c r="A835" t="s">
        <v>207</v>
      </c>
      <c r="B835">
        <v>7</v>
      </c>
      <c r="C835">
        <v>1</v>
      </c>
      <c r="D835">
        <v>93.848819579813721</v>
      </c>
      <c r="E835">
        <v>93.848819579813721</v>
      </c>
      <c r="F835">
        <v>93.296512887156169</v>
      </c>
      <c r="G835">
        <v>10.29889538661468</v>
      </c>
      <c r="H835">
        <v>8.8477366255144023</v>
      </c>
      <c r="I835">
        <v>0</v>
      </c>
      <c r="J835">
        <v>1</v>
      </c>
      <c r="K835">
        <v>1</v>
      </c>
      <c r="L835">
        <v>1</v>
      </c>
      <c r="M835">
        <v>0</v>
      </c>
      <c r="N835">
        <v>25</v>
      </c>
      <c r="O835">
        <v>50000</v>
      </c>
      <c r="P835">
        <v>2</v>
      </c>
      <c r="Q835">
        <v>4</v>
      </c>
      <c r="R835">
        <v>2</v>
      </c>
      <c r="S835">
        <v>4</v>
      </c>
      <c r="T835" s="123">
        <f t="shared" si="62"/>
        <v>0</v>
      </c>
      <c r="U835">
        <f t="shared" si="63"/>
        <v>0</v>
      </c>
      <c r="V835">
        <f t="shared" si="64"/>
        <v>1</v>
      </c>
      <c r="W835">
        <f t="shared" si="65"/>
        <v>0</v>
      </c>
      <c r="X835">
        <f t="shared" si="66"/>
        <v>1</v>
      </c>
    </row>
    <row r="836" spans="1:24">
      <c r="A836" t="s">
        <v>208</v>
      </c>
      <c r="B836">
        <v>1</v>
      </c>
      <c r="C836">
        <v>1</v>
      </c>
      <c r="D836">
        <v>90.732087227414326</v>
      </c>
      <c r="E836">
        <v>75.415368639667705</v>
      </c>
      <c r="F836">
        <v>90.719106957424714</v>
      </c>
      <c r="G836">
        <v>50</v>
      </c>
      <c r="H836">
        <v>9.1900311526479754</v>
      </c>
      <c r="I836">
        <v>1</v>
      </c>
      <c r="J836">
        <v>0</v>
      </c>
      <c r="K836">
        <v>1</v>
      </c>
      <c r="L836">
        <v>1</v>
      </c>
      <c r="M836">
        <v>0</v>
      </c>
      <c r="N836">
        <v>45</v>
      </c>
      <c r="O836">
        <v>50000</v>
      </c>
      <c r="P836">
        <v>1</v>
      </c>
      <c r="Q836">
        <v>1</v>
      </c>
      <c r="R836">
        <v>3</v>
      </c>
      <c r="S836">
        <v>3</v>
      </c>
      <c r="T836" s="123">
        <f t="shared" ref="T836:T899" si="67">IF(OR(IF(AVERAGE(E836:F836)-G836&gt;(10),1,0),IF(AVERAGE(E836:F836)-G836&lt;(-10),1,0)),0,1)</f>
        <v>0</v>
      </c>
      <c r="U836">
        <f t="shared" ref="U836:U899" si="68">IF(P836&gt;3,1,0)</f>
        <v>0</v>
      </c>
      <c r="V836">
        <f t="shared" ref="V836:V899" si="69">IF(Q836&gt;3,1,0)</f>
        <v>0</v>
      </c>
      <c r="W836">
        <f t="shared" ref="W836:W899" si="70">IF(R836&gt;3,1,0)</f>
        <v>0</v>
      </c>
      <c r="X836">
        <f t="shared" ref="X836:X899" si="71">IF(S836&gt;3,1,0)</f>
        <v>0</v>
      </c>
    </row>
    <row r="837" spans="1:24">
      <c r="A837" t="s">
        <v>208</v>
      </c>
      <c r="B837">
        <v>2</v>
      </c>
      <c r="C837">
        <v>1</v>
      </c>
      <c r="D837">
        <v>88.226895119418487</v>
      </c>
      <c r="E837">
        <v>98.637071651090352</v>
      </c>
      <c r="F837">
        <v>11.2668743509865</v>
      </c>
      <c r="G837">
        <v>5.5166147455867067</v>
      </c>
      <c r="H837">
        <v>4.2964693665628273</v>
      </c>
      <c r="I837">
        <v>0</v>
      </c>
      <c r="J837">
        <v>0</v>
      </c>
      <c r="K837">
        <v>1</v>
      </c>
      <c r="L837">
        <v>1</v>
      </c>
      <c r="M837">
        <v>0</v>
      </c>
      <c r="N837">
        <v>45</v>
      </c>
      <c r="O837">
        <v>50000</v>
      </c>
      <c r="P837">
        <v>1</v>
      </c>
      <c r="Q837">
        <v>1</v>
      </c>
      <c r="R837">
        <v>3</v>
      </c>
      <c r="S837">
        <v>3</v>
      </c>
      <c r="T837" s="123">
        <f t="shared" si="67"/>
        <v>0</v>
      </c>
      <c r="U837">
        <f t="shared" si="68"/>
        <v>0</v>
      </c>
      <c r="V837">
        <f t="shared" si="69"/>
        <v>0</v>
      </c>
      <c r="W837">
        <f t="shared" si="70"/>
        <v>0</v>
      </c>
      <c r="X837">
        <f t="shared" si="71"/>
        <v>0</v>
      </c>
    </row>
    <row r="838" spans="1:24">
      <c r="A838" t="s">
        <v>208</v>
      </c>
      <c r="B838">
        <v>3</v>
      </c>
      <c r="C838">
        <v>1</v>
      </c>
      <c r="D838">
        <v>6.4382139148494284</v>
      </c>
      <c r="E838">
        <v>0</v>
      </c>
      <c r="F838">
        <v>6.6718587746625149</v>
      </c>
      <c r="G838">
        <v>96.209761163032198</v>
      </c>
      <c r="H838">
        <v>96.469366562824504</v>
      </c>
      <c r="I838">
        <v>0</v>
      </c>
      <c r="J838">
        <v>0</v>
      </c>
      <c r="K838">
        <v>0</v>
      </c>
      <c r="L838">
        <v>1</v>
      </c>
      <c r="M838">
        <v>0</v>
      </c>
      <c r="N838">
        <v>45</v>
      </c>
      <c r="O838">
        <v>50000</v>
      </c>
      <c r="P838">
        <v>1</v>
      </c>
      <c r="Q838">
        <v>1</v>
      </c>
      <c r="R838">
        <v>3</v>
      </c>
      <c r="S838">
        <v>3</v>
      </c>
      <c r="T838" s="123">
        <f t="shared" si="67"/>
        <v>0</v>
      </c>
      <c r="U838">
        <f t="shared" si="68"/>
        <v>0</v>
      </c>
      <c r="V838">
        <f t="shared" si="69"/>
        <v>0</v>
      </c>
      <c r="W838">
        <f t="shared" si="70"/>
        <v>0</v>
      </c>
      <c r="X838">
        <f t="shared" si="71"/>
        <v>0</v>
      </c>
    </row>
    <row r="839" spans="1:24">
      <c r="A839" t="s">
        <v>208</v>
      </c>
      <c r="B839">
        <v>4</v>
      </c>
      <c r="C839">
        <v>1</v>
      </c>
      <c r="D839">
        <v>2.206645898234683</v>
      </c>
      <c r="E839">
        <v>3.19314641744548</v>
      </c>
      <c r="F839">
        <v>5.2829698857736247</v>
      </c>
      <c r="G839">
        <v>91.342159916926263</v>
      </c>
      <c r="H839">
        <v>86.461578400830746</v>
      </c>
      <c r="I839">
        <v>0</v>
      </c>
      <c r="J839">
        <v>0</v>
      </c>
      <c r="K839">
        <v>0</v>
      </c>
      <c r="L839">
        <v>1</v>
      </c>
      <c r="M839">
        <v>0</v>
      </c>
      <c r="N839">
        <v>45</v>
      </c>
      <c r="O839">
        <v>50000</v>
      </c>
      <c r="P839">
        <v>1</v>
      </c>
      <c r="Q839">
        <v>1</v>
      </c>
      <c r="R839">
        <v>3</v>
      </c>
      <c r="S839">
        <v>3</v>
      </c>
      <c r="T839" s="123">
        <f t="shared" si="67"/>
        <v>0</v>
      </c>
      <c r="U839">
        <f t="shared" si="68"/>
        <v>0</v>
      </c>
      <c r="V839">
        <f t="shared" si="69"/>
        <v>0</v>
      </c>
      <c r="W839">
        <f t="shared" si="70"/>
        <v>0</v>
      </c>
      <c r="X839">
        <f t="shared" si="71"/>
        <v>0</v>
      </c>
    </row>
    <row r="840" spans="1:24">
      <c r="A840" t="s">
        <v>208</v>
      </c>
      <c r="B840">
        <v>5</v>
      </c>
      <c r="C840">
        <v>1</v>
      </c>
      <c r="D840">
        <v>3.8032191069574228</v>
      </c>
      <c r="E840">
        <v>3.8032191069574228</v>
      </c>
      <c r="F840">
        <v>7.2819314641744519</v>
      </c>
      <c r="G840">
        <v>97.027518172377981</v>
      </c>
      <c r="H840">
        <v>94.470404984423666</v>
      </c>
      <c r="I840">
        <v>0</v>
      </c>
      <c r="J840">
        <v>0</v>
      </c>
      <c r="K840">
        <v>0</v>
      </c>
      <c r="L840">
        <v>1</v>
      </c>
      <c r="M840">
        <v>0</v>
      </c>
      <c r="N840">
        <v>45</v>
      </c>
      <c r="O840">
        <v>50000</v>
      </c>
      <c r="P840">
        <v>1</v>
      </c>
      <c r="Q840">
        <v>1</v>
      </c>
      <c r="R840">
        <v>3</v>
      </c>
      <c r="S840">
        <v>3</v>
      </c>
      <c r="T840" s="123">
        <f t="shared" si="67"/>
        <v>0</v>
      </c>
      <c r="U840">
        <f t="shared" si="68"/>
        <v>0</v>
      </c>
      <c r="V840">
        <f t="shared" si="69"/>
        <v>0</v>
      </c>
      <c r="W840">
        <f t="shared" si="70"/>
        <v>0</v>
      </c>
      <c r="X840">
        <f t="shared" si="71"/>
        <v>0</v>
      </c>
    </row>
    <row r="841" spans="1:24">
      <c r="A841" t="s">
        <v>208</v>
      </c>
      <c r="B841">
        <v>6</v>
      </c>
      <c r="C841">
        <v>1</v>
      </c>
      <c r="D841">
        <v>6.6588785046728933</v>
      </c>
      <c r="E841">
        <v>2.5311526479750772</v>
      </c>
      <c r="F841">
        <v>5.7113187954309419</v>
      </c>
      <c r="G841">
        <v>78.180166147455864</v>
      </c>
      <c r="H841">
        <v>88.499480789200419</v>
      </c>
      <c r="I841">
        <v>0</v>
      </c>
      <c r="J841">
        <v>0</v>
      </c>
      <c r="K841">
        <v>0</v>
      </c>
      <c r="L841">
        <v>1</v>
      </c>
      <c r="M841">
        <v>0</v>
      </c>
      <c r="N841">
        <v>45</v>
      </c>
      <c r="O841">
        <v>50000</v>
      </c>
      <c r="P841">
        <v>1</v>
      </c>
      <c r="Q841">
        <v>1</v>
      </c>
      <c r="R841">
        <v>3</v>
      </c>
      <c r="S841">
        <v>3</v>
      </c>
      <c r="T841" s="123">
        <f t="shared" si="67"/>
        <v>0</v>
      </c>
      <c r="U841">
        <f t="shared" si="68"/>
        <v>0</v>
      </c>
      <c r="V841">
        <f t="shared" si="69"/>
        <v>0</v>
      </c>
      <c r="W841">
        <f t="shared" si="70"/>
        <v>0</v>
      </c>
      <c r="X841">
        <f t="shared" si="71"/>
        <v>0</v>
      </c>
    </row>
    <row r="842" spans="1:24">
      <c r="A842" t="s">
        <v>208</v>
      </c>
      <c r="B842">
        <v>7</v>
      </c>
      <c r="C842">
        <v>1</v>
      </c>
      <c r="D842">
        <v>4.5820353063343697</v>
      </c>
      <c r="E842">
        <v>5.1401869158878508</v>
      </c>
      <c r="F842">
        <v>1.311007268951192</v>
      </c>
      <c r="G842">
        <v>89.317237798546216</v>
      </c>
      <c r="H842">
        <v>96.547248182762203</v>
      </c>
      <c r="I842">
        <v>0</v>
      </c>
      <c r="J842">
        <v>1</v>
      </c>
      <c r="K842">
        <v>0</v>
      </c>
      <c r="L842">
        <v>1</v>
      </c>
      <c r="M842">
        <v>0</v>
      </c>
      <c r="N842">
        <v>45</v>
      </c>
      <c r="O842">
        <v>50000</v>
      </c>
      <c r="P842">
        <v>1</v>
      </c>
      <c r="Q842">
        <v>1</v>
      </c>
      <c r="R842">
        <v>3</v>
      </c>
      <c r="S842">
        <v>3</v>
      </c>
      <c r="T842" s="123">
        <f t="shared" si="67"/>
        <v>0</v>
      </c>
      <c r="U842">
        <f t="shared" si="68"/>
        <v>0</v>
      </c>
      <c r="V842">
        <f t="shared" si="69"/>
        <v>0</v>
      </c>
      <c r="W842">
        <f t="shared" si="70"/>
        <v>0</v>
      </c>
      <c r="X842">
        <f t="shared" si="71"/>
        <v>0</v>
      </c>
    </row>
    <row r="843" spans="1:24">
      <c r="A843" t="s">
        <v>209</v>
      </c>
      <c r="B843">
        <v>1</v>
      </c>
      <c r="C843">
        <v>1</v>
      </c>
      <c r="D843">
        <v>89.957120288873838</v>
      </c>
      <c r="E843">
        <v>98.160686075378024</v>
      </c>
      <c r="F843">
        <v>90.600315955766192</v>
      </c>
      <c r="G843">
        <v>5.2696908147145116</v>
      </c>
      <c r="H843">
        <v>97.5739110810201</v>
      </c>
      <c r="I843">
        <v>1</v>
      </c>
      <c r="J843">
        <v>0</v>
      </c>
      <c r="K843">
        <v>1</v>
      </c>
      <c r="L843">
        <v>1</v>
      </c>
      <c r="M843">
        <v>1</v>
      </c>
      <c r="N843">
        <v>27</v>
      </c>
      <c r="O843">
        <v>80000</v>
      </c>
      <c r="P843">
        <v>2</v>
      </c>
      <c r="Q843">
        <v>3</v>
      </c>
      <c r="R843">
        <v>4</v>
      </c>
      <c r="S843">
        <v>4</v>
      </c>
      <c r="T843" s="123">
        <f t="shared" si="67"/>
        <v>0</v>
      </c>
      <c r="U843">
        <f t="shared" si="68"/>
        <v>0</v>
      </c>
      <c r="V843">
        <f t="shared" si="69"/>
        <v>0</v>
      </c>
      <c r="W843">
        <f t="shared" si="70"/>
        <v>1</v>
      </c>
      <c r="X843">
        <f t="shared" si="71"/>
        <v>1</v>
      </c>
    </row>
    <row r="844" spans="1:24">
      <c r="A844" t="s">
        <v>209</v>
      </c>
      <c r="B844">
        <v>2</v>
      </c>
      <c r="C844">
        <v>1</v>
      </c>
      <c r="D844">
        <v>95.229399680438249</v>
      </c>
      <c r="E844">
        <v>97.489157726546452</v>
      </c>
      <c r="F844">
        <v>96.770143802784744</v>
      </c>
      <c r="G844">
        <v>9.0960967815567226</v>
      </c>
      <c r="H844">
        <v>50</v>
      </c>
      <c r="I844">
        <v>0</v>
      </c>
      <c r="J844">
        <v>0</v>
      </c>
      <c r="K844">
        <v>1</v>
      </c>
      <c r="L844">
        <v>1</v>
      </c>
      <c r="M844">
        <v>1</v>
      </c>
      <c r="N844">
        <v>27</v>
      </c>
      <c r="O844">
        <v>80000</v>
      </c>
      <c r="P844">
        <v>2</v>
      </c>
      <c r="Q844">
        <v>3</v>
      </c>
      <c r="R844">
        <v>4</v>
      </c>
      <c r="S844">
        <v>4</v>
      </c>
      <c r="T844" s="123">
        <f t="shared" si="67"/>
        <v>0</v>
      </c>
      <c r="U844">
        <f t="shared" si="68"/>
        <v>0</v>
      </c>
      <c r="V844">
        <f t="shared" si="69"/>
        <v>0</v>
      </c>
      <c r="W844">
        <f t="shared" si="70"/>
        <v>1</v>
      </c>
      <c r="X844">
        <f t="shared" si="71"/>
        <v>1</v>
      </c>
    </row>
    <row r="845" spans="1:24" hidden="1">
      <c r="A845" t="s">
        <v>209</v>
      </c>
      <c r="B845">
        <v>3</v>
      </c>
      <c r="C845">
        <v>1</v>
      </c>
      <c r="D845">
        <v>0.60488472951381045</v>
      </c>
      <c r="E845">
        <v>2.8760556950467921</v>
      </c>
      <c r="F845">
        <v>0</v>
      </c>
      <c r="G845">
        <v>3.0130107281442609</v>
      </c>
      <c r="H845">
        <v>13.30746404930381</v>
      </c>
      <c r="I845">
        <v>0</v>
      </c>
      <c r="J845">
        <v>0</v>
      </c>
      <c r="K845">
        <v>0</v>
      </c>
      <c r="L845">
        <v>1</v>
      </c>
      <c r="M845">
        <v>1</v>
      </c>
      <c r="N845">
        <v>27</v>
      </c>
      <c r="O845">
        <v>80000</v>
      </c>
      <c r="P845">
        <v>2</v>
      </c>
      <c r="Q845">
        <v>3</v>
      </c>
      <c r="R845">
        <v>4</v>
      </c>
      <c r="S845">
        <v>4</v>
      </c>
      <c r="T845" s="123">
        <f t="shared" si="67"/>
        <v>1</v>
      </c>
      <c r="U845">
        <f t="shared" si="68"/>
        <v>0</v>
      </c>
      <c r="V845">
        <f t="shared" si="69"/>
        <v>0</v>
      </c>
      <c r="W845">
        <f t="shared" si="70"/>
        <v>1</v>
      </c>
      <c r="X845">
        <f t="shared" si="71"/>
        <v>1</v>
      </c>
    </row>
    <row r="846" spans="1:24">
      <c r="A846" t="s">
        <v>209</v>
      </c>
      <c r="B846">
        <v>4</v>
      </c>
      <c r="C846">
        <v>1</v>
      </c>
      <c r="D846">
        <v>7.2586167541657147</v>
      </c>
      <c r="E846">
        <v>96.57612417256334</v>
      </c>
      <c r="F846">
        <v>96.804382561059128</v>
      </c>
      <c r="G846">
        <v>22.44921250855969</v>
      </c>
      <c r="H846">
        <v>6.0944989728372532</v>
      </c>
      <c r="I846">
        <v>0</v>
      </c>
      <c r="J846">
        <v>0</v>
      </c>
      <c r="K846">
        <v>0</v>
      </c>
      <c r="L846">
        <v>1</v>
      </c>
      <c r="M846">
        <v>1</v>
      </c>
      <c r="N846">
        <v>27</v>
      </c>
      <c r="O846">
        <v>80000</v>
      </c>
      <c r="P846">
        <v>2</v>
      </c>
      <c r="Q846">
        <v>3</v>
      </c>
      <c r="R846">
        <v>4</v>
      </c>
      <c r="S846">
        <v>4</v>
      </c>
      <c r="T846" s="123">
        <f t="shared" si="67"/>
        <v>0</v>
      </c>
      <c r="U846">
        <f t="shared" si="68"/>
        <v>0</v>
      </c>
      <c r="V846">
        <f t="shared" si="69"/>
        <v>0</v>
      </c>
      <c r="W846">
        <f t="shared" si="70"/>
        <v>1</v>
      </c>
      <c r="X846">
        <f t="shared" si="71"/>
        <v>1</v>
      </c>
    </row>
    <row r="847" spans="1:24">
      <c r="A847" t="s">
        <v>209</v>
      </c>
      <c r="B847">
        <v>5</v>
      </c>
      <c r="C847">
        <v>1</v>
      </c>
      <c r="D847">
        <v>0.388039260442824</v>
      </c>
      <c r="E847">
        <v>3.8005021684546891</v>
      </c>
      <c r="F847">
        <v>11.5841132161607</v>
      </c>
      <c r="G847">
        <v>95.400593471810097</v>
      </c>
      <c r="H847">
        <v>5.5124400821730202</v>
      </c>
      <c r="I847">
        <v>0</v>
      </c>
      <c r="J847">
        <v>0</v>
      </c>
      <c r="K847">
        <v>0</v>
      </c>
      <c r="L847">
        <v>1</v>
      </c>
      <c r="M847">
        <v>1</v>
      </c>
      <c r="N847">
        <v>27</v>
      </c>
      <c r="O847">
        <v>80000</v>
      </c>
      <c r="P847">
        <v>2</v>
      </c>
      <c r="Q847">
        <v>3</v>
      </c>
      <c r="R847">
        <v>4</v>
      </c>
      <c r="S847">
        <v>4</v>
      </c>
      <c r="T847" s="123">
        <f t="shared" si="67"/>
        <v>0</v>
      </c>
      <c r="U847">
        <f t="shared" si="68"/>
        <v>0</v>
      </c>
      <c r="V847">
        <f t="shared" si="69"/>
        <v>0</v>
      </c>
      <c r="W847">
        <f t="shared" si="70"/>
        <v>1</v>
      </c>
      <c r="X847">
        <f t="shared" si="71"/>
        <v>1</v>
      </c>
    </row>
    <row r="848" spans="1:24">
      <c r="A848" t="s">
        <v>209</v>
      </c>
      <c r="B848">
        <v>6</v>
      </c>
      <c r="C848">
        <v>1</v>
      </c>
      <c r="D848">
        <v>2.4651905957543958</v>
      </c>
      <c r="E848">
        <v>2.4651905957543958</v>
      </c>
      <c r="F848">
        <v>10.237388724035609</v>
      </c>
      <c r="G848">
        <v>93.574526363843873</v>
      </c>
      <c r="H848">
        <v>5.9803697785893606</v>
      </c>
      <c r="I848">
        <v>0</v>
      </c>
      <c r="J848">
        <v>0</v>
      </c>
      <c r="K848">
        <v>0</v>
      </c>
      <c r="L848">
        <v>1</v>
      </c>
      <c r="M848">
        <v>1</v>
      </c>
      <c r="N848">
        <v>27</v>
      </c>
      <c r="O848">
        <v>80000</v>
      </c>
      <c r="P848">
        <v>2</v>
      </c>
      <c r="Q848">
        <v>3</v>
      </c>
      <c r="R848">
        <v>4</v>
      </c>
      <c r="S848">
        <v>4</v>
      </c>
      <c r="T848" s="123">
        <f t="shared" si="67"/>
        <v>0</v>
      </c>
      <c r="U848">
        <f t="shared" si="68"/>
        <v>0</v>
      </c>
      <c r="V848">
        <f t="shared" si="69"/>
        <v>0</v>
      </c>
      <c r="W848">
        <f t="shared" si="70"/>
        <v>1</v>
      </c>
      <c r="X848">
        <f t="shared" si="71"/>
        <v>1</v>
      </c>
    </row>
    <row r="849" spans="1:24">
      <c r="A849" t="s">
        <v>209</v>
      </c>
      <c r="B849">
        <v>7</v>
      </c>
      <c r="C849">
        <v>1</v>
      </c>
      <c r="D849">
        <v>3.2640949554896159</v>
      </c>
      <c r="E849">
        <v>87.240356083086056</v>
      </c>
      <c r="F849">
        <v>1.5293312029217081</v>
      </c>
      <c r="G849">
        <v>81.602373887240347</v>
      </c>
      <c r="H849">
        <v>9.7466331887696871</v>
      </c>
      <c r="I849">
        <v>0</v>
      </c>
      <c r="J849">
        <v>1</v>
      </c>
      <c r="K849">
        <v>0</v>
      </c>
      <c r="L849">
        <v>1</v>
      </c>
      <c r="M849">
        <v>1</v>
      </c>
      <c r="N849">
        <v>27</v>
      </c>
      <c r="O849">
        <v>80000</v>
      </c>
      <c r="P849">
        <v>2</v>
      </c>
      <c r="Q849">
        <v>3</v>
      </c>
      <c r="R849">
        <v>4</v>
      </c>
      <c r="S849">
        <v>4</v>
      </c>
      <c r="T849" s="123">
        <f t="shared" si="67"/>
        <v>0</v>
      </c>
      <c r="U849">
        <f t="shared" si="68"/>
        <v>0</v>
      </c>
      <c r="V849">
        <f t="shared" si="69"/>
        <v>0</v>
      </c>
      <c r="W849">
        <f t="shared" si="70"/>
        <v>1</v>
      </c>
      <c r="X849">
        <f t="shared" si="71"/>
        <v>1</v>
      </c>
    </row>
    <row r="850" spans="1:24">
      <c r="A850" t="s">
        <v>210</v>
      </c>
      <c r="B850">
        <v>1</v>
      </c>
      <c r="C850">
        <v>1</v>
      </c>
      <c r="D850">
        <v>96.830669779134496</v>
      </c>
      <c r="E850">
        <v>98.63530256778597</v>
      </c>
      <c r="F850">
        <v>97.728497037170044</v>
      </c>
      <c r="G850">
        <v>5.4138983659543891</v>
      </c>
      <c r="H850">
        <v>94.891362901777697</v>
      </c>
      <c r="I850">
        <v>1</v>
      </c>
      <c r="J850">
        <v>0</v>
      </c>
      <c r="K850">
        <v>1</v>
      </c>
      <c r="L850">
        <v>1</v>
      </c>
      <c r="M850">
        <v>1</v>
      </c>
      <c r="N850">
        <v>33</v>
      </c>
      <c r="O850">
        <v>50000</v>
      </c>
      <c r="P850">
        <v>5</v>
      </c>
      <c r="Q850">
        <v>3</v>
      </c>
      <c r="R850">
        <v>4</v>
      </c>
      <c r="S850">
        <v>4</v>
      </c>
      <c r="T850" s="123">
        <f t="shared" si="67"/>
        <v>0</v>
      </c>
      <c r="U850">
        <f t="shared" si="68"/>
        <v>1</v>
      </c>
      <c r="V850">
        <f t="shared" si="69"/>
        <v>0</v>
      </c>
      <c r="W850">
        <f t="shared" si="70"/>
        <v>1</v>
      </c>
      <c r="X850">
        <f t="shared" si="71"/>
        <v>1</v>
      </c>
    </row>
    <row r="851" spans="1:24">
      <c r="A851" t="s">
        <v>210</v>
      </c>
      <c r="B851">
        <v>2</v>
      </c>
      <c r="C851">
        <v>1</v>
      </c>
      <c r="D851">
        <v>100</v>
      </c>
      <c r="E851">
        <v>100</v>
      </c>
      <c r="F851">
        <v>99.371520919375115</v>
      </c>
      <c r="G851">
        <v>10.80086191416772</v>
      </c>
      <c r="H851">
        <v>8.9782725803555401</v>
      </c>
      <c r="I851">
        <v>0</v>
      </c>
      <c r="J851">
        <v>0</v>
      </c>
      <c r="K851">
        <v>1</v>
      </c>
      <c r="L851">
        <v>1</v>
      </c>
      <c r="M851">
        <v>1</v>
      </c>
      <c r="N851">
        <v>33</v>
      </c>
      <c r="O851">
        <v>50000</v>
      </c>
      <c r="P851">
        <v>5</v>
      </c>
      <c r="Q851">
        <v>3</v>
      </c>
      <c r="R851">
        <v>4</v>
      </c>
      <c r="S851">
        <v>4</v>
      </c>
      <c r="T851" s="123">
        <f t="shared" si="67"/>
        <v>0</v>
      </c>
      <c r="U851">
        <f t="shared" si="68"/>
        <v>1</v>
      </c>
      <c r="V851">
        <f t="shared" si="69"/>
        <v>0</v>
      </c>
      <c r="W851">
        <f t="shared" si="70"/>
        <v>1</v>
      </c>
      <c r="X851">
        <f t="shared" si="71"/>
        <v>1</v>
      </c>
    </row>
    <row r="852" spans="1:24">
      <c r="A852" t="s">
        <v>210</v>
      </c>
      <c r="B852">
        <v>3</v>
      </c>
      <c r="C852">
        <v>1</v>
      </c>
      <c r="D852">
        <v>92.188902855090689</v>
      </c>
      <c r="E852">
        <v>83.345304363440476</v>
      </c>
      <c r="F852">
        <v>91.46166277608188</v>
      </c>
      <c r="G852">
        <v>3.7618962111689691</v>
      </c>
      <c r="H852">
        <v>5.4138983659543891</v>
      </c>
      <c r="I852">
        <v>0</v>
      </c>
      <c r="J852">
        <v>0</v>
      </c>
      <c r="K852">
        <v>1</v>
      </c>
      <c r="L852">
        <v>1</v>
      </c>
      <c r="M852">
        <v>1</v>
      </c>
      <c r="N852">
        <v>33</v>
      </c>
      <c r="O852">
        <v>50000</v>
      </c>
      <c r="P852">
        <v>5</v>
      </c>
      <c r="Q852">
        <v>3</v>
      </c>
      <c r="R852">
        <v>4</v>
      </c>
      <c r="S852">
        <v>4</v>
      </c>
      <c r="T852" s="123">
        <f t="shared" si="67"/>
        <v>0</v>
      </c>
      <c r="U852">
        <f t="shared" si="68"/>
        <v>1</v>
      </c>
      <c r="V852">
        <f t="shared" si="69"/>
        <v>0</v>
      </c>
      <c r="W852">
        <f t="shared" si="70"/>
        <v>1</v>
      </c>
      <c r="X852">
        <f t="shared" si="71"/>
        <v>1</v>
      </c>
    </row>
    <row r="853" spans="1:24">
      <c r="A853" t="s">
        <v>210</v>
      </c>
      <c r="B853">
        <v>4</v>
      </c>
      <c r="C853">
        <v>1</v>
      </c>
      <c r="D853">
        <v>50</v>
      </c>
      <c r="E853">
        <v>97.61511216056671</v>
      </c>
      <c r="F853">
        <v>97.402597402597408</v>
      </c>
      <c r="G853">
        <v>24.04958677685951</v>
      </c>
      <c r="H853">
        <v>6.9067296340023621</v>
      </c>
      <c r="I853">
        <v>0</v>
      </c>
      <c r="J853">
        <v>0</v>
      </c>
      <c r="K853">
        <v>0</v>
      </c>
      <c r="L853">
        <v>1</v>
      </c>
      <c r="M853">
        <v>1</v>
      </c>
      <c r="N853">
        <v>33</v>
      </c>
      <c r="O853">
        <v>50000</v>
      </c>
      <c r="P853">
        <v>5</v>
      </c>
      <c r="Q853">
        <v>3</v>
      </c>
      <c r="R853">
        <v>4</v>
      </c>
      <c r="S853">
        <v>4</v>
      </c>
      <c r="T853" s="123">
        <f t="shared" si="67"/>
        <v>0</v>
      </c>
      <c r="U853">
        <f t="shared" si="68"/>
        <v>1</v>
      </c>
      <c r="V853">
        <f t="shared" si="69"/>
        <v>0</v>
      </c>
      <c r="W853">
        <f t="shared" si="70"/>
        <v>1</v>
      </c>
      <c r="X853">
        <f t="shared" si="71"/>
        <v>1</v>
      </c>
    </row>
    <row r="854" spans="1:24">
      <c r="A854" t="s">
        <v>210</v>
      </c>
      <c r="B854">
        <v>5</v>
      </c>
      <c r="C854">
        <v>1</v>
      </c>
      <c r="D854">
        <v>4.9468713105076727</v>
      </c>
      <c r="E854">
        <v>77.721369539551361</v>
      </c>
      <c r="F854">
        <v>4.5690672963400232</v>
      </c>
      <c r="G854">
        <v>21.286894923258561</v>
      </c>
      <c r="H854">
        <v>90.519480519480524</v>
      </c>
      <c r="I854">
        <v>0</v>
      </c>
      <c r="J854">
        <v>0</v>
      </c>
      <c r="K854">
        <v>0</v>
      </c>
      <c r="L854">
        <v>1</v>
      </c>
      <c r="M854">
        <v>1</v>
      </c>
      <c r="N854">
        <v>33</v>
      </c>
      <c r="O854">
        <v>50000</v>
      </c>
      <c r="P854">
        <v>5</v>
      </c>
      <c r="Q854">
        <v>3</v>
      </c>
      <c r="R854">
        <v>4</v>
      </c>
      <c r="S854">
        <v>4</v>
      </c>
      <c r="T854" s="123">
        <f t="shared" si="67"/>
        <v>0</v>
      </c>
      <c r="U854">
        <f t="shared" si="68"/>
        <v>1</v>
      </c>
      <c r="V854">
        <f t="shared" si="69"/>
        <v>0</v>
      </c>
      <c r="W854">
        <f t="shared" si="70"/>
        <v>1</v>
      </c>
      <c r="X854">
        <f t="shared" si="71"/>
        <v>1</v>
      </c>
    </row>
    <row r="855" spans="1:24">
      <c r="A855" t="s">
        <v>210</v>
      </c>
      <c r="B855">
        <v>6</v>
      </c>
      <c r="C855">
        <v>1</v>
      </c>
      <c r="D855">
        <v>5.7378984651711926</v>
      </c>
      <c r="E855">
        <v>5.7497048406139326</v>
      </c>
      <c r="F855">
        <v>5.5371900826446279</v>
      </c>
      <c r="G855">
        <v>88.77213695395514</v>
      </c>
      <c r="H855">
        <v>84.5926800472255</v>
      </c>
      <c r="I855">
        <v>0</v>
      </c>
      <c r="J855">
        <v>0</v>
      </c>
      <c r="K855">
        <v>0</v>
      </c>
      <c r="L855">
        <v>1</v>
      </c>
      <c r="M855">
        <v>1</v>
      </c>
      <c r="N855">
        <v>33</v>
      </c>
      <c r="O855">
        <v>50000</v>
      </c>
      <c r="P855">
        <v>5</v>
      </c>
      <c r="Q855">
        <v>3</v>
      </c>
      <c r="R855">
        <v>4</v>
      </c>
      <c r="S855">
        <v>4</v>
      </c>
      <c r="T855" s="123">
        <f t="shared" si="67"/>
        <v>0</v>
      </c>
      <c r="U855">
        <f t="shared" si="68"/>
        <v>1</v>
      </c>
      <c r="V855">
        <f t="shared" si="69"/>
        <v>0</v>
      </c>
      <c r="W855">
        <f t="shared" si="70"/>
        <v>1</v>
      </c>
      <c r="X855">
        <f t="shared" si="71"/>
        <v>1</v>
      </c>
    </row>
    <row r="856" spans="1:24">
      <c r="A856" t="s">
        <v>210</v>
      </c>
      <c r="B856">
        <v>7</v>
      </c>
      <c r="C856">
        <v>1</v>
      </c>
      <c r="D856">
        <v>18.13459268004722</v>
      </c>
      <c r="E856">
        <v>21.2987012987013</v>
      </c>
      <c r="F856">
        <v>5.5371900826446279</v>
      </c>
      <c r="G856">
        <v>81.664698937426209</v>
      </c>
      <c r="H856">
        <v>82.833530106257385</v>
      </c>
      <c r="I856">
        <v>0</v>
      </c>
      <c r="J856">
        <v>1</v>
      </c>
      <c r="K856">
        <v>0</v>
      </c>
      <c r="L856">
        <v>1</v>
      </c>
      <c r="M856">
        <v>1</v>
      </c>
      <c r="N856">
        <v>33</v>
      </c>
      <c r="O856">
        <v>50000</v>
      </c>
      <c r="P856">
        <v>5</v>
      </c>
      <c r="Q856">
        <v>3</v>
      </c>
      <c r="R856">
        <v>4</v>
      </c>
      <c r="S856">
        <v>4</v>
      </c>
      <c r="T856" s="123">
        <f t="shared" si="67"/>
        <v>0</v>
      </c>
      <c r="U856">
        <f t="shared" si="68"/>
        <v>1</v>
      </c>
      <c r="V856">
        <f t="shared" si="69"/>
        <v>0</v>
      </c>
      <c r="W856">
        <f t="shared" si="70"/>
        <v>1</v>
      </c>
      <c r="X856">
        <f t="shared" si="71"/>
        <v>1</v>
      </c>
    </row>
    <row r="857" spans="1:24">
      <c r="A857" t="s">
        <v>211</v>
      </c>
      <c r="B857">
        <v>1</v>
      </c>
      <c r="C857">
        <v>1</v>
      </c>
      <c r="D857">
        <v>50</v>
      </c>
      <c r="E857">
        <v>14.817610062893079</v>
      </c>
      <c r="F857">
        <v>21.182389937106919</v>
      </c>
      <c r="G857">
        <v>30.314465408805031</v>
      </c>
      <c r="H857">
        <v>14.15094339622641</v>
      </c>
      <c r="I857">
        <v>1</v>
      </c>
      <c r="J857">
        <v>0</v>
      </c>
      <c r="K857">
        <v>0</v>
      </c>
      <c r="L857">
        <v>1</v>
      </c>
      <c r="M857">
        <v>0</v>
      </c>
      <c r="N857">
        <v>46</v>
      </c>
      <c r="O857">
        <v>80000</v>
      </c>
      <c r="P857">
        <v>1</v>
      </c>
      <c r="Q857">
        <v>2</v>
      </c>
      <c r="R857">
        <v>3</v>
      </c>
      <c r="S857">
        <v>4</v>
      </c>
      <c r="T857" s="123">
        <f t="shared" si="67"/>
        <v>0</v>
      </c>
      <c r="U857">
        <f t="shared" si="68"/>
        <v>0</v>
      </c>
      <c r="V857">
        <f t="shared" si="69"/>
        <v>0</v>
      </c>
      <c r="W857">
        <f t="shared" si="70"/>
        <v>0</v>
      </c>
      <c r="X857">
        <f t="shared" si="71"/>
        <v>1</v>
      </c>
    </row>
    <row r="858" spans="1:24">
      <c r="A858" t="s">
        <v>211</v>
      </c>
      <c r="B858">
        <v>2</v>
      </c>
      <c r="C858">
        <v>1</v>
      </c>
      <c r="D858">
        <v>3.2704402515723259</v>
      </c>
      <c r="E858">
        <v>7.4339622641509449</v>
      </c>
      <c r="F858">
        <v>6.1383647798742169</v>
      </c>
      <c r="G858">
        <v>66.440251572327043</v>
      </c>
      <c r="H858">
        <v>6.5283018867924536</v>
      </c>
      <c r="I858">
        <v>0</v>
      </c>
      <c r="J858">
        <v>0</v>
      </c>
      <c r="K858">
        <v>0</v>
      </c>
      <c r="L858">
        <v>1</v>
      </c>
      <c r="M858">
        <v>0</v>
      </c>
      <c r="N858">
        <v>46</v>
      </c>
      <c r="O858">
        <v>80000</v>
      </c>
      <c r="P858">
        <v>1</v>
      </c>
      <c r="Q858">
        <v>2</v>
      </c>
      <c r="R858">
        <v>3</v>
      </c>
      <c r="S858">
        <v>4</v>
      </c>
      <c r="T858" s="123">
        <f t="shared" si="67"/>
        <v>0</v>
      </c>
      <c r="U858">
        <f t="shared" si="68"/>
        <v>0</v>
      </c>
      <c r="V858">
        <f t="shared" si="69"/>
        <v>0</v>
      </c>
      <c r="W858">
        <f t="shared" si="70"/>
        <v>0</v>
      </c>
      <c r="X858">
        <f t="shared" si="71"/>
        <v>1</v>
      </c>
    </row>
    <row r="859" spans="1:24">
      <c r="A859" t="s">
        <v>211</v>
      </c>
      <c r="B859">
        <v>3</v>
      </c>
      <c r="C859">
        <v>1</v>
      </c>
      <c r="D859">
        <v>5.5220125786163532</v>
      </c>
      <c r="E859">
        <v>15.89937106918239</v>
      </c>
      <c r="F859">
        <v>27.84905660377359</v>
      </c>
      <c r="G859">
        <v>85.84905660377359</v>
      </c>
      <c r="H859">
        <v>1.9748427672955979</v>
      </c>
      <c r="I859">
        <v>0</v>
      </c>
      <c r="J859">
        <v>0</v>
      </c>
      <c r="K859">
        <v>0</v>
      </c>
      <c r="L859">
        <v>1</v>
      </c>
      <c r="M859">
        <v>0</v>
      </c>
      <c r="N859">
        <v>46</v>
      </c>
      <c r="O859">
        <v>80000</v>
      </c>
      <c r="P859">
        <v>1</v>
      </c>
      <c r="Q859">
        <v>2</v>
      </c>
      <c r="R859">
        <v>3</v>
      </c>
      <c r="S859">
        <v>4</v>
      </c>
      <c r="T859" s="123">
        <f t="shared" si="67"/>
        <v>0</v>
      </c>
      <c r="U859">
        <f t="shared" si="68"/>
        <v>0</v>
      </c>
      <c r="V859">
        <f t="shared" si="69"/>
        <v>0</v>
      </c>
      <c r="W859">
        <f t="shared" si="70"/>
        <v>0</v>
      </c>
      <c r="X859">
        <f t="shared" si="71"/>
        <v>1</v>
      </c>
    </row>
    <row r="860" spans="1:24">
      <c r="A860" t="s">
        <v>211</v>
      </c>
      <c r="B860">
        <v>4</v>
      </c>
      <c r="C860">
        <v>1</v>
      </c>
      <c r="D860">
        <v>30.70440251572327</v>
      </c>
      <c r="E860">
        <v>1.333333333333331</v>
      </c>
      <c r="F860">
        <v>3.2327044025157239</v>
      </c>
      <c r="G860">
        <v>96.767295597484264</v>
      </c>
      <c r="H860">
        <v>0</v>
      </c>
      <c r="I860">
        <v>0</v>
      </c>
      <c r="J860">
        <v>0</v>
      </c>
      <c r="K860">
        <v>0</v>
      </c>
      <c r="L860">
        <v>1</v>
      </c>
      <c r="M860">
        <v>0</v>
      </c>
      <c r="N860">
        <v>46</v>
      </c>
      <c r="O860">
        <v>80000</v>
      </c>
      <c r="P860">
        <v>1</v>
      </c>
      <c r="Q860">
        <v>2</v>
      </c>
      <c r="R860">
        <v>3</v>
      </c>
      <c r="S860">
        <v>4</v>
      </c>
      <c r="T860" s="123">
        <f t="shared" si="67"/>
        <v>0</v>
      </c>
      <c r="U860">
        <f t="shared" si="68"/>
        <v>0</v>
      </c>
      <c r="V860">
        <f t="shared" si="69"/>
        <v>0</v>
      </c>
      <c r="W860">
        <f t="shared" si="70"/>
        <v>0</v>
      </c>
      <c r="X860">
        <f t="shared" si="71"/>
        <v>1</v>
      </c>
    </row>
    <row r="861" spans="1:24">
      <c r="A861" t="s">
        <v>211</v>
      </c>
      <c r="B861">
        <v>5</v>
      </c>
      <c r="C861">
        <v>1</v>
      </c>
      <c r="D861">
        <v>3.522012578616351</v>
      </c>
      <c r="E861">
        <v>19.24528301886793</v>
      </c>
      <c r="F861">
        <v>4.8930817610062904</v>
      </c>
      <c r="G861">
        <v>90.830188679245282</v>
      </c>
      <c r="H861">
        <v>6.0503144654088068</v>
      </c>
      <c r="I861">
        <v>0</v>
      </c>
      <c r="J861">
        <v>0</v>
      </c>
      <c r="K861">
        <v>0</v>
      </c>
      <c r="L861">
        <v>1</v>
      </c>
      <c r="M861">
        <v>0</v>
      </c>
      <c r="N861">
        <v>46</v>
      </c>
      <c r="O861">
        <v>80000</v>
      </c>
      <c r="P861">
        <v>1</v>
      </c>
      <c r="Q861">
        <v>2</v>
      </c>
      <c r="R861">
        <v>3</v>
      </c>
      <c r="S861">
        <v>4</v>
      </c>
      <c r="T861" s="123">
        <f t="shared" si="67"/>
        <v>0</v>
      </c>
      <c r="U861">
        <f t="shared" si="68"/>
        <v>0</v>
      </c>
      <c r="V861">
        <f t="shared" si="69"/>
        <v>0</v>
      </c>
      <c r="W861">
        <f t="shared" si="70"/>
        <v>0</v>
      </c>
      <c r="X861">
        <f t="shared" si="71"/>
        <v>1</v>
      </c>
    </row>
    <row r="862" spans="1:24">
      <c r="A862" t="s">
        <v>211</v>
      </c>
      <c r="B862">
        <v>6</v>
      </c>
      <c r="C862">
        <v>1</v>
      </c>
      <c r="D862">
        <v>21.773584905660378</v>
      </c>
      <c r="E862">
        <v>3.2201257861635191</v>
      </c>
      <c r="F862">
        <v>4.2138364779874209</v>
      </c>
      <c r="G862">
        <v>77.849056603773576</v>
      </c>
      <c r="H862">
        <v>6.1383647798742169</v>
      </c>
      <c r="I862">
        <v>0</v>
      </c>
      <c r="J862">
        <v>0</v>
      </c>
      <c r="K862">
        <v>0</v>
      </c>
      <c r="L862">
        <v>1</v>
      </c>
      <c r="M862">
        <v>0</v>
      </c>
      <c r="N862">
        <v>46</v>
      </c>
      <c r="O862">
        <v>80000</v>
      </c>
      <c r="P862">
        <v>1</v>
      </c>
      <c r="Q862">
        <v>2</v>
      </c>
      <c r="R862">
        <v>3</v>
      </c>
      <c r="S862">
        <v>4</v>
      </c>
      <c r="T862" s="123">
        <f t="shared" si="67"/>
        <v>0</v>
      </c>
      <c r="U862">
        <f t="shared" si="68"/>
        <v>0</v>
      </c>
      <c r="V862">
        <f t="shared" si="69"/>
        <v>0</v>
      </c>
      <c r="W862">
        <f t="shared" si="70"/>
        <v>0</v>
      </c>
      <c r="X862">
        <f t="shared" si="71"/>
        <v>1</v>
      </c>
    </row>
    <row r="863" spans="1:24">
      <c r="A863" t="s">
        <v>211</v>
      </c>
      <c r="B863">
        <v>7</v>
      </c>
      <c r="C863">
        <v>1</v>
      </c>
      <c r="D863">
        <v>6.9559748427672989</v>
      </c>
      <c r="E863">
        <v>0.49056603773585122</v>
      </c>
      <c r="F863">
        <v>1.132075471698113</v>
      </c>
      <c r="G863">
        <v>91.660377358490564</v>
      </c>
      <c r="H863">
        <v>6.8301886792452846</v>
      </c>
      <c r="I863">
        <v>0</v>
      </c>
      <c r="J863">
        <v>1</v>
      </c>
      <c r="K863">
        <v>0</v>
      </c>
      <c r="L863">
        <v>1</v>
      </c>
      <c r="M863">
        <v>0</v>
      </c>
      <c r="N863">
        <v>46</v>
      </c>
      <c r="O863">
        <v>80000</v>
      </c>
      <c r="P863">
        <v>1</v>
      </c>
      <c r="Q863">
        <v>2</v>
      </c>
      <c r="R863">
        <v>3</v>
      </c>
      <c r="S863">
        <v>4</v>
      </c>
      <c r="T863" s="123">
        <f t="shared" si="67"/>
        <v>0</v>
      </c>
      <c r="U863">
        <f t="shared" si="68"/>
        <v>0</v>
      </c>
      <c r="V863">
        <f t="shared" si="69"/>
        <v>0</v>
      </c>
      <c r="W863">
        <f t="shared" si="70"/>
        <v>0</v>
      </c>
      <c r="X863">
        <f t="shared" si="71"/>
        <v>1</v>
      </c>
    </row>
    <row r="864" spans="1:24">
      <c r="A864" t="s">
        <v>212</v>
      </c>
      <c r="B864">
        <v>1</v>
      </c>
      <c r="C864">
        <v>1</v>
      </c>
      <c r="D864">
        <v>97.89264413518886</v>
      </c>
      <c r="E864">
        <v>98.618290258449306</v>
      </c>
      <c r="F864">
        <v>100</v>
      </c>
      <c r="G864">
        <v>8.0119284294234596</v>
      </c>
      <c r="H864">
        <v>1.858846918489065</v>
      </c>
      <c r="I864">
        <v>1</v>
      </c>
      <c r="J864">
        <v>0</v>
      </c>
      <c r="K864">
        <v>1</v>
      </c>
      <c r="L864">
        <v>1</v>
      </c>
      <c r="M864">
        <v>0</v>
      </c>
      <c r="N864">
        <v>43</v>
      </c>
      <c r="O864">
        <v>75000</v>
      </c>
      <c r="P864">
        <v>1</v>
      </c>
      <c r="Q864">
        <v>1</v>
      </c>
      <c r="R864">
        <v>4</v>
      </c>
      <c r="S864">
        <v>4</v>
      </c>
      <c r="T864" s="123">
        <f t="shared" si="67"/>
        <v>0</v>
      </c>
      <c r="U864">
        <f t="shared" si="68"/>
        <v>0</v>
      </c>
      <c r="V864">
        <f t="shared" si="69"/>
        <v>0</v>
      </c>
      <c r="W864">
        <f t="shared" si="70"/>
        <v>1</v>
      </c>
      <c r="X864">
        <f t="shared" si="71"/>
        <v>1</v>
      </c>
    </row>
    <row r="865" spans="1:24">
      <c r="A865" t="s">
        <v>212</v>
      </c>
      <c r="B865">
        <v>2</v>
      </c>
      <c r="C865">
        <v>1</v>
      </c>
      <c r="D865">
        <v>89.681908548707753</v>
      </c>
      <c r="E865">
        <v>97.276341948310147</v>
      </c>
      <c r="F865">
        <v>92.335984095427435</v>
      </c>
      <c r="G865">
        <v>10.815109343936379</v>
      </c>
      <c r="H865">
        <v>3.876739562624254</v>
      </c>
      <c r="I865">
        <v>0</v>
      </c>
      <c r="J865">
        <v>0</v>
      </c>
      <c r="K865">
        <v>1</v>
      </c>
      <c r="L865">
        <v>1</v>
      </c>
      <c r="M865">
        <v>0</v>
      </c>
      <c r="N865">
        <v>43</v>
      </c>
      <c r="O865">
        <v>75000</v>
      </c>
      <c r="P865">
        <v>1</v>
      </c>
      <c r="Q865">
        <v>1</v>
      </c>
      <c r="R865">
        <v>4</v>
      </c>
      <c r="S865">
        <v>4</v>
      </c>
      <c r="T865" s="123">
        <f t="shared" si="67"/>
        <v>0</v>
      </c>
      <c r="U865">
        <f t="shared" si="68"/>
        <v>0</v>
      </c>
      <c r="V865">
        <f t="shared" si="69"/>
        <v>0</v>
      </c>
      <c r="W865">
        <f t="shared" si="70"/>
        <v>1</v>
      </c>
      <c r="X865">
        <f t="shared" si="71"/>
        <v>1</v>
      </c>
    </row>
    <row r="866" spans="1:24">
      <c r="A866" t="s">
        <v>212</v>
      </c>
      <c r="B866">
        <v>3</v>
      </c>
      <c r="C866">
        <v>1</v>
      </c>
      <c r="D866">
        <v>97.992047713717696</v>
      </c>
      <c r="E866">
        <v>93.151093439363819</v>
      </c>
      <c r="F866">
        <v>99.74155069582504</v>
      </c>
      <c r="G866">
        <v>13.836978131212719</v>
      </c>
      <c r="H866">
        <v>0.3479125248508963</v>
      </c>
      <c r="I866">
        <v>0</v>
      </c>
      <c r="J866">
        <v>0</v>
      </c>
      <c r="K866">
        <v>1</v>
      </c>
      <c r="L866">
        <v>1</v>
      </c>
      <c r="M866">
        <v>0</v>
      </c>
      <c r="N866">
        <v>43</v>
      </c>
      <c r="O866">
        <v>75000</v>
      </c>
      <c r="P866">
        <v>1</v>
      </c>
      <c r="Q866">
        <v>1</v>
      </c>
      <c r="R866">
        <v>4</v>
      </c>
      <c r="S866">
        <v>4</v>
      </c>
      <c r="T866" s="123">
        <f t="shared" si="67"/>
        <v>0</v>
      </c>
      <c r="U866">
        <f t="shared" si="68"/>
        <v>0</v>
      </c>
      <c r="V866">
        <f t="shared" si="69"/>
        <v>0</v>
      </c>
      <c r="W866">
        <f t="shared" si="70"/>
        <v>1</v>
      </c>
      <c r="X866">
        <f t="shared" si="71"/>
        <v>1</v>
      </c>
    </row>
    <row r="867" spans="1:24">
      <c r="A867" t="s">
        <v>212</v>
      </c>
      <c r="B867">
        <v>4</v>
      </c>
      <c r="C867">
        <v>1</v>
      </c>
      <c r="D867">
        <v>4.0258449304174926</v>
      </c>
      <c r="E867">
        <v>3.0318091451292268</v>
      </c>
      <c r="F867">
        <v>80.059642147117287</v>
      </c>
      <c r="G867">
        <v>83.876739562624252</v>
      </c>
      <c r="H867">
        <v>71.441351888667995</v>
      </c>
      <c r="I867">
        <v>0</v>
      </c>
      <c r="J867">
        <v>0</v>
      </c>
      <c r="K867">
        <v>0</v>
      </c>
      <c r="L867">
        <v>1</v>
      </c>
      <c r="M867">
        <v>0</v>
      </c>
      <c r="N867">
        <v>43</v>
      </c>
      <c r="O867">
        <v>75000</v>
      </c>
      <c r="P867">
        <v>1</v>
      </c>
      <c r="Q867">
        <v>1</v>
      </c>
      <c r="R867">
        <v>4</v>
      </c>
      <c r="S867">
        <v>4</v>
      </c>
      <c r="T867" s="123">
        <f t="shared" si="67"/>
        <v>0</v>
      </c>
      <c r="U867">
        <f t="shared" si="68"/>
        <v>0</v>
      </c>
      <c r="V867">
        <f t="shared" si="69"/>
        <v>0</v>
      </c>
      <c r="W867">
        <f t="shared" si="70"/>
        <v>1</v>
      </c>
      <c r="X867">
        <f t="shared" si="71"/>
        <v>1</v>
      </c>
    </row>
    <row r="868" spans="1:24">
      <c r="A868" t="s">
        <v>212</v>
      </c>
      <c r="B868">
        <v>5</v>
      </c>
      <c r="C868">
        <v>1</v>
      </c>
      <c r="D868">
        <v>89.866565961732121</v>
      </c>
      <c r="E868">
        <v>50</v>
      </c>
      <c r="F868">
        <v>83.383685800604226</v>
      </c>
      <c r="G868">
        <v>11.16565961732125</v>
      </c>
      <c r="H868">
        <v>10.56143001007049</v>
      </c>
      <c r="I868">
        <v>0</v>
      </c>
      <c r="J868">
        <v>0</v>
      </c>
      <c r="K868">
        <v>1</v>
      </c>
      <c r="L868">
        <v>1</v>
      </c>
      <c r="M868">
        <v>0</v>
      </c>
      <c r="N868">
        <v>43</v>
      </c>
      <c r="O868">
        <v>75000</v>
      </c>
      <c r="P868">
        <v>1</v>
      </c>
      <c r="Q868">
        <v>1</v>
      </c>
      <c r="R868">
        <v>4</v>
      </c>
      <c r="S868">
        <v>4</v>
      </c>
      <c r="T868" s="123">
        <f t="shared" si="67"/>
        <v>0</v>
      </c>
      <c r="U868">
        <f t="shared" si="68"/>
        <v>0</v>
      </c>
      <c r="V868">
        <f t="shared" si="69"/>
        <v>0</v>
      </c>
      <c r="W868">
        <f t="shared" si="70"/>
        <v>1</v>
      </c>
      <c r="X868">
        <f t="shared" si="71"/>
        <v>1</v>
      </c>
    </row>
    <row r="869" spans="1:24">
      <c r="A869" t="s">
        <v>212</v>
      </c>
      <c r="B869">
        <v>6</v>
      </c>
      <c r="C869">
        <v>1</v>
      </c>
      <c r="D869">
        <v>2.16515609264854</v>
      </c>
      <c r="E869">
        <v>21.878147029204431</v>
      </c>
      <c r="F869">
        <v>5.9415911379657622</v>
      </c>
      <c r="G869">
        <v>88.821752265861022</v>
      </c>
      <c r="H869">
        <v>11.178247734138971</v>
      </c>
      <c r="I869">
        <v>0</v>
      </c>
      <c r="J869">
        <v>0</v>
      </c>
      <c r="K869">
        <v>0</v>
      </c>
      <c r="L869">
        <v>1</v>
      </c>
      <c r="M869">
        <v>0</v>
      </c>
      <c r="N869">
        <v>43</v>
      </c>
      <c r="O869">
        <v>75000</v>
      </c>
      <c r="P869">
        <v>1</v>
      </c>
      <c r="Q869">
        <v>1</v>
      </c>
      <c r="R869">
        <v>4</v>
      </c>
      <c r="S869">
        <v>4</v>
      </c>
      <c r="T869" s="123">
        <f t="shared" si="67"/>
        <v>0</v>
      </c>
      <c r="U869">
        <f t="shared" si="68"/>
        <v>0</v>
      </c>
      <c r="V869">
        <f t="shared" si="69"/>
        <v>0</v>
      </c>
      <c r="W869">
        <f t="shared" si="70"/>
        <v>1</v>
      </c>
      <c r="X869">
        <f t="shared" si="71"/>
        <v>1</v>
      </c>
    </row>
    <row r="870" spans="1:24">
      <c r="A870" t="s">
        <v>212</v>
      </c>
      <c r="B870">
        <v>7</v>
      </c>
      <c r="C870">
        <v>1</v>
      </c>
      <c r="D870">
        <v>11.37965760322256</v>
      </c>
      <c r="E870">
        <v>3.0085599194360539</v>
      </c>
      <c r="F870">
        <v>17.472306143000999</v>
      </c>
      <c r="G870">
        <v>89.249748237663653</v>
      </c>
      <c r="H870">
        <v>14.136455186304129</v>
      </c>
      <c r="I870">
        <v>0</v>
      </c>
      <c r="J870">
        <v>1</v>
      </c>
      <c r="K870">
        <v>0</v>
      </c>
      <c r="L870">
        <v>1</v>
      </c>
      <c r="M870">
        <v>0</v>
      </c>
      <c r="N870">
        <v>43</v>
      </c>
      <c r="O870">
        <v>75000</v>
      </c>
      <c r="P870">
        <v>1</v>
      </c>
      <c r="Q870">
        <v>1</v>
      </c>
      <c r="R870">
        <v>4</v>
      </c>
      <c r="S870">
        <v>4</v>
      </c>
      <c r="T870" s="123">
        <f t="shared" si="67"/>
        <v>0</v>
      </c>
      <c r="U870">
        <f t="shared" si="68"/>
        <v>0</v>
      </c>
      <c r="V870">
        <f t="shared" si="69"/>
        <v>0</v>
      </c>
      <c r="W870">
        <f t="shared" si="70"/>
        <v>1</v>
      </c>
      <c r="X870">
        <f t="shared" si="71"/>
        <v>1</v>
      </c>
    </row>
    <row r="871" spans="1:24">
      <c r="A871" t="s">
        <v>213</v>
      </c>
      <c r="B871">
        <v>1</v>
      </c>
      <c r="C871">
        <v>1</v>
      </c>
      <c r="D871">
        <v>98.331494760066192</v>
      </c>
      <c r="E871">
        <v>99.627688913403205</v>
      </c>
      <c r="F871">
        <v>99.200220628792053</v>
      </c>
      <c r="G871">
        <v>1.6685052399338101</v>
      </c>
      <c r="H871">
        <v>4.5091009376723674</v>
      </c>
      <c r="I871">
        <v>1</v>
      </c>
      <c r="J871">
        <v>0</v>
      </c>
      <c r="K871">
        <v>1</v>
      </c>
      <c r="L871">
        <v>1</v>
      </c>
      <c r="M871">
        <v>1</v>
      </c>
      <c r="N871">
        <v>31</v>
      </c>
      <c r="O871">
        <v>75000</v>
      </c>
      <c r="P871">
        <v>4</v>
      </c>
      <c r="Q871">
        <v>4</v>
      </c>
      <c r="R871">
        <v>4</v>
      </c>
      <c r="S871">
        <v>5</v>
      </c>
      <c r="T871" s="123">
        <f t="shared" si="67"/>
        <v>0</v>
      </c>
      <c r="U871">
        <f t="shared" si="68"/>
        <v>1</v>
      </c>
      <c r="V871">
        <f t="shared" si="69"/>
        <v>1</v>
      </c>
      <c r="W871">
        <f t="shared" si="70"/>
        <v>1</v>
      </c>
      <c r="X871">
        <f t="shared" si="71"/>
        <v>1</v>
      </c>
    </row>
    <row r="872" spans="1:24">
      <c r="A872" t="s">
        <v>213</v>
      </c>
      <c r="B872">
        <v>2</v>
      </c>
      <c r="C872">
        <v>1</v>
      </c>
      <c r="D872">
        <v>98.869277440706014</v>
      </c>
      <c r="E872">
        <v>98.441809156094877</v>
      </c>
      <c r="F872">
        <v>97.600661886376173</v>
      </c>
      <c r="G872">
        <v>1.434087148372865</v>
      </c>
      <c r="H872">
        <v>7.7633756205184756</v>
      </c>
      <c r="I872">
        <v>0</v>
      </c>
      <c r="J872">
        <v>0</v>
      </c>
      <c r="K872">
        <v>1</v>
      </c>
      <c r="L872">
        <v>1</v>
      </c>
      <c r="M872">
        <v>1</v>
      </c>
      <c r="N872">
        <v>31</v>
      </c>
      <c r="O872">
        <v>75000</v>
      </c>
      <c r="P872">
        <v>4</v>
      </c>
      <c r="Q872">
        <v>4</v>
      </c>
      <c r="R872">
        <v>4</v>
      </c>
      <c r="S872">
        <v>5</v>
      </c>
      <c r="T872" s="123">
        <f t="shared" si="67"/>
        <v>0</v>
      </c>
      <c r="U872">
        <f t="shared" si="68"/>
        <v>1</v>
      </c>
      <c r="V872">
        <f t="shared" si="69"/>
        <v>1</v>
      </c>
      <c r="W872">
        <f t="shared" si="70"/>
        <v>1</v>
      </c>
      <c r="X872">
        <f t="shared" si="71"/>
        <v>1</v>
      </c>
    </row>
    <row r="873" spans="1:24">
      <c r="A873" t="s">
        <v>213</v>
      </c>
      <c r="B873">
        <v>3</v>
      </c>
      <c r="C873">
        <v>1</v>
      </c>
      <c r="D873">
        <v>90.912851627137343</v>
      </c>
      <c r="E873">
        <v>94.608383894098182</v>
      </c>
      <c r="F873">
        <v>89.658025372311087</v>
      </c>
      <c r="G873">
        <v>50</v>
      </c>
      <c r="H873">
        <v>5.4467733039161637</v>
      </c>
      <c r="I873">
        <v>0</v>
      </c>
      <c r="J873">
        <v>0</v>
      </c>
      <c r="K873">
        <v>1</v>
      </c>
      <c r="L873">
        <v>1</v>
      </c>
      <c r="M873">
        <v>1</v>
      </c>
      <c r="N873">
        <v>31</v>
      </c>
      <c r="O873">
        <v>75000</v>
      </c>
      <c r="P873">
        <v>4</v>
      </c>
      <c r="Q873">
        <v>4</v>
      </c>
      <c r="R873">
        <v>4</v>
      </c>
      <c r="S873">
        <v>5</v>
      </c>
      <c r="T873" s="123">
        <f t="shared" si="67"/>
        <v>0</v>
      </c>
      <c r="U873">
        <f t="shared" si="68"/>
        <v>1</v>
      </c>
      <c r="V873">
        <f t="shared" si="69"/>
        <v>1</v>
      </c>
      <c r="W873">
        <f t="shared" si="70"/>
        <v>1</v>
      </c>
      <c r="X873">
        <f t="shared" si="71"/>
        <v>1</v>
      </c>
    </row>
    <row r="874" spans="1:24">
      <c r="A874" t="s">
        <v>213</v>
      </c>
      <c r="B874">
        <v>4</v>
      </c>
      <c r="C874">
        <v>1</v>
      </c>
      <c r="D874">
        <v>97.448979591836732</v>
      </c>
      <c r="E874">
        <v>98.662437948152231</v>
      </c>
      <c r="F874">
        <v>93.022614451185888</v>
      </c>
      <c r="G874">
        <v>1.406508549365693</v>
      </c>
      <c r="H874">
        <v>3.5990071704357418</v>
      </c>
      <c r="I874">
        <v>0</v>
      </c>
      <c r="J874">
        <v>0</v>
      </c>
      <c r="K874">
        <v>1</v>
      </c>
      <c r="L874">
        <v>1</v>
      </c>
      <c r="M874">
        <v>1</v>
      </c>
      <c r="N874">
        <v>31</v>
      </c>
      <c r="O874">
        <v>75000</v>
      </c>
      <c r="P874">
        <v>4</v>
      </c>
      <c r="Q874">
        <v>4</v>
      </c>
      <c r="R874">
        <v>4</v>
      </c>
      <c r="S874">
        <v>5</v>
      </c>
      <c r="T874" s="123">
        <f t="shared" si="67"/>
        <v>0</v>
      </c>
      <c r="U874">
        <f t="shared" si="68"/>
        <v>1</v>
      </c>
      <c r="V874">
        <f t="shared" si="69"/>
        <v>1</v>
      </c>
      <c r="W874">
        <f t="shared" si="70"/>
        <v>1</v>
      </c>
      <c r="X874">
        <f t="shared" si="71"/>
        <v>1</v>
      </c>
    </row>
    <row r="875" spans="1:24">
      <c r="A875" t="s">
        <v>213</v>
      </c>
      <c r="B875">
        <v>5</v>
      </c>
      <c r="C875">
        <v>1</v>
      </c>
      <c r="D875">
        <v>96.731936017650312</v>
      </c>
      <c r="E875">
        <v>98.552123552123547</v>
      </c>
      <c r="F875">
        <v>92.981246552675117</v>
      </c>
      <c r="G875">
        <v>11.59680088251517</v>
      </c>
      <c r="H875">
        <v>92.801985659128519</v>
      </c>
      <c r="I875">
        <v>0</v>
      </c>
      <c r="J875">
        <v>0</v>
      </c>
      <c r="K875">
        <v>1</v>
      </c>
      <c r="L875">
        <v>1</v>
      </c>
      <c r="M875">
        <v>1</v>
      </c>
      <c r="N875">
        <v>31</v>
      </c>
      <c r="O875">
        <v>75000</v>
      </c>
      <c r="P875">
        <v>4</v>
      </c>
      <c r="Q875">
        <v>4</v>
      </c>
      <c r="R875">
        <v>4</v>
      </c>
      <c r="S875">
        <v>5</v>
      </c>
      <c r="T875" s="123">
        <f t="shared" si="67"/>
        <v>0</v>
      </c>
      <c r="U875">
        <f t="shared" si="68"/>
        <v>1</v>
      </c>
      <c r="V875">
        <f t="shared" si="69"/>
        <v>1</v>
      </c>
      <c r="W875">
        <f t="shared" si="70"/>
        <v>1</v>
      </c>
      <c r="X875">
        <f t="shared" si="71"/>
        <v>1</v>
      </c>
    </row>
    <row r="876" spans="1:24">
      <c r="A876" t="s">
        <v>213</v>
      </c>
      <c r="B876">
        <v>6</v>
      </c>
      <c r="C876">
        <v>1</v>
      </c>
      <c r="D876">
        <v>97.090457804743522</v>
      </c>
      <c r="E876">
        <v>90.843905129619415</v>
      </c>
      <c r="F876">
        <v>93.918918918918919</v>
      </c>
      <c r="G876">
        <v>0.93767236624379691</v>
      </c>
      <c r="H876">
        <v>3.929950358521789</v>
      </c>
      <c r="I876">
        <v>0</v>
      </c>
      <c r="J876">
        <v>0</v>
      </c>
      <c r="K876">
        <v>1</v>
      </c>
      <c r="L876">
        <v>1</v>
      </c>
      <c r="M876">
        <v>1</v>
      </c>
      <c r="N876">
        <v>31</v>
      </c>
      <c r="O876">
        <v>75000</v>
      </c>
      <c r="P876">
        <v>4</v>
      </c>
      <c r="Q876">
        <v>4</v>
      </c>
      <c r="R876">
        <v>4</v>
      </c>
      <c r="S876">
        <v>5</v>
      </c>
      <c r="T876" s="123">
        <f t="shared" si="67"/>
        <v>0</v>
      </c>
      <c r="U876">
        <f t="shared" si="68"/>
        <v>1</v>
      </c>
      <c r="V876">
        <f t="shared" si="69"/>
        <v>1</v>
      </c>
      <c r="W876">
        <f t="shared" si="70"/>
        <v>1</v>
      </c>
      <c r="X876">
        <f t="shared" si="71"/>
        <v>1</v>
      </c>
    </row>
    <row r="877" spans="1:24">
      <c r="A877" t="s">
        <v>213</v>
      </c>
      <c r="B877">
        <v>7</v>
      </c>
      <c r="C877">
        <v>1</v>
      </c>
      <c r="D877">
        <v>99.214009928295638</v>
      </c>
      <c r="E877">
        <v>97.53171538885826</v>
      </c>
      <c r="F877">
        <v>99.131274131274139</v>
      </c>
      <c r="G877">
        <v>0</v>
      </c>
      <c r="H877">
        <v>2.0959735245449531</v>
      </c>
      <c r="I877">
        <v>0</v>
      </c>
      <c r="J877">
        <v>1</v>
      </c>
      <c r="K877">
        <v>1</v>
      </c>
      <c r="L877">
        <v>1</v>
      </c>
      <c r="M877">
        <v>1</v>
      </c>
      <c r="N877">
        <v>31</v>
      </c>
      <c r="O877">
        <v>75000</v>
      </c>
      <c r="P877">
        <v>4</v>
      </c>
      <c r="Q877">
        <v>4</v>
      </c>
      <c r="R877">
        <v>4</v>
      </c>
      <c r="S877">
        <v>5</v>
      </c>
      <c r="T877" s="123">
        <f t="shared" si="67"/>
        <v>0</v>
      </c>
      <c r="U877">
        <f t="shared" si="68"/>
        <v>1</v>
      </c>
      <c r="V877">
        <f t="shared" si="69"/>
        <v>1</v>
      </c>
      <c r="W877">
        <f t="shared" si="70"/>
        <v>1</v>
      </c>
      <c r="X877">
        <f t="shared" si="71"/>
        <v>1</v>
      </c>
    </row>
    <row r="878" spans="1:24">
      <c r="A878" t="s">
        <v>214</v>
      </c>
      <c r="B878">
        <v>1</v>
      </c>
      <c r="C878">
        <v>1</v>
      </c>
      <c r="D878">
        <v>8.2139446036294199</v>
      </c>
      <c r="E878">
        <v>50</v>
      </c>
      <c r="F878">
        <v>12.03438395415473</v>
      </c>
      <c r="G878">
        <v>53.581661891117477</v>
      </c>
      <c r="H878">
        <v>20.140878701050621</v>
      </c>
      <c r="I878">
        <v>1</v>
      </c>
      <c r="J878">
        <v>0</v>
      </c>
      <c r="K878">
        <v>0</v>
      </c>
      <c r="L878">
        <v>1</v>
      </c>
      <c r="M878">
        <v>0</v>
      </c>
      <c r="N878">
        <v>25</v>
      </c>
      <c r="O878">
        <v>27000</v>
      </c>
      <c r="P878">
        <v>4</v>
      </c>
      <c r="Q878">
        <v>4</v>
      </c>
      <c r="R878">
        <v>4</v>
      </c>
      <c r="S878">
        <v>3</v>
      </c>
      <c r="T878" s="123">
        <f t="shared" si="67"/>
        <v>0</v>
      </c>
      <c r="U878">
        <f t="shared" si="68"/>
        <v>1</v>
      </c>
      <c r="V878">
        <f t="shared" si="69"/>
        <v>1</v>
      </c>
      <c r="W878">
        <f t="shared" si="70"/>
        <v>1</v>
      </c>
      <c r="X878">
        <f t="shared" si="71"/>
        <v>0</v>
      </c>
    </row>
    <row r="879" spans="1:24">
      <c r="A879" t="s">
        <v>214</v>
      </c>
      <c r="B879">
        <v>2</v>
      </c>
      <c r="C879">
        <v>1</v>
      </c>
      <c r="D879">
        <v>35.088347659980897</v>
      </c>
      <c r="E879">
        <v>31.01719197707736</v>
      </c>
      <c r="F879">
        <v>9.336198662846229</v>
      </c>
      <c r="G879">
        <v>3.545845272206305</v>
      </c>
      <c r="H879">
        <v>93.51719197707736</v>
      </c>
      <c r="I879">
        <v>0</v>
      </c>
      <c r="J879">
        <v>0</v>
      </c>
      <c r="K879">
        <v>0</v>
      </c>
      <c r="L879">
        <v>1</v>
      </c>
      <c r="M879">
        <v>0</v>
      </c>
      <c r="N879">
        <v>25</v>
      </c>
      <c r="O879">
        <v>27000</v>
      </c>
      <c r="P879">
        <v>4</v>
      </c>
      <c r="Q879">
        <v>4</v>
      </c>
      <c r="R879">
        <v>4</v>
      </c>
      <c r="S879">
        <v>3</v>
      </c>
      <c r="T879" s="123">
        <f t="shared" si="67"/>
        <v>0</v>
      </c>
      <c r="U879">
        <f t="shared" si="68"/>
        <v>1</v>
      </c>
      <c r="V879">
        <f t="shared" si="69"/>
        <v>1</v>
      </c>
      <c r="W879">
        <f t="shared" si="70"/>
        <v>1</v>
      </c>
      <c r="X879">
        <f t="shared" si="71"/>
        <v>0</v>
      </c>
    </row>
    <row r="880" spans="1:24">
      <c r="A880" t="s">
        <v>214</v>
      </c>
      <c r="B880">
        <v>3</v>
      </c>
      <c r="C880">
        <v>1</v>
      </c>
      <c r="D880">
        <v>91.081661891117477</v>
      </c>
      <c r="E880">
        <v>100</v>
      </c>
      <c r="F880">
        <v>0.58500477554918606</v>
      </c>
      <c r="G880">
        <v>99.582139446036294</v>
      </c>
      <c r="H880">
        <v>98.770296084049662</v>
      </c>
      <c r="I880">
        <v>0</v>
      </c>
      <c r="J880">
        <v>0</v>
      </c>
      <c r="K880">
        <v>1</v>
      </c>
      <c r="L880">
        <v>1</v>
      </c>
      <c r="M880">
        <v>0</v>
      </c>
      <c r="N880">
        <v>25</v>
      </c>
      <c r="O880">
        <v>27000</v>
      </c>
      <c r="P880">
        <v>4</v>
      </c>
      <c r="Q880">
        <v>4</v>
      </c>
      <c r="R880">
        <v>4</v>
      </c>
      <c r="S880">
        <v>3</v>
      </c>
      <c r="T880" s="123">
        <f t="shared" si="67"/>
        <v>0</v>
      </c>
      <c r="U880">
        <f t="shared" si="68"/>
        <v>1</v>
      </c>
      <c r="V880">
        <f t="shared" si="69"/>
        <v>1</v>
      </c>
      <c r="W880">
        <f t="shared" si="70"/>
        <v>1</v>
      </c>
      <c r="X880">
        <f t="shared" si="71"/>
        <v>0</v>
      </c>
    </row>
    <row r="881" spans="1:24">
      <c r="A881" t="s">
        <v>214</v>
      </c>
      <c r="B881">
        <v>4</v>
      </c>
      <c r="C881">
        <v>1</v>
      </c>
      <c r="D881">
        <v>0.97898758357211069</v>
      </c>
      <c r="E881">
        <v>96.573543457497607</v>
      </c>
      <c r="F881">
        <v>96.824259789875839</v>
      </c>
      <c r="G881">
        <v>1.659503342884433</v>
      </c>
      <c r="H881">
        <v>81.5305635148042</v>
      </c>
      <c r="I881">
        <v>0</v>
      </c>
      <c r="J881">
        <v>0</v>
      </c>
      <c r="K881">
        <v>0</v>
      </c>
      <c r="L881">
        <v>1</v>
      </c>
      <c r="M881">
        <v>0</v>
      </c>
      <c r="N881">
        <v>25</v>
      </c>
      <c r="O881">
        <v>27000</v>
      </c>
      <c r="P881">
        <v>4</v>
      </c>
      <c r="Q881">
        <v>4</v>
      </c>
      <c r="R881">
        <v>4</v>
      </c>
      <c r="S881">
        <v>3</v>
      </c>
      <c r="T881" s="123">
        <f t="shared" si="67"/>
        <v>0</v>
      </c>
      <c r="U881">
        <f t="shared" si="68"/>
        <v>1</v>
      </c>
      <c r="V881">
        <f t="shared" si="69"/>
        <v>1</v>
      </c>
      <c r="W881">
        <f t="shared" si="70"/>
        <v>1</v>
      </c>
      <c r="X881">
        <f t="shared" si="71"/>
        <v>0</v>
      </c>
    </row>
    <row r="882" spans="1:24">
      <c r="A882" t="s">
        <v>214</v>
      </c>
      <c r="B882">
        <v>5</v>
      </c>
      <c r="C882">
        <v>1</v>
      </c>
      <c r="D882">
        <v>72.504775549188153</v>
      </c>
      <c r="E882">
        <v>98.638968481375358</v>
      </c>
      <c r="F882">
        <v>89.720630372492835</v>
      </c>
      <c r="G882">
        <v>2.7936962750716332</v>
      </c>
      <c r="H882">
        <v>0.71633237822349427</v>
      </c>
      <c r="I882">
        <v>0</v>
      </c>
      <c r="J882">
        <v>0</v>
      </c>
      <c r="K882">
        <v>1</v>
      </c>
      <c r="L882">
        <v>1</v>
      </c>
      <c r="M882">
        <v>0</v>
      </c>
      <c r="N882">
        <v>25</v>
      </c>
      <c r="O882">
        <v>27000</v>
      </c>
      <c r="P882">
        <v>4</v>
      </c>
      <c r="Q882">
        <v>4</v>
      </c>
      <c r="R882">
        <v>4</v>
      </c>
      <c r="S882">
        <v>3</v>
      </c>
      <c r="T882" s="123">
        <f t="shared" si="67"/>
        <v>0</v>
      </c>
      <c r="U882">
        <f t="shared" si="68"/>
        <v>1</v>
      </c>
      <c r="V882">
        <f t="shared" si="69"/>
        <v>1</v>
      </c>
      <c r="W882">
        <f t="shared" si="70"/>
        <v>1</v>
      </c>
      <c r="X882">
        <f t="shared" si="71"/>
        <v>0</v>
      </c>
    </row>
    <row r="883" spans="1:24">
      <c r="A883" t="s">
        <v>214</v>
      </c>
      <c r="B883">
        <v>6</v>
      </c>
      <c r="C883">
        <v>1</v>
      </c>
      <c r="D883">
        <v>7.6050620821394466</v>
      </c>
      <c r="E883">
        <v>99.343361986628466</v>
      </c>
      <c r="F883">
        <v>0.65663801337153549</v>
      </c>
      <c r="G883">
        <v>3.3906399235912099</v>
      </c>
      <c r="H883">
        <v>97.946513849092653</v>
      </c>
      <c r="I883">
        <v>0</v>
      </c>
      <c r="J883">
        <v>0</v>
      </c>
      <c r="K883">
        <v>0</v>
      </c>
      <c r="L883">
        <v>1</v>
      </c>
      <c r="M883">
        <v>0</v>
      </c>
      <c r="N883">
        <v>25</v>
      </c>
      <c r="O883">
        <v>27000</v>
      </c>
      <c r="P883">
        <v>4</v>
      </c>
      <c r="Q883">
        <v>4</v>
      </c>
      <c r="R883">
        <v>4</v>
      </c>
      <c r="S883">
        <v>3</v>
      </c>
      <c r="T883" s="123">
        <f t="shared" si="67"/>
        <v>0</v>
      </c>
      <c r="U883">
        <f t="shared" si="68"/>
        <v>1</v>
      </c>
      <c r="V883">
        <f t="shared" si="69"/>
        <v>1</v>
      </c>
      <c r="W883">
        <f t="shared" si="70"/>
        <v>1</v>
      </c>
      <c r="X883">
        <f t="shared" si="71"/>
        <v>0</v>
      </c>
    </row>
    <row r="884" spans="1:24">
      <c r="A884" t="s">
        <v>214</v>
      </c>
      <c r="B884">
        <v>7</v>
      </c>
      <c r="C884">
        <v>1</v>
      </c>
      <c r="D884">
        <v>5.0740210124164298</v>
      </c>
      <c r="E884">
        <v>5.9813753581661908</v>
      </c>
      <c r="F884">
        <v>5.1098376313276006</v>
      </c>
      <c r="G884">
        <v>82.270773638968492</v>
      </c>
      <c r="H884">
        <v>61.640401146131808</v>
      </c>
      <c r="I884">
        <v>0</v>
      </c>
      <c r="J884">
        <v>1</v>
      </c>
      <c r="K884">
        <v>0</v>
      </c>
      <c r="L884">
        <v>1</v>
      </c>
      <c r="M884">
        <v>0</v>
      </c>
      <c r="N884">
        <v>25</v>
      </c>
      <c r="O884">
        <v>27000</v>
      </c>
      <c r="P884">
        <v>4</v>
      </c>
      <c r="Q884">
        <v>4</v>
      </c>
      <c r="R884">
        <v>4</v>
      </c>
      <c r="S884">
        <v>3</v>
      </c>
      <c r="T884" s="123">
        <f t="shared" si="67"/>
        <v>0</v>
      </c>
      <c r="U884">
        <f t="shared" si="68"/>
        <v>1</v>
      </c>
      <c r="V884">
        <f t="shared" si="69"/>
        <v>1</v>
      </c>
      <c r="W884">
        <f t="shared" si="70"/>
        <v>1</v>
      </c>
      <c r="X884">
        <f t="shared" si="71"/>
        <v>0</v>
      </c>
    </row>
    <row r="885" spans="1:24">
      <c r="A885" t="s">
        <v>215</v>
      </c>
      <c r="B885">
        <v>1</v>
      </c>
      <c r="C885">
        <v>1</v>
      </c>
      <c r="D885">
        <v>97.851162790697671</v>
      </c>
      <c r="E885">
        <v>98.213953488372098</v>
      </c>
      <c r="F885">
        <v>97.851162790697671</v>
      </c>
      <c r="G885">
        <v>16.195348837209298</v>
      </c>
      <c r="H885">
        <v>4.4930232558139549</v>
      </c>
      <c r="I885">
        <v>1</v>
      </c>
      <c r="J885">
        <v>0</v>
      </c>
      <c r="K885">
        <v>1</v>
      </c>
      <c r="L885">
        <v>1</v>
      </c>
      <c r="M885">
        <v>0</v>
      </c>
      <c r="N885">
        <v>25</v>
      </c>
      <c r="O885">
        <v>50000</v>
      </c>
      <c r="P885">
        <v>4</v>
      </c>
      <c r="Q885">
        <v>3</v>
      </c>
      <c r="R885">
        <v>4</v>
      </c>
      <c r="S885">
        <v>4</v>
      </c>
      <c r="T885" s="123">
        <f t="shared" si="67"/>
        <v>0</v>
      </c>
      <c r="U885">
        <f t="shared" si="68"/>
        <v>1</v>
      </c>
      <c r="V885">
        <f t="shared" si="69"/>
        <v>0</v>
      </c>
      <c r="W885">
        <f t="shared" si="70"/>
        <v>1</v>
      </c>
      <c r="X885">
        <f t="shared" si="71"/>
        <v>1</v>
      </c>
    </row>
    <row r="886" spans="1:24">
      <c r="A886" t="s">
        <v>215</v>
      </c>
      <c r="B886">
        <v>2</v>
      </c>
      <c r="C886">
        <v>1</v>
      </c>
      <c r="D886">
        <v>97.906976744186053</v>
      </c>
      <c r="E886">
        <v>98.06511627906977</v>
      </c>
      <c r="F886">
        <v>93.516279069767435</v>
      </c>
      <c r="G886">
        <v>9.9534883720930232</v>
      </c>
      <c r="H886">
        <v>12.4</v>
      </c>
      <c r="I886">
        <v>0</v>
      </c>
      <c r="J886">
        <v>0</v>
      </c>
      <c r="K886">
        <v>1</v>
      </c>
      <c r="L886">
        <v>1</v>
      </c>
      <c r="M886">
        <v>0</v>
      </c>
      <c r="N886">
        <v>25</v>
      </c>
      <c r="O886">
        <v>50000</v>
      </c>
      <c r="P886">
        <v>4</v>
      </c>
      <c r="Q886">
        <v>3</v>
      </c>
      <c r="R886">
        <v>4</v>
      </c>
      <c r="S886">
        <v>4</v>
      </c>
      <c r="T886" s="123">
        <f t="shared" si="67"/>
        <v>0</v>
      </c>
      <c r="U886">
        <f t="shared" si="68"/>
        <v>1</v>
      </c>
      <c r="V886">
        <f t="shared" si="69"/>
        <v>0</v>
      </c>
      <c r="W886">
        <f t="shared" si="70"/>
        <v>1</v>
      </c>
      <c r="X886">
        <f t="shared" si="71"/>
        <v>1</v>
      </c>
    </row>
    <row r="887" spans="1:24">
      <c r="A887" t="s">
        <v>215</v>
      </c>
      <c r="B887">
        <v>3</v>
      </c>
      <c r="C887">
        <v>1</v>
      </c>
      <c r="D887">
        <v>17.40435943060498</v>
      </c>
      <c r="E887">
        <v>81.761565836298928</v>
      </c>
      <c r="F887">
        <v>94.628558718861214</v>
      </c>
      <c r="G887">
        <v>13.356316725978649</v>
      </c>
      <c r="H887">
        <v>50</v>
      </c>
      <c r="I887">
        <v>0</v>
      </c>
      <c r="J887">
        <v>0</v>
      </c>
      <c r="K887">
        <v>0</v>
      </c>
      <c r="L887">
        <v>1</v>
      </c>
      <c r="M887">
        <v>0</v>
      </c>
      <c r="N887">
        <v>25</v>
      </c>
      <c r="O887">
        <v>50000</v>
      </c>
      <c r="P887">
        <v>4</v>
      </c>
      <c r="Q887">
        <v>3</v>
      </c>
      <c r="R887">
        <v>4</v>
      </c>
      <c r="S887">
        <v>4</v>
      </c>
      <c r="T887" s="123">
        <f t="shared" si="67"/>
        <v>0</v>
      </c>
      <c r="U887">
        <f t="shared" si="68"/>
        <v>1</v>
      </c>
      <c r="V887">
        <f t="shared" si="69"/>
        <v>0</v>
      </c>
      <c r="W887">
        <f t="shared" si="70"/>
        <v>1</v>
      </c>
      <c r="X887">
        <f t="shared" si="71"/>
        <v>1</v>
      </c>
    </row>
    <row r="888" spans="1:24" hidden="1">
      <c r="A888" t="s">
        <v>215</v>
      </c>
      <c r="B888">
        <v>4</v>
      </c>
      <c r="C888">
        <v>1</v>
      </c>
      <c r="D888">
        <v>93.34964412811388</v>
      </c>
      <c r="E888">
        <v>95.963078291814938</v>
      </c>
      <c r="F888">
        <v>95.740658362989322</v>
      </c>
      <c r="G888">
        <v>93.538701067615662</v>
      </c>
      <c r="H888">
        <v>88.945729537366546</v>
      </c>
      <c r="I888">
        <v>0</v>
      </c>
      <c r="J888">
        <v>0</v>
      </c>
      <c r="K888">
        <v>1</v>
      </c>
      <c r="L888">
        <v>1</v>
      </c>
      <c r="M888">
        <v>0</v>
      </c>
      <c r="N888">
        <v>25</v>
      </c>
      <c r="O888">
        <v>50000</v>
      </c>
      <c r="P888">
        <v>4</v>
      </c>
      <c r="Q888">
        <v>3</v>
      </c>
      <c r="R888">
        <v>4</v>
      </c>
      <c r="S888">
        <v>4</v>
      </c>
      <c r="T888" s="123">
        <f t="shared" si="67"/>
        <v>1</v>
      </c>
      <c r="U888">
        <f t="shared" si="68"/>
        <v>1</v>
      </c>
      <c r="V888">
        <f t="shared" si="69"/>
        <v>0</v>
      </c>
      <c r="W888">
        <f t="shared" si="70"/>
        <v>1</v>
      </c>
      <c r="X888">
        <f t="shared" si="71"/>
        <v>1</v>
      </c>
    </row>
    <row r="889" spans="1:24">
      <c r="A889" t="s">
        <v>215</v>
      </c>
      <c r="B889">
        <v>5</v>
      </c>
      <c r="C889">
        <v>1</v>
      </c>
      <c r="D889">
        <v>3.681049822064058</v>
      </c>
      <c r="E889">
        <v>95.017793594306042</v>
      </c>
      <c r="F889">
        <v>6.8282918149466187</v>
      </c>
      <c r="G889">
        <v>5.971975088967973</v>
      </c>
      <c r="H889">
        <v>58.262900355871892</v>
      </c>
      <c r="I889">
        <v>0</v>
      </c>
      <c r="J889">
        <v>0</v>
      </c>
      <c r="K889">
        <v>0</v>
      </c>
      <c r="L889">
        <v>1</v>
      </c>
      <c r="M889">
        <v>0</v>
      </c>
      <c r="N889">
        <v>25</v>
      </c>
      <c r="O889">
        <v>50000</v>
      </c>
      <c r="P889">
        <v>4</v>
      </c>
      <c r="Q889">
        <v>3</v>
      </c>
      <c r="R889">
        <v>4</v>
      </c>
      <c r="S889">
        <v>4</v>
      </c>
      <c r="T889" s="123">
        <f t="shared" si="67"/>
        <v>0</v>
      </c>
      <c r="U889">
        <f t="shared" si="68"/>
        <v>1</v>
      </c>
      <c r="V889">
        <f t="shared" si="69"/>
        <v>0</v>
      </c>
      <c r="W889">
        <f t="shared" si="70"/>
        <v>1</v>
      </c>
      <c r="X889">
        <f t="shared" si="71"/>
        <v>1</v>
      </c>
    </row>
    <row r="890" spans="1:24">
      <c r="A890" t="s">
        <v>215</v>
      </c>
      <c r="B890">
        <v>6</v>
      </c>
      <c r="C890">
        <v>1</v>
      </c>
      <c r="D890">
        <v>5.983096085409251</v>
      </c>
      <c r="E890">
        <v>90.413701067615662</v>
      </c>
      <c r="F890">
        <v>9.319395017793596</v>
      </c>
      <c r="G890">
        <v>14.41281138790036</v>
      </c>
      <c r="H890">
        <v>1.579181494661924</v>
      </c>
      <c r="I890">
        <v>0</v>
      </c>
      <c r="J890">
        <v>0</v>
      </c>
      <c r="K890">
        <v>0</v>
      </c>
      <c r="L890">
        <v>1</v>
      </c>
      <c r="M890">
        <v>0</v>
      </c>
      <c r="N890">
        <v>25</v>
      </c>
      <c r="O890">
        <v>50000</v>
      </c>
      <c r="P890">
        <v>4</v>
      </c>
      <c r="Q890">
        <v>3</v>
      </c>
      <c r="R890">
        <v>4</v>
      </c>
      <c r="S890">
        <v>4</v>
      </c>
      <c r="T890" s="123">
        <f t="shared" si="67"/>
        <v>0</v>
      </c>
      <c r="U890">
        <f t="shared" si="68"/>
        <v>1</v>
      </c>
      <c r="V890">
        <f t="shared" si="69"/>
        <v>0</v>
      </c>
      <c r="W890">
        <f t="shared" si="70"/>
        <v>1</v>
      </c>
      <c r="X890">
        <f t="shared" si="71"/>
        <v>1</v>
      </c>
    </row>
    <row r="891" spans="1:24">
      <c r="A891" t="s">
        <v>215</v>
      </c>
      <c r="B891">
        <v>7</v>
      </c>
      <c r="C891">
        <v>1</v>
      </c>
      <c r="D891">
        <v>0</v>
      </c>
      <c r="E891">
        <v>94.172597864768676</v>
      </c>
      <c r="F891">
        <v>6.0053380782918167</v>
      </c>
      <c r="G891">
        <v>11.621441281138789</v>
      </c>
      <c r="H891">
        <v>6.0831850533807854</v>
      </c>
      <c r="I891">
        <v>0</v>
      </c>
      <c r="J891">
        <v>1</v>
      </c>
      <c r="K891">
        <v>0</v>
      </c>
      <c r="L891">
        <v>1</v>
      </c>
      <c r="M891">
        <v>0</v>
      </c>
      <c r="N891">
        <v>25</v>
      </c>
      <c r="O891">
        <v>50000</v>
      </c>
      <c r="P891">
        <v>4</v>
      </c>
      <c r="Q891">
        <v>3</v>
      </c>
      <c r="R891">
        <v>4</v>
      </c>
      <c r="S891">
        <v>4</v>
      </c>
      <c r="T891" s="123">
        <f t="shared" si="67"/>
        <v>0</v>
      </c>
      <c r="U891">
        <f t="shared" si="68"/>
        <v>1</v>
      </c>
      <c r="V891">
        <f t="shared" si="69"/>
        <v>0</v>
      </c>
      <c r="W891">
        <f t="shared" si="70"/>
        <v>1</v>
      </c>
      <c r="X891">
        <f t="shared" si="71"/>
        <v>1</v>
      </c>
    </row>
    <row r="892" spans="1:24">
      <c r="A892" t="s">
        <v>216</v>
      </c>
      <c r="B892">
        <v>1</v>
      </c>
      <c r="C892">
        <v>1</v>
      </c>
      <c r="D892">
        <v>95.72403497547451</v>
      </c>
      <c r="E892">
        <v>95.564086159095751</v>
      </c>
      <c r="F892">
        <v>98.400511836212416</v>
      </c>
      <c r="G892">
        <v>2.8470889315419079</v>
      </c>
      <c r="H892">
        <v>0.88505011729579919</v>
      </c>
      <c r="I892">
        <v>1</v>
      </c>
      <c r="J892">
        <v>0</v>
      </c>
      <c r="K892">
        <v>1</v>
      </c>
      <c r="L892">
        <v>1</v>
      </c>
      <c r="M892">
        <v>0</v>
      </c>
      <c r="N892">
        <v>53</v>
      </c>
      <c r="O892">
        <v>60000</v>
      </c>
      <c r="P892">
        <v>4</v>
      </c>
      <c r="Q892">
        <v>5</v>
      </c>
      <c r="R892">
        <v>5</v>
      </c>
      <c r="S892">
        <v>4</v>
      </c>
      <c r="T892" s="123">
        <f t="shared" si="67"/>
        <v>0</v>
      </c>
      <c r="U892">
        <f t="shared" si="68"/>
        <v>1</v>
      </c>
      <c r="V892">
        <f t="shared" si="69"/>
        <v>1</v>
      </c>
      <c r="W892">
        <f t="shared" si="70"/>
        <v>1</v>
      </c>
      <c r="X892">
        <f t="shared" si="71"/>
        <v>1</v>
      </c>
    </row>
    <row r="893" spans="1:24">
      <c r="A893" t="s">
        <v>216</v>
      </c>
      <c r="B893">
        <v>2</v>
      </c>
      <c r="C893">
        <v>1</v>
      </c>
      <c r="D893">
        <v>100</v>
      </c>
      <c r="E893">
        <v>89.336745574749415</v>
      </c>
      <c r="F893">
        <v>91.650671785028791</v>
      </c>
      <c r="G893">
        <v>2.324589464704629</v>
      </c>
      <c r="H893">
        <v>93.250159948816375</v>
      </c>
      <c r="I893">
        <v>0</v>
      </c>
      <c r="J893">
        <v>0</v>
      </c>
      <c r="K893">
        <v>1</v>
      </c>
      <c r="L893">
        <v>1</v>
      </c>
      <c r="M893">
        <v>0</v>
      </c>
      <c r="N893">
        <v>53</v>
      </c>
      <c r="O893">
        <v>60000</v>
      </c>
      <c r="P893">
        <v>4</v>
      </c>
      <c r="Q893">
        <v>5</v>
      </c>
      <c r="R893">
        <v>5</v>
      </c>
      <c r="S893">
        <v>4</v>
      </c>
      <c r="T893" s="123">
        <f t="shared" si="67"/>
        <v>0</v>
      </c>
      <c r="U893">
        <f t="shared" si="68"/>
        <v>1</v>
      </c>
      <c r="V893">
        <f t="shared" si="69"/>
        <v>1</v>
      </c>
      <c r="W893">
        <f t="shared" si="70"/>
        <v>1</v>
      </c>
      <c r="X893">
        <f t="shared" si="71"/>
        <v>1</v>
      </c>
    </row>
    <row r="894" spans="1:24">
      <c r="A894" t="s">
        <v>216</v>
      </c>
      <c r="B894">
        <v>3</v>
      </c>
      <c r="C894">
        <v>1</v>
      </c>
      <c r="D894">
        <v>98.933674557474944</v>
      </c>
      <c r="E894">
        <v>98.581787161441667</v>
      </c>
      <c r="F894">
        <v>98.933674557474944</v>
      </c>
      <c r="G894">
        <v>6.0460652591170838</v>
      </c>
      <c r="H894">
        <v>1.066325442525057</v>
      </c>
      <c r="I894">
        <v>0</v>
      </c>
      <c r="J894">
        <v>0</v>
      </c>
      <c r="K894">
        <v>1</v>
      </c>
      <c r="L894">
        <v>1</v>
      </c>
      <c r="M894">
        <v>0</v>
      </c>
      <c r="N894">
        <v>53</v>
      </c>
      <c r="O894">
        <v>60000</v>
      </c>
      <c r="P894">
        <v>4</v>
      </c>
      <c r="Q894">
        <v>5</v>
      </c>
      <c r="R894">
        <v>5</v>
      </c>
      <c r="S894">
        <v>4</v>
      </c>
      <c r="T894" s="123">
        <f t="shared" si="67"/>
        <v>0</v>
      </c>
      <c r="U894">
        <f t="shared" si="68"/>
        <v>1</v>
      </c>
      <c r="V894">
        <f t="shared" si="69"/>
        <v>1</v>
      </c>
      <c r="W894">
        <f t="shared" si="70"/>
        <v>1</v>
      </c>
      <c r="X894">
        <f t="shared" si="71"/>
        <v>1</v>
      </c>
    </row>
    <row r="895" spans="1:24" hidden="1">
      <c r="A895" t="s">
        <v>216</v>
      </c>
      <c r="B895">
        <v>4</v>
      </c>
      <c r="C895">
        <v>1</v>
      </c>
      <c r="D895">
        <v>98.752399232245679</v>
      </c>
      <c r="E895">
        <v>83.994455107698869</v>
      </c>
      <c r="F895">
        <v>99.29622520793346</v>
      </c>
      <c r="G895">
        <v>99.466837278737458</v>
      </c>
      <c r="H895">
        <v>2.665813606312645</v>
      </c>
      <c r="I895">
        <v>0</v>
      </c>
      <c r="J895">
        <v>0</v>
      </c>
      <c r="K895">
        <v>1</v>
      </c>
      <c r="L895">
        <v>1</v>
      </c>
      <c r="M895">
        <v>0</v>
      </c>
      <c r="N895">
        <v>53</v>
      </c>
      <c r="O895">
        <v>60000</v>
      </c>
      <c r="P895">
        <v>4</v>
      </c>
      <c r="Q895">
        <v>5</v>
      </c>
      <c r="R895">
        <v>5</v>
      </c>
      <c r="S895">
        <v>4</v>
      </c>
      <c r="T895" s="123">
        <f t="shared" si="67"/>
        <v>1</v>
      </c>
      <c r="U895">
        <f t="shared" si="68"/>
        <v>1</v>
      </c>
      <c r="V895">
        <f t="shared" si="69"/>
        <v>1</v>
      </c>
      <c r="W895">
        <f t="shared" si="70"/>
        <v>1</v>
      </c>
      <c r="X895">
        <f t="shared" si="71"/>
        <v>1</v>
      </c>
    </row>
    <row r="896" spans="1:24" hidden="1">
      <c r="A896" t="s">
        <v>216</v>
      </c>
      <c r="B896">
        <v>5</v>
      </c>
      <c r="C896">
        <v>1</v>
      </c>
      <c r="D896">
        <v>99.285561953508221</v>
      </c>
      <c r="E896">
        <v>99.840051183621242</v>
      </c>
      <c r="F896">
        <v>98.560460652591161</v>
      </c>
      <c r="G896">
        <v>95.372147579441247</v>
      </c>
      <c r="H896">
        <v>5.1503518873960319</v>
      </c>
      <c r="I896">
        <v>0</v>
      </c>
      <c r="J896">
        <v>0</v>
      </c>
      <c r="K896">
        <v>1</v>
      </c>
      <c r="L896">
        <v>1</v>
      </c>
      <c r="M896">
        <v>0</v>
      </c>
      <c r="N896">
        <v>53</v>
      </c>
      <c r="O896">
        <v>60000</v>
      </c>
      <c r="P896">
        <v>4</v>
      </c>
      <c r="Q896">
        <v>5</v>
      </c>
      <c r="R896">
        <v>5</v>
      </c>
      <c r="S896">
        <v>4</v>
      </c>
      <c r="T896" s="123">
        <f t="shared" si="67"/>
        <v>1</v>
      </c>
      <c r="U896">
        <f t="shared" si="68"/>
        <v>1</v>
      </c>
      <c r="V896">
        <f t="shared" si="69"/>
        <v>1</v>
      </c>
      <c r="W896">
        <f t="shared" si="70"/>
        <v>1</v>
      </c>
      <c r="X896">
        <f t="shared" si="71"/>
        <v>1</v>
      </c>
    </row>
    <row r="897" spans="1:24">
      <c r="A897" t="s">
        <v>216</v>
      </c>
      <c r="B897">
        <v>6</v>
      </c>
      <c r="C897">
        <v>1</v>
      </c>
      <c r="D897">
        <v>99.648112603966737</v>
      </c>
      <c r="E897">
        <v>99.104286628278942</v>
      </c>
      <c r="F897">
        <v>97.867349114949874</v>
      </c>
      <c r="G897">
        <v>4.627852420558753</v>
      </c>
      <c r="H897">
        <v>1.951375559820856</v>
      </c>
      <c r="I897">
        <v>0</v>
      </c>
      <c r="J897">
        <v>0</v>
      </c>
      <c r="K897">
        <v>1</v>
      </c>
      <c r="L897">
        <v>1</v>
      </c>
      <c r="M897">
        <v>0</v>
      </c>
      <c r="N897">
        <v>53</v>
      </c>
      <c r="O897">
        <v>60000</v>
      </c>
      <c r="P897">
        <v>4</v>
      </c>
      <c r="Q897">
        <v>5</v>
      </c>
      <c r="R897">
        <v>5</v>
      </c>
      <c r="S897">
        <v>4</v>
      </c>
      <c r="T897" s="123">
        <f t="shared" si="67"/>
        <v>0</v>
      </c>
      <c r="U897">
        <f t="shared" si="68"/>
        <v>1</v>
      </c>
      <c r="V897">
        <f t="shared" si="69"/>
        <v>1</v>
      </c>
      <c r="W897">
        <f t="shared" si="70"/>
        <v>1</v>
      </c>
      <c r="X897">
        <f t="shared" si="71"/>
        <v>1</v>
      </c>
    </row>
    <row r="898" spans="1:24">
      <c r="A898" t="s">
        <v>216</v>
      </c>
      <c r="B898">
        <v>7</v>
      </c>
      <c r="C898">
        <v>1</v>
      </c>
      <c r="D898">
        <v>76.125</v>
      </c>
      <c r="E898">
        <v>86.45</v>
      </c>
      <c r="F898">
        <v>97.912500000000009</v>
      </c>
      <c r="G898">
        <v>6.25</v>
      </c>
      <c r="H898">
        <v>50</v>
      </c>
      <c r="I898">
        <v>0</v>
      </c>
      <c r="J898">
        <v>1</v>
      </c>
      <c r="K898">
        <v>1</v>
      </c>
      <c r="L898">
        <v>1</v>
      </c>
      <c r="M898">
        <v>0</v>
      </c>
      <c r="N898">
        <v>53</v>
      </c>
      <c r="O898">
        <v>60000</v>
      </c>
      <c r="P898">
        <v>4</v>
      </c>
      <c r="Q898">
        <v>5</v>
      </c>
      <c r="R898">
        <v>5</v>
      </c>
      <c r="S898">
        <v>4</v>
      </c>
      <c r="T898" s="123">
        <f t="shared" si="67"/>
        <v>0</v>
      </c>
      <c r="U898">
        <f t="shared" si="68"/>
        <v>1</v>
      </c>
      <c r="V898">
        <f t="shared" si="69"/>
        <v>1</v>
      </c>
      <c r="W898">
        <f t="shared" si="70"/>
        <v>1</v>
      </c>
      <c r="X898">
        <f t="shared" si="71"/>
        <v>1</v>
      </c>
    </row>
    <row r="899" spans="1:24" hidden="1">
      <c r="A899" t="s">
        <v>217</v>
      </c>
      <c r="B899">
        <v>1</v>
      </c>
      <c r="C899">
        <v>1</v>
      </c>
      <c r="D899">
        <v>98.782555093234706</v>
      </c>
      <c r="E899">
        <v>98.566805362921855</v>
      </c>
      <c r="F899">
        <v>91.647403297888744</v>
      </c>
      <c r="G899">
        <v>98.91354600092464</v>
      </c>
      <c r="H899">
        <v>1.1480967791647421</v>
      </c>
      <c r="I899">
        <v>1</v>
      </c>
      <c r="J899">
        <v>0</v>
      </c>
      <c r="K899">
        <v>1</v>
      </c>
      <c r="L899">
        <v>1</v>
      </c>
      <c r="M899">
        <v>0</v>
      </c>
      <c r="N899">
        <v>31</v>
      </c>
      <c r="O899">
        <v>30000</v>
      </c>
      <c r="P899">
        <v>3</v>
      </c>
      <c r="Q899">
        <v>1</v>
      </c>
      <c r="R899">
        <v>2</v>
      </c>
      <c r="S899">
        <v>1</v>
      </c>
      <c r="T899" s="123">
        <f t="shared" si="67"/>
        <v>1</v>
      </c>
      <c r="U899">
        <f t="shared" si="68"/>
        <v>0</v>
      </c>
      <c r="V899">
        <f t="shared" si="69"/>
        <v>0</v>
      </c>
      <c r="W899">
        <f t="shared" si="70"/>
        <v>0</v>
      </c>
      <c r="X899">
        <f t="shared" si="71"/>
        <v>0</v>
      </c>
    </row>
    <row r="900" spans="1:24" hidden="1">
      <c r="A900" t="s">
        <v>217</v>
      </c>
      <c r="B900">
        <v>2</v>
      </c>
      <c r="C900">
        <v>1</v>
      </c>
      <c r="D900">
        <v>97.17984281091077</v>
      </c>
      <c r="E900">
        <v>97.580520881491765</v>
      </c>
      <c r="F900">
        <v>97.303128371089542</v>
      </c>
      <c r="G900">
        <v>91.917090460779775</v>
      </c>
      <c r="H900">
        <v>97.418708583757123</v>
      </c>
      <c r="I900">
        <v>0</v>
      </c>
      <c r="J900">
        <v>0</v>
      </c>
      <c r="K900">
        <v>1</v>
      </c>
      <c r="L900">
        <v>1</v>
      </c>
      <c r="M900">
        <v>0</v>
      </c>
      <c r="N900">
        <v>31</v>
      </c>
      <c r="O900">
        <v>30000</v>
      </c>
      <c r="P900">
        <v>3</v>
      </c>
      <c r="Q900">
        <v>1</v>
      </c>
      <c r="R900">
        <v>2</v>
      </c>
      <c r="S900">
        <v>1</v>
      </c>
      <c r="T900" s="123">
        <f t="shared" ref="T900:T963" si="72">IF(OR(IF(AVERAGE(E900:F900)-G900&gt;(10),1,0),IF(AVERAGE(E900:F900)-G900&lt;(-10),1,0)),0,1)</f>
        <v>1</v>
      </c>
      <c r="U900">
        <f t="shared" ref="U900:U963" si="73">IF(P900&gt;3,1,0)</f>
        <v>0</v>
      </c>
      <c r="V900">
        <f t="shared" ref="V900:V963" si="74">IF(Q900&gt;3,1,0)</f>
        <v>0</v>
      </c>
      <c r="W900">
        <f t="shared" ref="W900:W963" si="75">IF(R900&gt;3,1,0)</f>
        <v>0</v>
      </c>
      <c r="X900">
        <f t="shared" ref="X900:X963" si="76">IF(S900&gt;3,1,0)</f>
        <v>0</v>
      </c>
    </row>
    <row r="901" spans="1:24" hidden="1">
      <c r="A901" t="s">
        <v>217</v>
      </c>
      <c r="B901">
        <v>3</v>
      </c>
      <c r="C901">
        <v>1</v>
      </c>
      <c r="D901">
        <v>8.2370164894436719</v>
      </c>
      <c r="E901">
        <v>6.8038218523655436</v>
      </c>
      <c r="F901">
        <v>3.0744336569579311</v>
      </c>
      <c r="G901">
        <v>0</v>
      </c>
      <c r="H901">
        <v>3.059022961935582</v>
      </c>
      <c r="I901">
        <v>0</v>
      </c>
      <c r="J901">
        <v>0</v>
      </c>
      <c r="K901">
        <v>0</v>
      </c>
      <c r="L901">
        <v>1</v>
      </c>
      <c r="M901">
        <v>0</v>
      </c>
      <c r="N901">
        <v>31</v>
      </c>
      <c r="O901">
        <v>30000</v>
      </c>
      <c r="P901">
        <v>3</v>
      </c>
      <c r="Q901">
        <v>1</v>
      </c>
      <c r="R901">
        <v>2</v>
      </c>
      <c r="S901">
        <v>1</v>
      </c>
      <c r="T901" s="123">
        <f t="shared" si="72"/>
        <v>1</v>
      </c>
      <c r="U901">
        <f t="shared" si="73"/>
        <v>0</v>
      </c>
      <c r="V901">
        <f t="shared" si="74"/>
        <v>0</v>
      </c>
      <c r="W901">
        <f t="shared" si="75"/>
        <v>0</v>
      </c>
      <c r="X901">
        <f t="shared" si="76"/>
        <v>0</v>
      </c>
    </row>
    <row r="902" spans="1:24">
      <c r="A902" t="s">
        <v>217</v>
      </c>
      <c r="B902">
        <v>4</v>
      </c>
      <c r="C902">
        <v>1</v>
      </c>
      <c r="D902">
        <v>12.32855601787641</v>
      </c>
      <c r="E902">
        <v>6.1565726614270293</v>
      </c>
      <c r="F902">
        <v>5.3860379103097547</v>
      </c>
      <c r="G902">
        <v>91.524117737709958</v>
      </c>
      <c r="H902">
        <v>91.524117737709958</v>
      </c>
      <c r="I902">
        <v>0</v>
      </c>
      <c r="J902">
        <v>0</v>
      </c>
      <c r="K902">
        <v>0</v>
      </c>
      <c r="L902">
        <v>1</v>
      </c>
      <c r="M902">
        <v>0</v>
      </c>
      <c r="N902">
        <v>31</v>
      </c>
      <c r="O902">
        <v>30000</v>
      </c>
      <c r="P902">
        <v>3</v>
      </c>
      <c r="Q902">
        <v>1</v>
      </c>
      <c r="R902">
        <v>2</v>
      </c>
      <c r="S902">
        <v>1</v>
      </c>
      <c r="T902" s="123">
        <f t="shared" si="72"/>
        <v>0</v>
      </c>
      <c r="U902">
        <f t="shared" si="73"/>
        <v>0</v>
      </c>
      <c r="V902">
        <f t="shared" si="74"/>
        <v>0</v>
      </c>
      <c r="W902">
        <f t="shared" si="75"/>
        <v>0</v>
      </c>
      <c r="X902">
        <f t="shared" si="76"/>
        <v>0</v>
      </c>
    </row>
    <row r="903" spans="1:24" hidden="1">
      <c r="A903" t="s">
        <v>217</v>
      </c>
      <c r="B903">
        <v>5</v>
      </c>
      <c r="C903">
        <v>1</v>
      </c>
      <c r="D903">
        <v>0.77053475111727443</v>
      </c>
      <c r="E903">
        <v>1.910926182770845</v>
      </c>
      <c r="F903">
        <v>6.8192325473878874</v>
      </c>
      <c r="G903">
        <v>9.7626752966558765</v>
      </c>
      <c r="H903">
        <v>1.517953459701032</v>
      </c>
      <c r="I903">
        <v>0</v>
      </c>
      <c r="J903">
        <v>0</v>
      </c>
      <c r="K903">
        <v>0</v>
      </c>
      <c r="L903">
        <v>1</v>
      </c>
      <c r="M903">
        <v>0</v>
      </c>
      <c r="N903">
        <v>31</v>
      </c>
      <c r="O903">
        <v>30000</v>
      </c>
      <c r="P903">
        <v>3</v>
      </c>
      <c r="Q903">
        <v>1</v>
      </c>
      <c r="R903">
        <v>2</v>
      </c>
      <c r="S903">
        <v>1</v>
      </c>
      <c r="T903" s="123">
        <f t="shared" si="72"/>
        <v>1</v>
      </c>
      <c r="U903">
        <f t="shared" si="73"/>
        <v>0</v>
      </c>
      <c r="V903">
        <f t="shared" si="74"/>
        <v>0</v>
      </c>
      <c r="W903">
        <f t="shared" si="75"/>
        <v>0</v>
      </c>
      <c r="X903">
        <f t="shared" si="76"/>
        <v>0</v>
      </c>
    </row>
    <row r="904" spans="1:24" hidden="1">
      <c r="A904" t="s">
        <v>217</v>
      </c>
      <c r="B904">
        <v>6</v>
      </c>
      <c r="C904">
        <v>1</v>
      </c>
      <c r="D904">
        <v>2.1806133456618908</v>
      </c>
      <c r="E904">
        <v>97.318539066111882</v>
      </c>
      <c r="F904">
        <v>98.335644937586693</v>
      </c>
      <c r="G904">
        <v>96.155031591924796</v>
      </c>
      <c r="H904">
        <v>98.335644937586693</v>
      </c>
      <c r="I904">
        <v>0</v>
      </c>
      <c r="J904">
        <v>0</v>
      </c>
      <c r="K904">
        <v>0</v>
      </c>
      <c r="L904">
        <v>1</v>
      </c>
      <c r="M904">
        <v>0</v>
      </c>
      <c r="N904">
        <v>31</v>
      </c>
      <c r="O904">
        <v>30000</v>
      </c>
      <c r="P904">
        <v>3</v>
      </c>
      <c r="Q904">
        <v>1</v>
      </c>
      <c r="R904">
        <v>2</v>
      </c>
      <c r="S904">
        <v>1</v>
      </c>
      <c r="T904" s="123">
        <f t="shared" si="72"/>
        <v>1</v>
      </c>
      <c r="U904">
        <f t="shared" si="73"/>
        <v>0</v>
      </c>
      <c r="V904">
        <f t="shared" si="74"/>
        <v>0</v>
      </c>
      <c r="W904">
        <f t="shared" si="75"/>
        <v>0</v>
      </c>
      <c r="X904">
        <f t="shared" si="76"/>
        <v>0</v>
      </c>
    </row>
    <row r="905" spans="1:24">
      <c r="A905" t="s">
        <v>217</v>
      </c>
      <c r="B905">
        <v>7</v>
      </c>
      <c r="C905">
        <v>1</v>
      </c>
      <c r="D905">
        <v>70.061926115737776</v>
      </c>
      <c r="E905">
        <v>93.59385009609224</v>
      </c>
      <c r="F905">
        <v>87.26243860773009</v>
      </c>
      <c r="G905">
        <v>50</v>
      </c>
      <c r="H905">
        <v>65.310698270339529</v>
      </c>
      <c r="I905">
        <v>0</v>
      </c>
      <c r="J905">
        <v>1</v>
      </c>
      <c r="K905">
        <v>1</v>
      </c>
      <c r="L905">
        <v>1</v>
      </c>
      <c r="M905">
        <v>0</v>
      </c>
      <c r="N905">
        <v>31</v>
      </c>
      <c r="O905">
        <v>30000</v>
      </c>
      <c r="P905">
        <v>3</v>
      </c>
      <c r="Q905">
        <v>1</v>
      </c>
      <c r="R905">
        <v>2</v>
      </c>
      <c r="S905">
        <v>1</v>
      </c>
      <c r="T905" s="123">
        <f t="shared" si="72"/>
        <v>0</v>
      </c>
      <c r="U905">
        <f t="shared" si="73"/>
        <v>0</v>
      </c>
      <c r="V905">
        <f t="shared" si="74"/>
        <v>0</v>
      </c>
      <c r="W905">
        <f t="shared" si="75"/>
        <v>0</v>
      </c>
      <c r="X905">
        <f t="shared" si="76"/>
        <v>0</v>
      </c>
    </row>
    <row r="906" spans="1:24">
      <c r="A906" t="s">
        <v>218</v>
      </c>
      <c r="B906">
        <v>1</v>
      </c>
      <c r="C906">
        <v>1</v>
      </c>
      <c r="D906">
        <v>97.23520249221184</v>
      </c>
      <c r="E906">
        <v>93.837616822429908</v>
      </c>
      <c r="F906">
        <v>90.430295950155767</v>
      </c>
      <c r="G906">
        <v>8.917445482866043</v>
      </c>
      <c r="H906">
        <v>4.2056074766355147</v>
      </c>
      <c r="I906">
        <v>1</v>
      </c>
      <c r="J906">
        <v>0</v>
      </c>
      <c r="K906">
        <v>1</v>
      </c>
      <c r="L906">
        <v>1</v>
      </c>
      <c r="M906">
        <v>0</v>
      </c>
      <c r="N906">
        <v>33</v>
      </c>
      <c r="O906">
        <v>96000</v>
      </c>
      <c r="P906">
        <v>1</v>
      </c>
      <c r="Q906">
        <v>1</v>
      </c>
      <c r="R906">
        <v>3</v>
      </c>
      <c r="S906">
        <v>4</v>
      </c>
      <c r="T906" s="123">
        <f t="shared" si="72"/>
        <v>0</v>
      </c>
      <c r="U906">
        <f t="shared" si="73"/>
        <v>0</v>
      </c>
      <c r="V906">
        <f t="shared" si="74"/>
        <v>0</v>
      </c>
      <c r="W906">
        <f t="shared" si="75"/>
        <v>0</v>
      </c>
      <c r="X906">
        <f t="shared" si="76"/>
        <v>1</v>
      </c>
    </row>
    <row r="907" spans="1:24">
      <c r="A907" t="s">
        <v>218</v>
      </c>
      <c r="B907">
        <v>2</v>
      </c>
      <c r="C907">
        <v>1</v>
      </c>
      <c r="D907">
        <v>100</v>
      </c>
      <c r="E907">
        <v>84.657320872274141</v>
      </c>
      <c r="F907">
        <v>97.089174454828651</v>
      </c>
      <c r="G907">
        <v>9.890965732087226</v>
      </c>
      <c r="H907">
        <v>2.9108255451713418</v>
      </c>
      <c r="I907">
        <v>0</v>
      </c>
      <c r="J907">
        <v>0</v>
      </c>
      <c r="K907">
        <v>1</v>
      </c>
      <c r="L907">
        <v>1</v>
      </c>
      <c r="M907">
        <v>0</v>
      </c>
      <c r="N907">
        <v>33</v>
      </c>
      <c r="O907">
        <v>96000</v>
      </c>
      <c r="P907">
        <v>1</v>
      </c>
      <c r="Q907">
        <v>1</v>
      </c>
      <c r="R907">
        <v>3</v>
      </c>
      <c r="S907">
        <v>4</v>
      </c>
      <c r="T907" s="123">
        <f t="shared" si="72"/>
        <v>0</v>
      </c>
      <c r="U907">
        <f t="shared" si="73"/>
        <v>0</v>
      </c>
      <c r="V907">
        <f t="shared" si="74"/>
        <v>0</v>
      </c>
      <c r="W907">
        <f t="shared" si="75"/>
        <v>0</v>
      </c>
      <c r="X907">
        <f t="shared" si="76"/>
        <v>1</v>
      </c>
    </row>
    <row r="908" spans="1:24">
      <c r="A908" t="s">
        <v>218</v>
      </c>
      <c r="B908">
        <v>3</v>
      </c>
      <c r="C908">
        <v>1</v>
      </c>
      <c r="D908">
        <v>89.887769125057261</v>
      </c>
      <c r="E908">
        <v>50</v>
      </c>
      <c r="F908">
        <v>96.209344938158495</v>
      </c>
      <c r="G908">
        <v>17.063673843334861</v>
      </c>
      <c r="H908">
        <v>20.029775538250121</v>
      </c>
      <c r="I908">
        <v>0</v>
      </c>
      <c r="J908">
        <v>0</v>
      </c>
      <c r="K908">
        <v>1</v>
      </c>
      <c r="L908">
        <v>1</v>
      </c>
      <c r="M908">
        <v>0</v>
      </c>
      <c r="N908">
        <v>33</v>
      </c>
      <c r="O908">
        <v>96000</v>
      </c>
      <c r="P908">
        <v>1</v>
      </c>
      <c r="Q908">
        <v>1</v>
      </c>
      <c r="R908">
        <v>3</v>
      </c>
      <c r="S908">
        <v>4</v>
      </c>
      <c r="T908" s="123">
        <f t="shared" si="72"/>
        <v>0</v>
      </c>
      <c r="U908">
        <f t="shared" si="73"/>
        <v>0</v>
      </c>
      <c r="V908">
        <f t="shared" si="74"/>
        <v>0</v>
      </c>
      <c r="W908">
        <f t="shared" si="75"/>
        <v>0</v>
      </c>
      <c r="X908">
        <f t="shared" si="76"/>
        <v>1</v>
      </c>
    </row>
    <row r="909" spans="1:24">
      <c r="A909" t="s">
        <v>218</v>
      </c>
      <c r="B909">
        <v>4</v>
      </c>
      <c r="C909">
        <v>1</v>
      </c>
      <c r="D909">
        <v>95.923041685753546</v>
      </c>
      <c r="E909">
        <v>93.896014658726529</v>
      </c>
      <c r="F909">
        <v>89.109024278515804</v>
      </c>
      <c r="G909">
        <v>5.9207512597343079</v>
      </c>
      <c r="H909">
        <v>8.302794319743473</v>
      </c>
      <c r="I909">
        <v>0</v>
      </c>
      <c r="J909">
        <v>0</v>
      </c>
      <c r="K909">
        <v>1</v>
      </c>
      <c r="L909">
        <v>1</v>
      </c>
      <c r="M909">
        <v>0</v>
      </c>
      <c r="N909">
        <v>33</v>
      </c>
      <c r="O909">
        <v>96000</v>
      </c>
      <c r="P909">
        <v>1</v>
      </c>
      <c r="Q909">
        <v>1</v>
      </c>
      <c r="R909">
        <v>3</v>
      </c>
      <c r="S909">
        <v>4</v>
      </c>
      <c r="T909" s="123">
        <f t="shared" si="72"/>
        <v>0</v>
      </c>
      <c r="U909">
        <f t="shared" si="73"/>
        <v>0</v>
      </c>
      <c r="V909">
        <f t="shared" si="74"/>
        <v>0</v>
      </c>
      <c r="W909">
        <f t="shared" si="75"/>
        <v>0</v>
      </c>
      <c r="X909">
        <f t="shared" si="76"/>
        <v>1</v>
      </c>
    </row>
    <row r="910" spans="1:24">
      <c r="A910" t="s">
        <v>218</v>
      </c>
      <c r="B910">
        <v>5</v>
      </c>
      <c r="C910">
        <v>1</v>
      </c>
      <c r="D910">
        <v>91.410902427851582</v>
      </c>
      <c r="E910">
        <v>95.419147961520849</v>
      </c>
      <c r="F910">
        <v>94.468621163536412</v>
      </c>
      <c r="G910">
        <v>17.17819514429684</v>
      </c>
      <c r="H910">
        <v>5.7146129180027483</v>
      </c>
      <c r="I910">
        <v>0</v>
      </c>
      <c r="J910">
        <v>0</v>
      </c>
      <c r="K910">
        <v>1</v>
      </c>
      <c r="L910">
        <v>1</v>
      </c>
      <c r="M910">
        <v>0</v>
      </c>
      <c r="N910">
        <v>33</v>
      </c>
      <c r="O910">
        <v>96000</v>
      </c>
      <c r="P910">
        <v>1</v>
      </c>
      <c r="Q910">
        <v>1</v>
      </c>
      <c r="R910">
        <v>3</v>
      </c>
      <c r="S910">
        <v>4</v>
      </c>
      <c r="T910" s="123">
        <f t="shared" si="72"/>
        <v>0</v>
      </c>
      <c r="U910">
        <f t="shared" si="73"/>
        <v>0</v>
      </c>
      <c r="V910">
        <f t="shared" si="74"/>
        <v>0</v>
      </c>
      <c r="W910">
        <f t="shared" si="75"/>
        <v>0</v>
      </c>
      <c r="X910">
        <f t="shared" si="76"/>
        <v>1</v>
      </c>
    </row>
    <row r="911" spans="1:24">
      <c r="A911" t="s">
        <v>218</v>
      </c>
      <c r="B911">
        <v>6</v>
      </c>
      <c r="C911">
        <v>1</v>
      </c>
      <c r="D911">
        <v>6.1154374713696722</v>
      </c>
      <c r="E911">
        <v>11.81859825927623</v>
      </c>
      <c r="F911">
        <v>15.83829592304169</v>
      </c>
      <c r="G911">
        <v>82.065964269354097</v>
      </c>
      <c r="H911">
        <v>90.655061841502516</v>
      </c>
      <c r="I911">
        <v>0</v>
      </c>
      <c r="J911">
        <v>0</v>
      </c>
      <c r="K911">
        <v>0</v>
      </c>
      <c r="L911">
        <v>1</v>
      </c>
      <c r="M911">
        <v>0</v>
      </c>
      <c r="N911">
        <v>33</v>
      </c>
      <c r="O911">
        <v>96000</v>
      </c>
      <c r="P911">
        <v>1</v>
      </c>
      <c r="Q911">
        <v>1</v>
      </c>
      <c r="R911">
        <v>3</v>
      </c>
      <c r="S911">
        <v>4</v>
      </c>
      <c r="T911" s="123">
        <f t="shared" si="72"/>
        <v>0</v>
      </c>
      <c r="U911">
        <f t="shared" si="73"/>
        <v>0</v>
      </c>
      <c r="V911">
        <f t="shared" si="74"/>
        <v>0</v>
      </c>
      <c r="W911">
        <f t="shared" si="75"/>
        <v>0</v>
      </c>
      <c r="X911">
        <f t="shared" si="76"/>
        <v>1</v>
      </c>
    </row>
    <row r="912" spans="1:24">
      <c r="A912" t="s">
        <v>218</v>
      </c>
      <c r="B912">
        <v>7</v>
      </c>
      <c r="C912">
        <v>1</v>
      </c>
      <c r="D912">
        <v>7.8103527256069611</v>
      </c>
      <c r="E912">
        <v>14.120476408611999</v>
      </c>
      <c r="F912">
        <v>5.9092991296381134</v>
      </c>
      <c r="G912">
        <v>91.617040769583141</v>
      </c>
      <c r="H912">
        <v>4.0998625744388448</v>
      </c>
      <c r="I912">
        <v>0</v>
      </c>
      <c r="J912">
        <v>1</v>
      </c>
      <c r="K912">
        <v>0</v>
      </c>
      <c r="L912">
        <v>1</v>
      </c>
      <c r="M912">
        <v>0</v>
      </c>
      <c r="N912">
        <v>33</v>
      </c>
      <c r="O912">
        <v>96000</v>
      </c>
      <c r="P912">
        <v>1</v>
      </c>
      <c r="Q912">
        <v>1</v>
      </c>
      <c r="R912">
        <v>3</v>
      </c>
      <c r="S912">
        <v>4</v>
      </c>
      <c r="T912" s="123">
        <f t="shared" si="72"/>
        <v>0</v>
      </c>
      <c r="U912">
        <f t="shared" si="73"/>
        <v>0</v>
      </c>
      <c r="V912">
        <f t="shared" si="74"/>
        <v>0</v>
      </c>
      <c r="W912">
        <f t="shared" si="75"/>
        <v>0</v>
      </c>
      <c r="X912">
        <f t="shared" si="76"/>
        <v>1</v>
      </c>
    </row>
    <row r="913" spans="1:24">
      <c r="A913" t="s">
        <v>219</v>
      </c>
      <c r="B913">
        <v>1</v>
      </c>
      <c r="C913">
        <v>1</v>
      </c>
      <c r="D913">
        <v>90.618496628652295</v>
      </c>
      <c r="E913">
        <v>96.807625072837752</v>
      </c>
      <c r="F913">
        <v>97.423624406892543</v>
      </c>
      <c r="G913">
        <v>1.8063764255389969</v>
      </c>
      <c r="H913">
        <v>3.1008074585865302</v>
      </c>
      <c r="I913">
        <v>1</v>
      </c>
      <c r="J913">
        <v>0</v>
      </c>
      <c r="K913">
        <v>1</v>
      </c>
      <c r="L913">
        <v>1</v>
      </c>
      <c r="M913">
        <v>1</v>
      </c>
      <c r="N913">
        <v>43</v>
      </c>
      <c r="O913">
        <v>5000</v>
      </c>
      <c r="P913">
        <v>1</v>
      </c>
      <c r="Q913">
        <v>1</v>
      </c>
      <c r="R913">
        <v>3</v>
      </c>
      <c r="S913">
        <v>2</v>
      </c>
      <c r="T913" s="123">
        <f t="shared" si="72"/>
        <v>0</v>
      </c>
      <c r="U913">
        <f t="shared" si="73"/>
        <v>0</v>
      </c>
      <c r="V913">
        <f t="shared" si="74"/>
        <v>0</v>
      </c>
      <c r="W913">
        <f t="shared" si="75"/>
        <v>0</v>
      </c>
      <c r="X913">
        <f t="shared" si="76"/>
        <v>0</v>
      </c>
    </row>
    <row r="914" spans="1:24">
      <c r="A914" t="s">
        <v>219</v>
      </c>
      <c r="B914">
        <v>2</v>
      </c>
      <c r="C914">
        <v>1</v>
      </c>
      <c r="D914">
        <v>4.1871306085074496</v>
      </c>
      <c r="E914">
        <v>97.585948555731278</v>
      </c>
      <c r="F914">
        <v>82.277532672937653</v>
      </c>
      <c r="G914">
        <v>5.577291267793222</v>
      </c>
      <c r="H914">
        <v>3.8708066261549989</v>
      </c>
      <c r="I914">
        <v>0</v>
      </c>
      <c r="J914">
        <v>0</v>
      </c>
      <c r="K914">
        <v>0</v>
      </c>
      <c r="L914">
        <v>1</v>
      </c>
      <c r="M914">
        <v>1</v>
      </c>
      <c r="N914">
        <v>43</v>
      </c>
      <c r="O914">
        <v>5000</v>
      </c>
      <c r="P914">
        <v>1</v>
      </c>
      <c r="Q914">
        <v>1</v>
      </c>
      <c r="R914">
        <v>3</v>
      </c>
      <c r="S914">
        <v>2</v>
      </c>
      <c r="T914" s="123">
        <f t="shared" si="72"/>
        <v>0</v>
      </c>
      <c r="U914">
        <f t="shared" si="73"/>
        <v>0</v>
      </c>
      <c r="V914">
        <f t="shared" si="74"/>
        <v>0</v>
      </c>
      <c r="W914">
        <f t="shared" si="75"/>
        <v>0</v>
      </c>
      <c r="X914">
        <f t="shared" si="76"/>
        <v>0</v>
      </c>
    </row>
    <row r="915" spans="1:24">
      <c r="A915" t="s">
        <v>219</v>
      </c>
      <c r="B915">
        <v>3</v>
      </c>
      <c r="C915">
        <v>1</v>
      </c>
      <c r="D915">
        <v>18.241006400353118</v>
      </c>
      <c r="E915">
        <v>50</v>
      </c>
      <c r="F915">
        <v>90.41050540719489</v>
      </c>
      <c r="G915">
        <v>45.067314058706692</v>
      </c>
      <c r="H915">
        <v>15.30567203707791</v>
      </c>
      <c r="I915">
        <v>0</v>
      </c>
      <c r="J915">
        <v>0</v>
      </c>
      <c r="K915">
        <v>0</v>
      </c>
      <c r="L915">
        <v>1</v>
      </c>
      <c r="M915">
        <v>1</v>
      </c>
      <c r="N915">
        <v>43</v>
      </c>
      <c r="O915">
        <v>5000</v>
      </c>
      <c r="P915">
        <v>1</v>
      </c>
      <c r="Q915">
        <v>1</v>
      </c>
      <c r="R915">
        <v>3</v>
      </c>
      <c r="S915">
        <v>2</v>
      </c>
      <c r="T915" s="123">
        <f t="shared" si="72"/>
        <v>0</v>
      </c>
      <c r="U915">
        <f t="shared" si="73"/>
        <v>0</v>
      </c>
      <c r="V915">
        <f t="shared" si="74"/>
        <v>0</v>
      </c>
      <c r="W915">
        <f t="shared" si="75"/>
        <v>0</v>
      </c>
      <c r="X915">
        <f t="shared" si="76"/>
        <v>0</v>
      </c>
    </row>
    <row r="916" spans="1:24">
      <c r="A916" t="s">
        <v>219</v>
      </c>
      <c r="B916">
        <v>4</v>
      </c>
      <c r="C916">
        <v>1</v>
      </c>
      <c r="D916">
        <v>4.9547561244758338</v>
      </c>
      <c r="E916">
        <v>11.344074155815489</v>
      </c>
      <c r="F916">
        <v>39.196645332156251</v>
      </c>
      <c r="G916">
        <v>4.656808651511807</v>
      </c>
      <c r="H916">
        <v>4.535422644007947</v>
      </c>
      <c r="I916">
        <v>0</v>
      </c>
      <c r="J916">
        <v>0</v>
      </c>
      <c r="K916">
        <v>0</v>
      </c>
      <c r="L916">
        <v>1</v>
      </c>
      <c r="M916">
        <v>1</v>
      </c>
      <c r="N916">
        <v>43</v>
      </c>
      <c r="O916">
        <v>5000</v>
      </c>
      <c r="P916">
        <v>1</v>
      </c>
      <c r="Q916">
        <v>1</v>
      </c>
      <c r="R916">
        <v>3</v>
      </c>
      <c r="S916">
        <v>2</v>
      </c>
      <c r="T916" s="123">
        <f t="shared" si="72"/>
        <v>0</v>
      </c>
      <c r="U916">
        <f t="shared" si="73"/>
        <v>0</v>
      </c>
      <c r="V916">
        <f t="shared" si="74"/>
        <v>0</v>
      </c>
      <c r="W916">
        <f t="shared" si="75"/>
        <v>0</v>
      </c>
      <c r="X916">
        <f t="shared" si="76"/>
        <v>0</v>
      </c>
    </row>
    <row r="917" spans="1:24">
      <c r="A917" t="s">
        <v>219</v>
      </c>
      <c r="B917">
        <v>5</v>
      </c>
      <c r="C917">
        <v>1</v>
      </c>
      <c r="D917">
        <v>5.9368792760979892</v>
      </c>
      <c r="E917">
        <v>25.7890090487751</v>
      </c>
      <c r="F917">
        <v>93.423085411608923</v>
      </c>
      <c r="G917">
        <v>7.3162657250055174</v>
      </c>
      <c r="H917">
        <v>5.5727212535864048</v>
      </c>
      <c r="I917">
        <v>0</v>
      </c>
      <c r="J917">
        <v>0</v>
      </c>
      <c r="K917">
        <v>0</v>
      </c>
      <c r="L917">
        <v>1</v>
      </c>
      <c r="M917">
        <v>1</v>
      </c>
      <c r="N917">
        <v>43</v>
      </c>
      <c r="O917">
        <v>5000</v>
      </c>
      <c r="P917">
        <v>1</v>
      </c>
      <c r="Q917">
        <v>1</v>
      </c>
      <c r="R917">
        <v>3</v>
      </c>
      <c r="S917">
        <v>2</v>
      </c>
      <c r="T917" s="123">
        <f t="shared" si="72"/>
        <v>0</v>
      </c>
      <c r="U917">
        <f t="shared" si="73"/>
        <v>0</v>
      </c>
      <c r="V917">
        <f t="shared" si="74"/>
        <v>0</v>
      </c>
      <c r="W917">
        <f t="shared" si="75"/>
        <v>0</v>
      </c>
      <c r="X917">
        <f t="shared" si="76"/>
        <v>0</v>
      </c>
    </row>
    <row r="918" spans="1:24">
      <c r="A918" t="s">
        <v>219</v>
      </c>
      <c r="B918">
        <v>6</v>
      </c>
      <c r="C918">
        <v>1</v>
      </c>
      <c r="D918">
        <v>5.0209666740233967</v>
      </c>
      <c r="E918">
        <v>15.239461487530351</v>
      </c>
      <c r="F918">
        <v>16.000882807327301</v>
      </c>
      <c r="G918">
        <v>35.875082763186931</v>
      </c>
      <c r="H918">
        <v>8.3204590598101973</v>
      </c>
      <c r="I918">
        <v>0</v>
      </c>
      <c r="J918">
        <v>0</v>
      </c>
      <c r="K918">
        <v>0</v>
      </c>
      <c r="L918">
        <v>1</v>
      </c>
      <c r="M918">
        <v>1</v>
      </c>
      <c r="N918">
        <v>43</v>
      </c>
      <c r="O918">
        <v>5000</v>
      </c>
      <c r="P918">
        <v>1</v>
      </c>
      <c r="Q918">
        <v>1</v>
      </c>
      <c r="R918">
        <v>3</v>
      </c>
      <c r="S918">
        <v>2</v>
      </c>
      <c r="T918" s="123">
        <f t="shared" si="72"/>
        <v>0</v>
      </c>
      <c r="U918">
        <f t="shared" si="73"/>
        <v>0</v>
      </c>
      <c r="V918">
        <f t="shared" si="74"/>
        <v>0</v>
      </c>
      <c r="W918">
        <f t="shared" si="75"/>
        <v>0</v>
      </c>
      <c r="X918">
        <f t="shared" si="76"/>
        <v>0</v>
      </c>
    </row>
    <row r="919" spans="1:24" hidden="1">
      <c r="A919" t="s">
        <v>219</v>
      </c>
      <c r="B919">
        <v>7</v>
      </c>
      <c r="C919">
        <v>1</v>
      </c>
      <c r="D919">
        <v>0.70624586184065419</v>
      </c>
      <c r="E919">
        <v>3.983668064444934</v>
      </c>
      <c r="F919">
        <v>0</v>
      </c>
      <c r="G919">
        <v>11.344074155815489</v>
      </c>
      <c r="H919">
        <v>0.70624586184065419</v>
      </c>
      <c r="I919">
        <v>0</v>
      </c>
      <c r="J919">
        <v>1</v>
      </c>
      <c r="K919">
        <v>0</v>
      </c>
      <c r="L919">
        <v>1</v>
      </c>
      <c r="M919">
        <v>1</v>
      </c>
      <c r="N919">
        <v>43</v>
      </c>
      <c r="O919">
        <v>5000</v>
      </c>
      <c r="P919">
        <v>1</v>
      </c>
      <c r="Q919">
        <v>1</v>
      </c>
      <c r="R919">
        <v>3</v>
      </c>
      <c r="S919">
        <v>2</v>
      </c>
      <c r="T919" s="123">
        <f t="shared" si="72"/>
        <v>1</v>
      </c>
      <c r="U919">
        <f t="shared" si="73"/>
        <v>0</v>
      </c>
      <c r="V919">
        <f t="shared" si="74"/>
        <v>0</v>
      </c>
      <c r="W919">
        <f t="shared" si="75"/>
        <v>0</v>
      </c>
      <c r="X919">
        <f t="shared" si="76"/>
        <v>0</v>
      </c>
    </row>
    <row r="920" spans="1:24">
      <c r="A920" t="s">
        <v>220</v>
      </c>
      <c r="B920">
        <v>1</v>
      </c>
      <c r="C920">
        <v>1</v>
      </c>
      <c r="D920">
        <v>94.858342077649525</v>
      </c>
      <c r="E920">
        <v>98.088742317493626</v>
      </c>
      <c r="F920">
        <v>94.266226952480878</v>
      </c>
      <c r="G920">
        <v>4.4296207465147672</v>
      </c>
      <c r="H920">
        <v>2.098635886673661</v>
      </c>
      <c r="I920">
        <v>1</v>
      </c>
      <c r="J920">
        <v>0</v>
      </c>
      <c r="K920">
        <v>1</v>
      </c>
      <c r="L920">
        <v>1</v>
      </c>
      <c r="M920">
        <v>1</v>
      </c>
      <c r="N920">
        <v>32</v>
      </c>
      <c r="O920">
        <v>85000</v>
      </c>
      <c r="P920">
        <v>5</v>
      </c>
      <c r="Q920">
        <v>4</v>
      </c>
      <c r="R920">
        <v>4</v>
      </c>
      <c r="S920">
        <v>3</v>
      </c>
      <c r="T920" s="123">
        <f t="shared" si="72"/>
        <v>0</v>
      </c>
      <c r="U920">
        <f t="shared" si="73"/>
        <v>1</v>
      </c>
      <c r="V920">
        <f t="shared" si="74"/>
        <v>1</v>
      </c>
      <c r="W920">
        <f t="shared" si="75"/>
        <v>1</v>
      </c>
      <c r="X920">
        <f t="shared" si="76"/>
        <v>0</v>
      </c>
    </row>
    <row r="921" spans="1:24">
      <c r="A921" t="s">
        <v>220</v>
      </c>
      <c r="B921">
        <v>2</v>
      </c>
      <c r="C921">
        <v>1</v>
      </c>
      <c r="D921">
        <v>96.282416429320932</v>
      </c>
      <c r="E921">
        <v>97.908859241493033</v>
      </c>
      <c r="F921">
        <v>95.855194123819516</v>
      </c>
      <c r="G921">
        <v>30.834957277769451</v>
      </c>
      <c r="H921">
        <v>2.4434117823414758</v>
      </c>
      <c r="I921">
        <v>0</v>
      </c>
      <c r="J921">
        <v>0</v>
      </c>
      <c r="K921">
        <v>1</v>
      </c>
      <c r="L921">
        <v>1</v>
      </c>
      <c r="M921">
        <v>1</v>
      </c>
      <c r="N921">
        <v>32</v>
      </c>
      <c r="O921">
        <v>85000</v>
      </c>
      <c r="P921">
        <v>5</v>
      </c>
      <c r="Q921">
        <v>4</v>
      </c>
      <c r="R921">
        <v>4</v>
      </c>
      <c r="S921">
        <v>3</v>
      </c>
      <c r="T921" s="123">
        <f t="shared" si="72"/>
        <v>0</v>
      </c>
      <c r="U921">
        <f t="shared" si="73"/>
        <v>1</v>
      </c>
      <c r="V921">
        <f t="shared" si="74"/>
        <v>1</v>
      </c>
      <c r="W921">
        <f t="shared" si="75"/>
        <v>1</v>
      </c>
      <c r="X921">
        <f t="shared" si="76"/>
        <v>0</v>
      </c>
    </row>
    <row r="922" spans="1:24">
      <c r="A922" t="s">
        <v>220</v>
      </c>
      <c r="B922">
        <v>3</v>
      </c>
      <c r="C922">
        <v>1</v>
      </c>
      <c r="D922">
        <v>99.138060260830457</v>
      </c>
      <c r="E922">
        <v>99.055613850996863</v>
      </c>
      <c r="F922">
        <v>99.460350771998193</v>
      </c>
      <c r="G922">
        <v>0.97436666166991204</v>
      </c>
      <c r="H922">
        <v>4.2572327986808549</v>
      </c>
      <c r="I922">
        <v>0</v>
      </c>
      <c r="J922">
        <v>0</v>
      </c>
      <c r="K922">
        <v>1</v>
      </c>
      <c r="L922">
        <v>1</v>
      </c>
      <c r="M922">
        <v>1</v>
      </c>
      <c r="N922">
        <v>32</v>
      </c>
      <c r="O922">
        <v>85000</v>
      </c>
      <c r="P922">
        <v>5</v>
      </c>
      <c r="Q922">
        <v>4</v>
      </c>
      <c r="R922">
        <v>4</v>
      </c>
      <c r="S922">
        <v>3</v>
      </c>
      <c r="T922" s="123">
        <f t="shared" si="72"/>
        <v>0</v>
      </c>
      <c r="U922">
        <f t="shared" si="73"/>
        <v>1</v>
      </c>
      <c r="V922">
        <f t="shared" si="74"/>
        <v>1</v>
      </c>
      <c r="W922">
        <f t="shared" si="75"/>
        <v>1</v>
      </c>
      <c r="X922">
        <f t="shared" si="76"/>
        <v>0</v>
      </c>
    </row>
    <row r="923" spans="1:24">
      <c r="A923" t="s">
        <v>220</v>
      </c>
      <c r="B923">
        <v>4</v>
      </c>
      <c r="C923">
        <v>1</v>
      </c>
      <c r="D923">
        <v>98.328586418827754</v>
      </c>
      <c r="E923">
        <v>99.445360515664817</v>
      </c>
      <c r="F923">
        <v>100</v>
      </c>
      <c r="G923">
        <v>0.23984410133413009</v>
      </c>
      <c r="H923">
        <v>6.3183930445210654</v>
      </c>
      <c r="I923">
        <v>0</v>
      </c>
      <c r="J923">
        <v>0</v>
      </c>
      <c r="K923">
        <v>1</v>
      </c>
      <c r="L923">
        <v>1</v>
      </c>
      <c r="M923">
        <v>1</v>
      </c>
      <c r="N923">
        <v>32</v>
      </c>
      <c r="O923">
        <v>85000</v>
      </c>
      <c r="P923">
        <v>5</v>
      </c>
      <c r="Q923">
        <v>4</v>
      </c>
      <c r="R923">
        <v>4</v>
      </c>
      <c r="S923">
        <v>3</v>
      </c>
      <c r="T923" s="123">
        <f t="shared" si="72"/>
        <v>0</v>
      </c>
      <c r="U923">
        <f t="shared" si="73"/>
        <v>1</v>
      </c>
      <c r="V923">
        <f t="shared" si="74"/>
        <v>1</v>
      </c>
      <c r="W923">
        <f t="shared" si="75"/>
        <v>1</v>
      </c>
      <c r="X923">
        <f t="shared" si="76"/>
        <v>0</v>
      </c>
    </row>
    <row r="924" spans="1:24">
      <c r="A924" t="s">
        <v>220</v>
      </c>
      <c r="B924">
        <v>5</v>
      </c>
      <c r="C924">
        <v>1</v>
      </c>
      <c r="D924">
        <v>99.347923849497818</v>
      </c>
      <c r="E924">
        <v>99.302953080497673</v>
      </c>
      <c r="F924">
        <v>98.328586418827754</v>
      </c>
      <c r="G924">
        <v>1.304152301004347</v>
      </c>
      <c r="H924">
        <v>3.3353320341777848</v>
      </c>
      <c r="I924">
        <v>0</v>
      </c>
      <c r="J924">
        <v>0</v>
      </c>
      <c r="K924">
        <v>1</v>
      </c>
      <c r="L924">
        <v>1</v>
      </c>
      <c r="M924">
        <v>1</v>
      </c>
      <c r="N924">
        <v>32</v>
      </c>
      <c r="O924">
        <v>85000</v>
      </c>
      <c r="P924">
        <v>5</v>
      </c>
      <c r="Q924">
        <v>4</v>
      </c>
      <c r="R924">
        <v>4</v>
      </c>
      <c r="S924">
        <v>3</v>
      </c>
      <c r="T924" s="123">
        <f t="shared" si="72"/>
        <v>0</v>
      </c>
      <c r="U924">
        <f t="shared" si="73"/>
        <v>1</v>
      </c>
      <c r="V924">
        <f t="shared" si="74"/>
        <v>1</v>
      </c>
      <c r="W924">
        <f t="shared" si="75"/>
        <v>1</v>
      </c>
      <c r="X924">
        <f t="shared" si="76"/>
        <v>0</v>
      </c>
    </row>
    <row r="925" spans="1:24">
      <c r="A925" t="s">
        <v>220</v>
      </c>
      <c r="B925">
        <v>6</v>
      </c>
      <c r="C925">
        <v>1</v>
      </c>
      <c r="D925">
        <v>99.827612052166089</v>
      </c>
      <c r="E925">
        <v>97.556588217658529</v>
      </c>
      <c r="F925">
        <v>94.745915155149149</v>
      </c>
      <c r="G925">
        <v>2.6907510118423019</v>
      </c>
      <c r="H925">
        <v>4.5045720281816806</v>
      </c>
      <c r="I925">
        <v>0</v>
      </c>
      <c r="J925">
        <v>0</v>
      </c>
      <c r="K925">
        <v>1</v>
      </c>
      <c r="L925">
        <v>1</v>
      </c>
      <c r="M925">
        <v>1</v>
      </c>
      <c r="N925">
        <v>32</v>
      </c>
      <c r="O925">
        <v>85000</v>
      </c>
      <c r="P925">
        <v>5</v>
      </c>
      <c r="Q925">
        <v>4</v>
      </c>
      <c r="R925">
        <v>4</v>
      </c>
      <c r="S925">
        <v>3</v>
      </c>
      <c r="T925" s="123">
        <f t="shared" si="72"/>
        <v>0</v>
      </c>
      <c r="U925">
        <f t="shared" si="73"/>
        <v>1</v>
      </c>
      <c r="V925">
        <f t="shared" si="74"/>
        <v>1</v>
      </c>
      <c r="W925">
        <f t="shared" si="75"/>
        <v>1</v>
      </c>
      <c r="X925">
        <f t="shared" si="76"/>
        <v>0</v>
      </c>
    </row>
    <row r="926" spans="1:24">
      <c r="A926" t="s">
        <v>220</v>
      </c>
      <c r="B926">
        <v>7</v>
      </c>
      <c r="C926">
        <v>1</v>
      </c>
      <c r="D926">
        <v>97.491039426523301</v>
      </c>
      <c r="E926">
        <v>96.977299880525678</v>
      </c>
      <c r="F926">
        <v>97.491039426523301</v>
      </c>
      <c r="G926">
        <v>2.6523297491039428</v>
      </c>
      <c r="H926">
        <v>50</v>
      </c>
      <c r="I926">
        <v>0</v>
      </c>
      <c r="J926">
        <v>1</v>
      </c>
      <c r="K926">
        <v>1</v>
      </c>
      <c r="L926">
        <v>1</v>
      </c>
      <c r="M926">
        <v>1</v>
      </c>
      <c r="N926">
        <v>32</v>
      </c>
      <c r="O926">
        <v>85000</v>
      </c>
      <c r="P926">
        <v>5</v>
      </c>
      <c r="Q926">
        <v>4</v>
      </c>
      <c r="R926">
        <v>4</v>
      </c>
      <c r="S926">
        <v>3</v>
      </c>
      <c r="T926" s="123">
        <f t="shared" si="72"/>
        <v>0</v>
      </c>
      <c r="U926">
        <f t="shared" si="73"/>
        <v>1</v>
      </c>
      <c r="V926">
        <f t="shared" si="74"/>
        <v>1</v>
      </c>
      <c r="W926">
        <f t="shared" si="75"/>
        <v>1</v>
      </c>
      <c r="X926">
        <f t="shared" si="76"/>
        <v>0</v>
      </c>
    </row>
    <row r="927" spans="1:24">
      <c r="A927" t="s">
        <v>221</v>
      </c>
      <c r="B927">
        <v>1</v>
      </c>
      <c r="C927">
        <v>1</v>
      </c>
      <c r="D927">
        <v>1.8312867058195399</v>
      </c>
      <c r="E927">
        <v>3.7106246663107298</v>
      </c>
      <c r="F927">
        <v>1.5056059797116941</v>
      </c>
      <c r="G927">
        <v>87.042178323545116</v>
      </c>
      <c r="H927">
        <v>97.821676454885207</v>
      </c>
      <c r="I927">
        <v>1</v>
      </c>
      <c r="J927">
        <v>0</v>
      </c>
      <c r="K927">
        <v>0</v>
      </c>
      <c r="L927">
        <v>1</v>
      </c>
      <c r="M927">
        <v>1</v>
      </c>
      <c r="N927">
        <v>62</v>
      </c>
      <c r="O927">
        <v>-99</v>
      </c>
      <c r="P927">
        <v>1</v>
      </c>
      <c r="Q927">
        <v>1</v>
      </c>
      <c r="R927">
        <v>3</v>
      </c>
      <c r="S927">
        <v>1</v>
      </c>
      <c r="T927" s="123">
        <f t="shared" si="72"/>
        <v>0</v>
      </c>
      <c r="U927">
        <f t="shared" si="73"/>
        <v>0</v>
      </c>
      <c r="V927">
        <f t="shared" si="74"/>
        <v>0</v>
      </c>
      <c r="W927">
        <f t="shared" si="75"/>
        <v>0</v>
      </c>
      <c r="X927">
        <f t="shared" si="76"/>
        <v>0</v>
      </c>
    </row>
    <row r="928" spans="1:24">
      <c r="A928" t="s">
        <v>221</v>
      </c>
      <c r="B928">
        <v>2</v>
      </c>
      <c r="C928">
        <v>1</v>
      </c>
      <c r="D928">
        <v>7.3660714285714306</v>
      </c>
      <c r="E928">
        <v>9.3618697478991599</v>
      </c>
      <c r="F928">
        <v>32.773109243697483</v>
      </c>
      <c r="G928">
        <v>76.404936974789919</v>
      </c>
      <c r="H928">
        <v>50</v>
      </c>
      <c r="I928">
        <v>0</v>
      </c>
      <c r="J928">
        <v>0</v>
      </c>
      <c r="K928">
        <v>0</v>
      </c>
      <c r="L928">
        <v>1</v>
      </c>
      <c r="M928">
        <v>1</v>
      </c>
      <c r="N928">
        <v>62</v>
      </c>
      <c r="O928">
        <v>-99</v>
      </c>
      <c r="P928">
        <v>1</v>
      </c>
      <c r="Q928">
        <v>1</v>
      </c>
      <c r="R928">
        <v>3</v>
      </c>
      <c r="S928">
        <v>1</v>
      </c>
      <c r="T928" s="123">
        <f t="shared" si="72"/>
        <v>0</v>
      </c>
      <c r="U928">
        <f t="shared" si="73"/>
        <v>0</v>
      </c>
      <c r="V928">
        <f t="shared" si="74"/>
        <v>0</v>
      </c>
      <c r="W928">
        <f t="shared" si="75"/>
        <v>0</v>
      </c>
      <c r="X928">
        <f t="shared" si="76"/>
        <v>0</v>
      </c>
    </row>
    <row r="929" spans="1:24" hidden="1">
      <c r="A929" t="s">
        <v>221</v>
      </c>
      <c r="B929">
        <v>3</v>
      </c>
      <c r="C929">
        <v>1</v>
      </c>
      <c r="D929">
        <v>23.017331932773111</v>
      </c>
      <c r="E929">
        <v>0.11817226890756261</v>
      </c>
      <c r="F929">
        <v>9.1911764705882026E-2</v>
      </c>
      <c r="G929">
        <v>3.1906512605042008</v>
      </c>
      <c r="H929">
        <v>92.253151260504197</v>
      </c>
      <c r="I929">
        <v>0</v>
      </c>
      <c r="J929">
        <v>0</v>
      </c>
      <c r="K929">
        <v>0</v>
      </c>
      <c r="L929">
        <v>1</v>
      </c>
      <c r="M929">
        <v>1</v>
      </c>
      <c r="N929">
        <v>62</v>
      </c>
      <c r="O929">
        <v>-99</v>
      </c>
      <c r="P929">
        <v>1</v>
      </c>
      <c r="Q929">
        <v>1</v>
      </c>
      <c r="R929">
        <v>3</v>
      </c>
      <c r="S929">
        <v>1</v>
      </c>
      <c r="T929" s="123">
        <f t="shared" si="72"/>
        <v>1</v>
      </c>
      <c r="U929">
        <f t="shared" si="73"/>
        <v>0</v>
      </c>
      <c r="V929">
        <f t="shared" si="74"/>
        <v>0</v>
      </c>
      <c r="W929">
        <f t="shared" si="75"/>
        <v>0</v>
      </c>
      <c r="X929">
        <f t="shared" si="76"/>
        <v>0</v>
      </c>
    </row>
    <row r="930" spans="1:24">
      <c r="A930" t="s">
        <v>221</v>
      </c>
      <c r="B930">
        <v>4</v>
      </c>
      <c r="C930">
        <v>1</v>
      </c>
      <c r="D930">
        <v>8.0882352941176467</v>
      </c>
      <c r="E930">
        <v>1.6675420168067221</v>
      </c>
      <c r="F930">
        <v>5.2258403361344516</v>
      </c>
      <c r="G930">
        <v>14.90283613445378</v>
      </c>
      <c r="H930">
        <v>73.84453781512606</v>
      </c>
      <c r="I930">
        <v>0</v>
      </c>
      <c r="J930">
        <v>0</v>
      </c>
      <c r="K930">
        <v>0</v>
      </c>
      <c r="L930">
        <v>1</v>
      </c>
      <c r="M930">
        <v>1</v>
      </c>
      <c r="N930">
        <v>62</v>
      </c>
      <c r="O930">
        <v>-99</v>
      </c>
      <c r="P930">
        <v>1</v>
      </c>
      <c r="Q930">
        <v>1</v>
      </c>
      <c r="R930">
        <v>3</v>
      </c>
      <c r="S930">
        <v>1</v>
      </c>
      <c r="T930" s="123">
        <f t="shared" si="72"/>
        <v>0</v>
      </c>
      <c r="U930">
        <f t="shared" si="73"/>
        <v>0</v>
      </c>
      <c r="V930">
        <f t="shared" si="74"/>
        <v>0</v>
      </c>
      <c r="W930">
        <f t="shared" si="75"/>
        <v>0</v>
      </c>
      <c r="X930">
        <f t="shared" si="76"/>
        <v>0</v>
      </c>
    </row>
    <row r="931" spans="1:24">
      <c r="A931" t="s">
        <v>221</v>
      </c>
      <c r="B931">
        <v>5</v>
      </c>
      <c r="C931">
        <v>1</v>
      </c>
      <c r="D931">
        <v>4.6612394957983199</v>
      </c>
      <c r="E931">
        <v>5.9611344537815132</v>
      </c>
      <c r="F931">
        <v>0</v>
      </c>
      <c r="G931">
        <v>94.288340336134439</v>
      </c>
      <c r="H931">
        <v>96.165966386554629</v>
      </c>
      <c r="I931">
        <v>0</v>
      </c>
      <c r="J931">
        <v>0</v>
      </c>
      <c r="K931">
        <v>0</v>
      </c>
      <c r="L931">
        <v>1</v>
      </c>
      <c r="M931">
        <v>1</v>
      </c>
      <c r="N931">
        <v>62</v>
      </c>
      <c r="O931">
        <v>-99</v>
      </c>
      <c r="P931">
        <v>1</v>
      </c>
      <c r="Q931">
        <v>1</v>
      </c>
      <c r="R931">
        <v>3</v>
      </c>
      <c r="S931">
        <v>1</v>
      </c>
      <c r="T931" s="123">
        <f t="shared" si="72"/>
        <v>0</v>
      </c>
      <c r="U931">
        <f t="shared" si="73"/>
        <v>0</v>
      </c>
      <c r="V931">
        <f t="shared" si="74"/>
        <v>0</v>
      </c>
      <c r="W931">
        <f t="shared" si="75"/>
        <v>0</v>
      </c>
      <c r="X931">
        <f t="shared" si="76"/>
        <v>0</v>
      </c>
    </row>
    <row r="932" spans="1:24">
      <c r="A932" t="s">
        <v>221</v>
      </c>
      <c r="B932">
        <v>6</v>
      </c>
      <c r="C932">
        <v>1</v>
      </c>
      <c r="D932">
        <v>12.51313025210084</v>
      </c>
      <c r="E932">
        <v>5.1207983193277293</v>
      </c>
      <c r="F932">
        <v>2.8623949579831942</v>
      </c>
      <c r="G932">
        <v>95.246848739495803</v>
      </c>
      <c r="H932">
        <v>96.402310924369743</v>
      </c>
      <c r="I932">
        <v>0</v>
      </c>
      <c r="J932">
        <v>0</v>
      </c>
      <c r="K932">
        <v>0</v>
      </c>
      <c r="L932">
        <v>1</v>
      </c>
      <c r="M932">
        <v>1</v>
      </c>
      <c r="N932">
        <v>62</v>
      </c>
      <c r="O932">
        <v>-99</v>
      </c>
      <c r="P932">
        <v>1</v>
      </c>
      <c r="Q932">
        <v>1</v>
      </c>
      <c r="R932">
        <v>3</v>
      </c>
      <c r="S932">
        <v>1</v>
      </c>
      <c r="T932" s="123">
        <f t="shared" si="72"/>
        <v>0</v>
      </c>
      <c r="U932">
        <f t="shared" si="73"/>
        <v>0</v>
      </c>
      <c r="V932">
        <f t="shared" si="74"/>
        <v>0</v>
      </c>
      <c r="W932">
        <f t="shared" si="75"/>
        <v>0</v>
      </c>
      <c r="X932">
        <f t="shared" si="76"/>
        <v>0</v>
      </c>
    </row>
    <row r="933" spans="1:24">
      <c r="A933" t="s">
        <v>221</v>
      </c>
      <c r="B933">
        <v>7</v>
      </c>
      <c r="C933">
        <v>1</v>
      </c>
      <c r="D933">
        <v>6.840861344537819</v>
      </c>
      <c r="E933">
        <v>5.580357142857145</v>
      </c>
      <c r="F933">
        <v>11.042542016806721</v>
      </c>
      <c r="G933">
        <v>94.419642857142861</v>
      </c>
      <c r="H933">
        <v>98.923319327731079</v>
      </c>
      <c r="I933">
        <v>0</v>
      </c>
      <c r="J933">
        <v>1</v>
      </c>
      <c r="K933">
        <v>0</v>
      </c>
      <c r="L933">
        <v>1</v>
      </c>
      <c r="M933">
        <v>1</v>
      </c>
      <c r="N933">
        <v>62</v>
      </c>
      <c r="O933">
        <v>-99</v>
      </c>
      <c r="P933">
        <v>1</v>
      </c>
      <c r="Q933">
        <v>1</v>
      </c>
      <c r="R933">
        <v>3</v>
      </c>
      <c r="S933">
        <v>1</v>
      </c>
      <c r="T933" s="123">
        <f t="shared" si="72"/>
        <v>0</v>
      </c>
      <c r="U933">
        <f t="shared" si="73"/>
        <v>0</v>
      </c>
      <c r="V933">
        <f t="shared" si="74"/>
        <v>0</v>
      </c>
      <c r="W933">
        <f t="shared" si="75"/>
        <v>0</v>
      </c>
      <c r="X933">
        <f t="shared" si="76"/>
        <v>0</v>
      </c>
    </row>
    <row r="934" spans="1:24" hidden="1">
      <c r="A934" t="s">
        <v>290</v>
      </c>
      <c r="B934">
        <v>1</v>
      </c>
      <c r="C934">
        <v>1</v>
      </c>
      <c r="D934">
        <v>1.9434372733865111</v>
      </c>
      <c r="E934">
        <v>2.6686004350978951</v>
      </c>
      <c r="F934">
        <v>15.482233502538071</v>
      </c>
      <c r="G934">
        <v>3.2632342277012341</v>
      </c>
      <c r="H934">
        <v>1.696881798404642</v>
      </c>
      <c r="I934">
        <v>1</v>
      </c>
      <c r="J934">
        <v>0</v>
      </c>
      <c r="K934">
        <v>0</v>
      </c>
      <c r="L934">
        <v>1</v>
      </c>
      <c r="M934">
        <v>0</v>
      </c>
      <c r="N934">
        <v>69</v>
      </c>
      <c r="O934">
        <v>65000</v>
      </c>
      <c r="P934">
        <v>1</v>
      </c>
      <c r="Q934">
        <v>1</v>
      </c>
      <c r="R934">
        <v>3</v>
      </c>
      <c r="S934">
        <v>4</v>
      </c>
      <c r="T934" s="123">
        <f t="shared" si="72"/>
        <v>1</v>
      </c>
      <c r="U934">
        <f t="shared" si="73"/>
        <v>0</v>
      </c>
      <c r="V934">
        <f t="shared" si="74"/>
        <v>0</v>
      </c>
      <c r="W934">
        <f t="shared" si="75"/>
        <v>0</v>
      </c>
      <c r="X934">
        <f t="shared" si="76"/>
        <v>1</v>
      </c>
    </row>
    <row r="935" spans="1:24" hidden="1">
      <c r="A935" t="s">
        <v>290</v>
      </c>
      <c r="B935">
        <v>2</v>
      </c>
      <c r="C935">
        <v>1</v>
      </c>
      <c r="D935">
        <v>0.2393038433647576</v>
      </c>
      <c r="E935">
        <v>6.4031907179115333</v>
      </c>
      <c r="F935">
        <v>0.86294416243654637</v>
      </c>
      <c r="G935">
        <v>0</v>
      </c>
      <c r="H935">
        <v>1.696881798404642</v>
      </c>
      <c r="I935">
        <v>0</v>
      </c>
      <c r="J935">
        <v>0</v>
      </c>
      <c r="K935">
        <v>0</v>
      </c>
      <c r="L935">
        <v>1</v>
      </c>
      <c r="M935">
        <v>0</v>
      </c>
      <c r="N935">
        <v>69</v>
      </c>
      <c r="O935">
        <v>65000</v>
      </c>
      <c r="P935">
        <v>1</v>
      </c>
      <c r="Q935">
        <v>1</v>
      </c>
      <c r="R935">
        <v>3</v>
      </c>
      <c r="S935">
        <v>4</v>
      </c>
      <c r="T935" s="123">
        <f t="shared" si="72"/>
        <v>1</v>
      </c>
      <c r="U935">
        <f t="shared" si="73"/>
        <v>0</v>
      </c>
      <c r="V935">
        <f t="shared" si="74"/>
        <v>0</v>
      </c>
      <c r="W935">
        <f t="shared" si="75"/>
        <v>0</v>
      </c>
      <c r="X935">
        <f t="shared" si="76"/>
        <v>1</v>
      </c>
    </row>
    <row r="936" spans="1:24" hidden="1">
      <c r="A936" t="s">
        <v>290</v>
      </c>
      <c r="B936">
        <v>3</v>
      </c>
      <c r="C936">
        <v>1</v>
      </c>
      <c r="D936">
        <v>0.60913705583756084</v>
      </c>
      <c r="E936">
        <v>0.97171863669325842</v>
      </c>
      <c r="F936">
        <v>0.97171863669325842</v>
      </c>
      <c r="G936">
        <v>1.6316171138506139</v>
      </c>
      <c r="H936">
        <v>4.0754169688179864</v>
      </c>
      <c r="I936">
        <v>0</v>
      </c>
      <c r="J936">
        <v>0</v>
      </c>
      <c r="K936">
        <v>0</v>
      </c>
      <c r="L936">
        <v>1</v>
      </c>
      <c r="M936">
        <v>0</v>
      </c>
      <c r="N936">
        <v>69</v>
      </c>
      <c r="O936">
        <v>65000</v>
      </c>
      <c r="P936">
        <v>1</v>
      </c>
      <c r="Q936">
        <v>1</v>
      </c>
      <c r="R936">
        <v>3</v>
      </c>
      <c r="S936">
        <v>4</v>
      </c>
      <c r="T936" s="123">
        <f t="shared" si="72"/>
        <v>1</v>
      </c>
      <c r="U936">
        <f t="shared" si="73"/>
        <v>0</v>
      </c>
      <c r="V936">
        <f t="shared" si="74"/>
        <v>0</v>
      </c>
      <c r="W936">
        <f t="shared" si="75"/>
        <v>0</v>
      </c>
      <c r="X936">
        <f t="shared" si="76"/>
        <v>1</v>
      </c>
    </row>
    <row r="937" spans="1:24" hidden="1">
      <c r="A937" t="s">
        <v>290</v>
      </c>
      <c r="B937">
        <v>4</v>
      </c>
      <c r="C937">
        <v>1</v>
      </c>
      <c r="D937">
        <v>1.4503263234227679</v>
      </c>
      <c r="E937">
        <v>1.6678752719361869</v>
      </c>
      <c r="F937">
        <v>1.9361856417693999</v>
      </c>
      <c r="G937">
        <v>1.094996374184193</v>
      </c>
      <c r="H937">
        <v>9.2313270485859302</v>
      </c>
      <c r="I937">
        <v>0</v>
      </c>
      <c r="J937">
        <v>0</v>
      </c>
      <c r="K937">
        <v>0</v>
      </c>
      <c r="L937">
        <v>1</v>
      </c>
      <c r="M937">
        <v>0</v>
      </c>
      <c r="N937">
        <v>69</v>
      </c>
      <c r="O937">
        <v>65000</v>
      </c>
      <c r="P937">
        <v>1</v>
      </c>
      <c r="Q937">
        <v>1</v>
      </c>
      <c r="R937">
        <v>3</v>
      </c>
      <c r="S937">
        <v>4</v>
      </c>
      <c r="T937" s="123">
        <f t="shared" si="72"/>
        <v>1</v>
      </c>
      <c r="U937">
        <f t="shared" si="73"/>
        <v>0</v>
      </c>
      <c r="V937">
        <f t="shared" si="74"/>
        <v>0</v>
      </c>
      <c r="W937">
        <f t="shared" si="75"/>
        <v>0</v>
      </c>
      <c r="X937">
        <f t="shared" si="76"/>
        <v>1</v>
      </c>
    </row>
    <row r="938" spans="1:24" hidden="1">
      <c r="A938" t="s">
        <v>290</v>
      </c>
      <c r="B938">
        <v>5</v>
      </c>
      <c r="C938">
        <v>1</v>
      </c>
      <c r="D938">
        <v>1.4575779550398851</v>
      </c>
      <c r="E938">
        <v>2.6758520667150121</v>
      </c>
      <c r="F938">
        <v>4.9601160261058759</v>
      </c>
      <c r="G938">
        <v>0.94996374184191379</v>
      </c>
      <c r="H938">
        <v>0.50036258158085434</v>
      </c>
      <c r="I938">
        <v>0</v>
      </c>
      <c r="J938">
        <v>0</v>
      </c>
      <c r="K938">
        <v>0</v>
      </c>
      <c r="L938">
        <v>1</v>
      </c>
      <c r="M938">
        <v>0</v>
      </c>
      <c r="N938">
        <v>69</v>
      </c>
      <c r="O938">
        <v>65000</v>
      </c>
      <c r="P938">
        <v>1</v>
      </c>
      <c r="Q938">
        <v>1</v>
      </c>
      <c r="R938">
        <v>3</v>
      </c>
      <c r="S938">
        <v>4</v>
      </c>
      <c r="T938" s="123">
        <f t="shared" si="72"/>
        <v>1</v>
      </c>
      <c r="U938">
        <f t="shared" si="73"/>
        <v>0</v>
      </c>
      <c r="V938">
        <f t="shared" si="74"/>
        <v>0</v>
      </c>
      <c r="W938">
        <f t="shared" si="75"/>
        <v>0</v>
      </c>
      <c r="X938">
        <f t="shared" si="76"/>
        <v>1</v>
      </c>
    </row>
    <row r="939" spans="1:24" hidden="1">
      <c r="A939" t="s">
        <v>290</v>
      </c>
      <c r="B939">
        <v>6</v>
      </c>
      <c r="C939">
        <v>1</v>
      </c>
      <c r="D939">
        <v>13.70558375634517</v>
      </c>
      <c r="E939">
        <v>5.192168237853517</v>
      </c>
      <c r="F939">
        <v>4.0681653372008686</v>
      </c>
      <c r="G939">
        <v>7.585206671501088</v>
      </c>
      <c r="H939">
        <v>3.2922407541696899</v>
      </c>
      <c r="I939">
        <v>0</v>
      </c>
      <c r="J939">
        <v>0</v>
      </c>
      <c r="K939">
        <v>0</v>
      </c>
      <c r="L939">
        <v>1</v>
      </c>
      <c r="M939">
        <v>0</v>
      </c>
      <c r="N939">
        <v>69</v>
      </c>
      <c r="O939">
        <v>65000</v>
      </c>
      <c r="P939">
        <v>1</v>
      </c>
      <c r="Q939">
        <v>1</v>
      </c>
      <c r="R939">
        <v>3</v>
      </c>
      <c r="S939">
        <v>4</v>
      </c>
      <c r="T939" s="123">
        <f t="shared" si="72"/>
        <v>1</v>
      </c>
      <c r="U939">
        <f t="shared" si="73"/>
        <v>0</v>
      </c>
      <c r="V939">
        <f t="shared" si="74"/>
        <v>0</v>
      </c>
      <c r="W939">
        <f t="shared" si="75"/>
        <v>0</v>
      </c>
      <c r="X939">
        <f t="shared" si="76"/>
        <v>1</v>
      </c>
    </row>
    <row r="940" spans="1:24" hidden="1">
      <c r="A940" t="s">
        <v>290</v>
      </c>
      <c r="B940">
        <v>7</v>
      </c>
      <c r="C940">
        <v>1</v>
      </c>
      <c r="D940">
        <v>16.7</v>
      </c>
      <c r="E940">
        <v>8.655555555555555</v>
      </c>
      <c r="F940">
        <v>21.588888888888889</v>
      </c>
      <c r="G940">
        <v>24.333333333333339</v>
      </c>
      <c r="H940">
        <v>50</v>
      </c>
      <c r="I940">
        <v>0</v>
      </c>
      <c r="J940">
        <v>1</v>
      </c>
      <c r="K940">
        <v>0</v>
      </c>
      <c r="L940">
        <v>1</v>
      </c>
      <c r="M940">
        <v>0</v>
      </c>
      <c r="N940">
        <v>69</v>
      </c>
      <c r="O940">
        <v>65000</v>
      </c>
      <c r="P940">
        <v>1</v>
      </c>
      <c r="Q940">
        <v>1</v>
      </c>
      <c r="R940">
        <v>3</v>
      </c>
      <c r="S940">
        <v>4</v>
      </c>
      <c r="T940" s="123">
        <f t="shared" si="72"/>
        <v>1</v>
      </c>
      <c r="U940">
        <f t="shared" si="73"/>
        <v>0</v>
      </c>
      <c r="V940">
        <f t="shared" si="74"/>
        <v>0</v>
      </c>
      <c r="W940">
        <f t="shared" si="75"/>
        <v>0</v>
      </c>
      <c r="X940">
        <f t="shared" si="76"/>
        <v>1</v>
      </c>
    </row>
    <row r="941" spans="1:24">
      <c r="A941" t="s">
        <v>222</v>
      </c>
      <c r="B941">
        <v>1</v>
      </c>
      <c r="C941">
        <v>1</v>
      </c>
      <c r="D941">
        <v>14.66997723980964</v>
      </c>
      <c r="E941">
        <v>50</v>
      </c>
      <c r="F941">
        <v>13.614732050486239</v>
      </c>
      <c r="G941">
        <v>50</v>
      </c>
      <c r="H941">
        <v>86.395613490585561</v>
      </c>
      <c r="I941">
        <v>1</v>
      </c>
      <c r="J941">
        <v>0</v>
      </c>
      <c r="K941">
        <v>0</v>
      </c>
      <c r="L941">
        <v>1</v>
      </c>
      <c r="M941">
        <v>0</v>
      </c>
      <c r="N941">
        <v>39</v>
      </c>
      <c r="O941">
        <v>50000</v>
      </c>
      <c r="P941">
        <v>4</v>
      </c>
      <c r="Q941">
        <v>4</v>
      </c>
      <c r="R941">
        <v>4</v>
      </c>
      <c r="S941">
        <v>4</v>
      </c>
      <c r="T941" s="123">
        <f t="shared" si="72"/>
        <v>0</v>
      </c>
      <c r="U941">
        <f t="shared" si="73"/>
        <v>1</v>
      </c>
      <c r="V941">
        <f t="shared" si="74"/>
        <v>1</v>
      </c>
      <c r="W941">
        <f t="shared" si="75"/>
        <v>1</v>
      </c>
      <c r="X941">
        <f t="shared" si="76"/>
        <v>1</v>
      </c>
    </row>
    <row r="942" spans="1:24">
      <c r="A942" t="s">
        <v>222</v>
      </c>
      <c r="B942">
        <v>2</v>
      </c>
      <c r="C942">
        <v>1</v>
      </c>
      <c r="D942">
        <v>97.531914893617028</v>
      </c>
      <c r="E942">
        <v>100</v>
      </c>
      <c r="F942">
        <v>90.776595744680847</v>
      </c>
      <c r="G942">
        <v>17.542553191489361</v>
      </c>
      <c r="H942">
        <v>100</v>
      </c>
      <c r="I942">
        <v>0</v>
      </c>
      <c r="J942">
        <v>0</v>
      </c>
      <c r="K942">
        <v>1</v>
      </c>
      <c r="L942">
        <v>1</v>
      </c>
      <c r="M942">
        <v>0</v>
      </c>
      <c r="N942">
        <v>39</v>
      </c>
      <c r="O942">
        <v>50000</v>
      </c>
      <c r="P942">
        <v>4</v>
      </c>
      <c r="Q942">
        <v>4</v>
      </c>
      <c r="R942">
        <v>4</v>
      </c>
      <c r="S942">
        <v>4</v>
      </c>
      <c r="T942" s="123">
        <f t="shared" si="72"/>
        <v>0</v>
      </c>
      <c r="U942">
        <f t="shared" si="73"/>
        <v>1</v>
      </c>
      <c r="V942">
        <f t="shared" si="74"/>
        <v>1</v>
      </c>
      <c r="W942">
        <f t="shared" si="75"/>
        <v>1</v>
      </c>
      <c r="X942">
        <f t="shared" si="76"/>
        <v>1</v>
      </c>
    </row>
    <row r="943" spans="1:24" hidden="1">
      <c r="A943" t="s">
        <v>222</v>
      </c>
      <c r="B943">
        <v>3</v>
      </c>
      <c r="C943">
        <v>1</v>
      </c>
      <c r="D943">
        <v>5.1595744680851041</v>
      </c>
      <c r="E943">
        <v>15.606382978723399</v>
      </c>
      <c r="F943">
        <v>9.7234042553191458</v>
      </c>
      <c r="G943">
        <v>7.9787234042553168</v>
      </c>
      <c r="H943">
        <v>8.3510638297872308</v>
      </c>
      <c r="I943">
        <v>0</v>
      </c>
      <c r="J943">
        <v>0</v>
      </c>
      <c r="K943">
        <v>0</v>
      </c>
      <c r="L943">
        <v>1</v>
      </c>
      <c r="M943">
        <v>0</v>
      </c>
      <c r="N943">
        <v>39</v>
      </c>
      <c r="O943">
        <v>50000</v>
      </c>
      <c r="P943">
        <v>4</v>
      </c>
      <c r="Q943">
        <v>4</v>
      </c>
      <c r="R943">
        <v>4</v>
      </c>
      <c r="S943">
        <v>4</v>
      </c>
      <c r="T943" s="123">
        <f t="shared" si="72"/>
        <v>1</v>
      </c>
      <c r="U943">
        <f t="shared" si="73"/>
        <v>1</v>
      </c>
      <c r="V943">
        <f t="shared" si="74"/>
        <v>1</v>
      </c>
      <c r="W943">
        <f t="shared" si="75"/>
        <v>1</v>
      </c>
      <c r="X943">
        <f t="shared" si="76"/>
        <v>1</v>
      </c>
    </row>
    <row r="944" spans="1:24">
      <c r="A944" t="s">
        <v>222</v>
      </c>
      <c r="B944">
        <v>4</v>
      </c>
      <c r="C944">
        <v>1</v>
      </c>
      <c r="D944">
        <v>90.063829787234042</v>
      </c>
      <c r="E944">
        <v>89.542553191489361</v>
      </c>
      <c r="F944">
        <v>90.074468085106389</v>
      </c>
      <c r="G944">
        <v>9.9255319148936145</v>
      </c>
      <c r="H944">
        <v>9.2021276595744652</v>
      </c>
      <c r="I944">
        <v>0</v>
      </c>
      <c r="J944">
        <v>0</v>
      </c>
      <c r="K944">
        <v>1</v>
      </c>
      <c r="L944">
        <v>1</v>
      </c>
      <c r="M944">
        <v>0</v>
      </c>
      <c r="N944">
        <v>39</v>
      </c>
      <c r="O944">
        <v>50000</v>
      </c>
      <c r="P944">
        <v>4</v>
      </c>
      <c r="Q944">
        <v>4</v>
      </c>
      <c r="R944">
        <v>4</v>
      </c>
      <c r="S944">
        <v>4</v>
      </c>
      <c r="T944" s="123">
        <f t="shared" si="72"/>
        <v>0</v>
      </c>
      <c r="U944">
        <f t="shared" si="73"/>
        <v>1</v>
      </c>
      <c r="V944">
        <f t="shared" si="74"/>
        <v>1</v>
      </c>
      <c r="W944">
        <f t="shared" si="75"/>
        <v>1</v>
      </c>
      <c r="X944">
        <f t="shared" si="76"/>
        <v>1</v>
      </c>
    </row>
    <row r="945" spans="1:24">
      <c r="A945" t="s">
        <v>222</v>
      </c>
      <c r="B945">
        <v>5</v>
      </c>
      <c r="C945">
        <v>1</v>
      </c>
      <c r="D945">
        <v>4.6276595744680851</v>
      </c>
      <c r="E945">
        <v>11.702127659574471</v>
      </c>
      <c r="F945">
        <v>92.38297872340425</v>
      </c>
      <c r="G945">
        <v>9.0531914893617014</v>
      </c>
      <c r="H945">
        <v>8.3297872340425521</v>
      </c>
      <c r="I945">
        <v>0</v>
      </c>
      <c r="J945">
        <v>0</v>
      </c>
      <c r="K945">
        <v>0</v>
      </c>
      <c r="L945">
        <v>1</v>
      </c>
      <c r="M945">
        <v>0</v>
      </c>
      <c r="N945">
        <v>39</v>
      </c>
      <c r="O945">
        <v>50000</v>
      </c>
      <c r="P945">
        <v>4</v>
      </c>
      <c r="Q945">
        <v>4</v>
      </c>
      <c r="R945">
        <v>4</v>
      </c>
      <c r="S945">
        <v>4</v>
      </c>
      <c r="T945" s="123">
        <f t="shared" si="72"/>
        <v>0</v>
      </c>
      <c r="U945">
        <f t="shared" si="73"/>
        <v>1</v>
      </c>
      <c r="V945">
        <f t="shared" si="74"/>
        <v>1</v>
      </c>
      <c r="W945">
        <f t="shared" si="75"/>
        <v>1</v>
      </c>
      <c r="X945">
        <f t="shared" si="76"/>
        <v>1</v>
      </c>
    </row>
    <row r="946" spans="1:24" hidden="1">
      <c r="A946" t="s">
        <v>222</v>
      </c>
      <c r="B946">
        <v>6</v>
      </c>
      <c r="C946">
        <v>1</v>
      </c>
      <c r="D946">
        <v>4.9468085106383004</v>
      </c>
      <c r="E946">
        <v>87.393617021276597</v>
      </c>
      <c r="F946">
        <v>97.351063829787236</v>
      </c>
      <c r="G946">
        <v>92.021276595744681</v>
      </c>
      <c r="H946">
        <v>95.734042553191486</v>
      </c>
      <c r="I946">
        <v>0</v>
      </c>
      <c r="J946">
        <v>0</v>
      </c>
      <c r="K946">
        <v>0</v>
      </c>
      <c r="L946">
        <v>1</v>
      </c>
      <c r="M946">
        <v>0</v>
      </c>
      <c r="N946">
        <v>39</v>
      </c>
      <c r="O946">
        <v>50000</v>
      </c>
      <c r="P946">
        <v>4</v>
      </c>
      <c r="Q946">
        <v>4</v>
      </c>
      <c r="R946">
        <v>4</v>
      </c>
      <c r="S946">
        <v>4</v>
      </c>
      <c r="T946" s="123">
        <f t="shared" si="72"/>
        <v>1</v>
      </c>
      <c r="U946">
        <f t="shared" si="73"/>
        <v>1</v>
      </c>
      <c r="V946">
        <f t="shared" si="74"/>
        <v>1</v>
      </c>
      <c r="W946">
        <f t="shared" si="75"/>
        <v>1</v>
      </c>
      <c r="X946">
        <f t="shared" si="76"/>
        <v>1</v>
      </c>
    </row>
    <row r="947" spans="1:24" hidden="1">
      <c r="A947" t="s">
        <v>222</v>
      </c>
      <c r="B947">
        <v>7</v>
      </c>
      <c r="C947">
        <v>1</v>
      </c>
      <c r="D947">
        <v>12.23404255319149</v>
      </c>
      <c r="E947">
        <v>9.2340425531914896</v>
      </c>
      <c r="F947">
        <v>9.9468085106383004</v>
      </c>
      <c r="G947">
        <v>16.468085106382979</v>
      </c>
      <c r="H947">
        <v>5.8404255319148941</v>
      </c>
      <c r="I947">
        <v>0</v>
      </c>
      <c r="J947">
        <v>1</v>
      </c>
      <c r="K947">
        <v>0</v>
      </c>
      <c r="L947">
        <v>1</v>
      </c>
      <c r="M947">
        <v>0</v>
      </c>
      <c r="N947">
        <v>39</v>
      </c>
      <c r="O947">
        <v>50000</v>
      </c>
      <c r="P947">
        <v>4</v>
      </c>
      <c r="Q947">
        <v>4</v>
      </c>
      <c r="R947">
        <v>4</v>
      </c>
      <c r="S947">
        <v>4</v>
      </c>
      <c r="T947" s="123">
        <f t="shared" si="72"/>
        <v>1</v>
      </c>
      <c r="U947">
        <f t="shared" si="73"/>
        <v>1</v>
      </c>
      <c r="V947">
        <f t="shared" si="74"/>
        <v>1</v>
      </c>
      <c r="W947">
        <f t="shared" si="75"/>
        <v>1</v>
      </c>
      <c r="X947">
        <f t="shared" si="76"/>
        <v>1</v>
      </c>
    </row>
    <row r="948" spans="1:24">
      <c r="A948" t="s">
        <v>223</v>
      </c>
      <c r="B948">
        <v>1</v>
      </c>
      <c r="C948">
        <v>1</v>
      </c>
      <c r="D948">
        <v>13.329225713698911</v>
      </c>
      <c r="E948">
        <v>89.926062846580407</v>
      </c>
      <c r="F948">
        <v>10.597658656808379</v>
      </c>
      <c r="G948">
        <v>22.047648387759299</v>
      </c>
      <c r="H948">
        <v>30.591497227356751</v>
      </c>
      <c r="I948">
        <v>1</v>
      </c>
      <c r="J948">
        <v>0</v>
      </c>
      <c r="K948">
        <v>0</v>
      </c>
      <c r="L948">
        <v>1</v>
      </c>
      <c r="M948">
        <v>1</v>
      </c>
      <c r="N948">
        <v>28</v>
      </c>
      <c r="O948">
        <v>-99</v>
      </c>
      <c r="P948">
        <v>1</v>
      </c>
      <c r="Q948">
        <v>1</v>
      </c>
      <c r="R948">
        <v>1</v>
      </c>
      <c r="S948">
        <v>1</v>
      </c>
      <c r="T948" s="123">
        <f t="shared" si="72"/>
        <v>0</v>
      </c>
      <c r="U948">
        <f t="shared" si="73"/>
        <v>0</v>
      </c>
      <c r="V948">
        <f t="shared" si="74"/>
        <v>0</v>
      </c>
      <c r="W948">
        <f t="shared" si="75"/>
        <v>0</v>
      </c>
      <c r="X948">
        <f t="shared" si="76"/>
        <v>0</v>
      </c>
    </row>
    <row r="949" spans="1:24">
      <c r="A949" t="s">
        <v>223</v>
      </c>
      <c r="B949">
        <v>2</v>
      </c>
      <c r="C949">
        <v>1</v>
      </c>
      <c r="D949">
        <v>12.64583333333333</v>
      </c>
      <c r="E949">
        <v>40.916666666666671</v>
      </c>
      <c r="F949">
        <v>9.4479166666666679</v>
      </c>
      <c r="G949">
        <v>50</v>
      </c>
      <c r="H949">
        <v>22.979166666666671</v>
      </c>
      <c r="I949">
        <v>0</v>
      </c>
      <c r="J949">
        <v>0</v>
      </c>
      <c r="K949">
        <v>0</v>
      </c>
      <c r="L949">
        <v>1</v>
      </c>
      <c r="M949">
        <v>1</v>
      </c>
      <c r="N949">
        <v>28</v>
      </c>
      <c r="O949">
        <v>-99</v>
      </c>
      <c r="P949">
        <v>1</v>
      </c>
      <c r="Q949">
        <v>1</v>
      </c>
      <c r="R949">
        <v>1</v>
      </c>
      <c r="S949">
        <v>1</v>
      </c>
      <c r="T949" s="123">
        <f t="shared" si="72"/>
        <v>0</v>
      </c>
      <c r="U949">
        <f t="shared" si="73"/>
        <v>0</v>
      </c>
      <c r="V949">
        <f t="shared" si="74"/>
        <v>0</v>
      </c>
      <c r="W949">
        <f t="shared" si="75"/>
        <v>0</v>
      </c>
      <c r="X949">
        <f t="shared" si="76"/>
        <v>0</v>
      </c>
    </row>
    <row r="950" spans="1:24" hidden="1">
      <c r="A950" t="s">
        <v>223</v>
      </c>
      <c r="B950">
        <v>3</v>
      </c>
      <c r="C950">
        <v>1</v>
      </c>
      <c r="D950">
        <v>1.635416666666667</v>
      </c>
      <c r="E950">
        <v>1.395833333333335</v>
      </c>
      <c r="F950">
        <v>1.822916666666669</v>
      </c>
      <c r="G950">
        <v>1.739583333333333</v>
      </c>
      <c r="H950">
        <v>1.645833333333335</v>
      </c>
      <c r="I950">
        <v>0</v>
      </c>
      <c r="J950">
        <v>0</v>
      </c>
      <c r="K950">
        <v>0</v>
      </c>
      <c r="L950">
        <v>1</v>
      </c>
      <c r="M950">
        <v>1</v>
      </c>
      <c r="N950">
        <v>28</v>
      </c>
      <c r="O950">
        <v>-99</v>
      </c>
      <c r="P950">
        <v>1</v>
      </c>
      <c r="Q950">
        <v>1</v>
      </c>
      <c r="R950">
        <v>1</v>
      </c>
      <c r="S950">
        <v>1</v>
      </c>
      <c r="T950" s="123">
        <f t="shared" si="72"/>
        <v>1</v>
      </c>
      <c r="U950">
        <f t="shared" si="73"/>
        <v>0</v>
      </c>
      <c r="V950">
        <f t="shared" si="74"/>
        <v>0</v>
      </c>
      <c r="W950">
        <f t="shared" si="75"/>
        <v>0</v>
      </c>
      <c r="X950">
        <f t="shared" si="76"/>
        <v>0</v>
      </c>
    </row>
    <row r="951" spans="1:24" hidden="1">
      <c r="A951" t="s">
        <v>223</v>
      </c>
      <c r="B951">
        <v>4</v>
      </c>
      <c r="C951">
        <v>1</v>
      </c>
      <c r="D951">
        <v>2.416666666666667</v>
      </c>
      <c r="E951">
        <v>1.906249999999998</v>
      </c>
      <c r="F951">
        <v>3.0312500000000022</v>
      </c>
      <c r="G951">
        <v>1.656249999999998</v>
      </c>
      <c r="H951">
        <v>1.6249999999999989</v>
      </c>
      <c r="I951">
        <v>0</v>
      </c>
      <c r="J951">
        <v>0</v>
      </c>
      <c r="K951">
        <v>0</v>
      </c>
      <c r="L951">
        <v>1</v>
      </c>
      <c r="M951">
        <v>1</v>
      </c>
      <c r="N951">
        <v>28</v>
      </c>
      <c r="O951">
        <v>-99</v>
      </c>
      <c r="P951">
        <v>1</v>
      </c>
      <c r="Q951">
        <v>1</v>
      </c>
      <c r="R951">
        <v>1</v>
      </c>
      <c r="S951">
        <v>1</v>
      </c>
      <c r="T951" s="123">
        <f t="shared" si="72"/>
        <v>1</v>
      </c>
      <c r="U951">
        <f t="shared" si="73"/>
        <v>0</v>
      </c>
      <c r="V951">
        <f t="shared" si="74"/>
        <v>0</v>
      </c>
      <c r="W951">
        <f t="shared" si="75"/>
        <v>0</v>
      </c>
      <c r="X951">
        <f t="shared" si="76"/>
        <v>0</v>
      </c>
    </row>
    <row r="952" spans="1:24" hidden="1">
      <c r="A952" t="s">
        <v>223</v>
      </c>
      <c r="B952">
        <v>5</v>
      </c>
      <c r="C952">
        <v>1</v>
      </c>
      <c r="D952">
        <v>7.9791666666666652</v>
      </c>
      <c r="E952">
        <v>3.1145833333333321</v>
      </c>
      <c r="F952">
        <v>7.635416666666667</v>
      </c>
      <c r="G952">
        <v>3.0312500000000022</v>
      </c>
      <c r="H952">
        <v>3.979166666666667</v>
      </c>
      <c r="I952">
        <v>0</v>
      </c>
      <c r="J952">
        <v>0</v>
      </c>
      <c r="K952">
        <v>0</v>
      </c>
      <c r="L952">
        <v>1</v>
      </c>
      <c r="M952">
        <v>1</v>
      </c>
      <c r="N952">
        <v>28</v>
      </c>
      <c r="O952">
        <v>-99</v>
      </c>
      <c r="P952">
        <v>1</v>
      </c>
      <c r="Q952">
        <v>1</v>
      </c>
      <c r="R952">
        <v>1</v>
      </c>
      <c r="S952">
        <v>1</v>
      </c>
      <c r="T952" s="123">
        <f t="shared" si="72"/>
        <v>1</v>
      </c>
      <c r="U952">
        <f t="shared" si="73"/>
        <v>0</v>
      </c>
      <c r="V952">
        <f t="shared" si="74"/>
        <v>0</v>
      </c>
      <c r="W952">
        <f t="shared" si="75"/>
        <v>0</v>
      </c>
      <c r="X952">
        <f t="shared" si="76"/>
        <v>0</v>
      </c>
    </row>
    <row r="953" spans="1:24" hidden="1">
      <c r="A953" t="s">
        <v>223</v>
      </c>
      <c r="B953">
        <v>6</v>
      </c>
      <c r="C953">
        <v>1</v>
      </c>
      <c r="D953">
        <v>0</v>
      </c>
      <c r="E953">
        <v>0</v>
      </c>
      <c r="F953">
        <v>0</v>
      </c>
      <c r="G953">
        <v>0</v>
      </c>
      <c r="H953">
        <v>0</v>
      </c>
      <c r="I953">
        <v>0</v>
      </c>
      <c r="J953">
        <v>0</v>
      </c>
      <c r="K953">
        <v>0</v>
      </c>
      <c r="L953">
        <v>1</v>
      </c>
      <c r="M953">
        <v>1</v>
      </c>
      <c r="N953">
        <v>28</v>
      </c>
      <c r="O953">
        <v>-99</v>
      </c>
      <c r="P953">
        <v>1</v>
      </c>
      <c r="Q953">
        <v>1</v>
      </c>
      <c r="R953">
        <v>1</v>
      </c>
      <c r="S953">
        <v>1</v>
      </c>
      <c r="T953" s="123">
        <f t="shared" si="72"/>
        <v>1</v>
      </c>
      <c r="U953">
        <f t="shared" si="73"/>
        <v>0</v>
      </c>
      <c r="V953">
        <f t="shared" si="74"/>
        <v>0</v>
      </c>
      <c r="W953">
        <f t="shared" si="75"/>
        <v>0</v>
      </c>
      <c r="X953">
        <f t="shared" si="76"/>
        <v>0</v>
      </c>
    </row>
    <row r="954" spans="1:24" hidden="1">
      <c r="A954" t="s">
        <v>223</v>
      </c>
      <c r="B954">
        <v>7</v>
      </c>
      <c r="C954">
        <v>1</v>
      </c>
      <c r="D954">
        <v>0</v>
      </c>
      <c r="E954">
        <v>0</v>
      </c>
      <c r="F954">
        <v>0.63829787234042645</v>
      </c>
      <c r="G954">
        <v>0</v>
      </c>
      <c r="H954">
        <v>0</v>
      </c>
      <c r="I954">
        <v>0</v>
      </c>
      <c r="J954">
        <v>1</v>
      </c>
      <c r="K954">
        <v>0</v>
      </c>
      <c r="L954">
        <v>1</v>
      </c>
      <c r="M954">
        <v>1</v>
      </c>
      <c r="N954">
        <v>28</v>
      </c>
      <c r="O954">
        <v>-99</v>
      </c>
      <c r="P954">
        <v>1</v>
      </c>
      <c r="Q954">
        <v>1</v>
      </c>
      <c r="R954">
        <v>1</v>
      </c>
      <c r="S954">
        <v>1</v>
      </c>
      <c r="T954" s="123">
        <f t="shared" si="72"/>
        <v>1</v>
      </c>
      <c r="U954">
        <f t="shared" si="73"/>
        <v>0</v>
      </c>
      <c r="V954">
        <f t="shared" si="74"/>
        <v>0</v>
      </c>
      <c r="W954">
        <f t="shared" si="75"/>
        <v>0</v>
      </c>
      <c r="X954">
        <f t="shared" si="76"/>
        <v>0</v>
      </c>
    </row>
    <row r="955" spans="1:24">
      <c r="A955" t="s">
        <v>224</v>
      </c>
      <c r="B955">
        <v>1</v>
      </c>
      <c r="C955">
        <v>1</v>
      </c>
      <c r="D955">
        <v>86.6745632217945</v>
      </c>
      <c r="E955">
        <v>90.153982824992596</v>
      </c>
      <c r="F955">
        <v>68.196624222682857</v>
      </c>
      <c r="G955">
        <v>10.11252591057151</v>
      </c>
      <c r="H955">
        <v>50</v>
      </c>
      <c r="I955">
        <v>1</v>
      </c>
      <c r="J955">
        <v>0</v>
      </c>
      <c r="K955">
        <v>1</v>
      </c>
      <c r="L955">
        <v>1</v>
      </c>
      <c r="M955">
        <v>1</v>
      </c>
      <c r="N955">
        <v>20</v>
      </c>
      <c r="O955">
        <v>7000</v>
      </c>
      <c r="P955">
        <v>2</v>
      </c>
      <c r="Q955">
        <v>3</v>
      </c>
      <c r="R955">
        <v>4</v>
      </c>
      <c r="S955">
        <v>4</v>
      </c>
      <c r="T955" s="123">
        <f t="shared" si="72"/>
        <v>0</v>
      </c>
      <c r="U955">
        <f t="shared" si="73"/>
        <v>0</v>
      </c>
      <c r="V955">
        <f t="shared" si="74"/>
        <v>0</v>
      </c>
      <c r="W955">
        <f t="shared" si="75"/>
        <v>1</v>
      </c>
      <c r="X955">
        <f t="shared" si="76"/>
        <v>1</v>
      </c>
    </row>
    <row r="956" spans="1:24">
      <c r="A956" t="s">
        <v>224</v>
      </c>
      <c r="B956">
        <v>2</v>
      </c>
      <c r="C956">
        <v>1</v>
      </c>
      <c r="D956">
        <v>98.534201954397389</v>
      </c>
      <c r="E956">
        <v>97.808705952028433</v>
      </c>
      <c r="F956">
        <v>79.286348830322765</v>
      </c>
      <c r="G956">
        <v>3.1832987859046482</v>
      </c>
      <c r="H956">
        <v>0</v>
      </c>
      <c r="I956">
        <v>0</v>
      </c>
      <c r="J956">
        <v>0</v>
      </c>
      <c r="K956">
        <v>1</v>
      </c>
      <c r="L956">
        <v>1</v>
      </c>
      <c r="M956">
        <v>1</v>
      </c>
      <c r="N956">
        <v>20</v>
      </c>
      <c r="O956">
        <v>7000</v>
      </c>
      <c r="P956">
        <v>2</v>
      </c>
      <c r="Q956">
        <v>3</v>
      </c>
      <c r="R956">
        <v>4</v>
      </c>
      <c r="S956">
        <v>4</v>
      </c>
      <c r="T956" s="123">
        <f t="shared" si="72"/>
        <v>0</v>
      </c>
      <c r="U956">
        <f t="shared" si="73"/>
        <v>0</v>
      </c>
      <c r="V956">
        <f t="shared" si="74"/>
        <v>0</v>
      </c>
      <c r="W956">
        <f t="shared" si="75"/>
        <v>1</v>
      </c>
      <c r="X956">
        <f t="shared" si="76"/>
        <v>1</v>
      </c>
    </row>
    <row r="957" spans="1:24">
      <c r="A957" t="s">
        <v>224</v>
      </c>
      <c r="B957">
        <v>3</v>
      </c>
      <c r="C957">
        <v>1</v>
      </c>
      <c r="D957">
        <v>97.571809298193671</v>
      </c>
      <c r="E957">
        <v>97.557003257328986</v>
      </c>
      <c r="F957">
        <v>96.535386437666574</v>
      </c>
      <c r="G957">
        <v>2.694699437370446</v>
      </c>
      <c r="H957">
        <v>8.3802191294047983</v>
      </c>
      <c r="I957">
        <v>0</v>
      </c>
      <c r="J957">
        <v>0</v>
      </c>
      <c r="K957">
        <v>1</v>
      </c>
      <c r="L957">
        <v>1</v>
      </c>
      <c r="M957">
        <v>1</v>
      </c>
      <c r="N957">
        <v>20</v>
      </c>
      <c r="O957">
        <v>7000</v>
      </c>
      <c r="P957">
        <v>2</v>
      </c>
      <c r="Q957">
        <v>3</v>
      </c>
      <c r="R957">
        <v>4</v>
      </c>
      <c r="S957">
        <v>4</v>
      </c>
      <c r="T957" s="123">
        <f t="shared" si="72"/>
        <v>0</v>
      </c>
      <c r="U957">
        <f t="shared" si="73"/>
        <v>0</v>
      </c>
      <c r="V957">
        <f t="shared" si="74"/>
        <v>0</v>
      </c>
      <c r="W957">
        <f t="shared" si="75"/>
        <v>1</v>
      </c>
      <c r="X957">
        <f t="shared" si="76"/>
        <v>1</v>
      </c>
    </row>
    <row r="958" spans="1:24">
      <c r="A958" t="s">
        <v>224</v>
      </c>
      <c r="B958">
        <v>4</v>
      </c>
      <c r="C958">
        <v>1</v>
      </c>
      <c r="D958">
        <v>97.305300562629554</v>
      </c>
      <c r="E958">
        <v>65.457506662718387</v>
      </c>
      <c r="F958">
        <v>97.053597867930108</v>
      </c>
      <c r="G958">
        <v>9.8460171750074039</v>
      </c>
      <c r="H958">
        <v>91.871483565294639</v>
      </c>
      <c r="I958">
        <v>0</v>
      </c>
      <c r="J958">
        <v>0</v>
      </c>
      <c r="K958">
        <v>1</v>
      </c>
      <c r="L958">
        <v>1</v>
      </c>
      <c r="M958">
        <v>1</v>
      </c>
      <c r="N958">
        <v>20</v>
      </c>
      <c r="O958">
        <v>7000</v>
      </c>
      <c r="P958">
        <v>2</v>
      </c>
      <c r="Q958">
        <v>3</v>
      </c>
      <c r="R958">
        <v>4</v>
      </c>
      <c r="S958">
        <v>4</v>
      </c>
      <c r="T958" s="123">
        <f t="shared" si="72"/>
        <v>0</v>
      </c>
      <c r="U958">
        <f t="shared" si="73"/>
        <v>0</v>
      </c>
      <c r="V958">
        <f t="shared" si="74"/>
        <v>0</v>
      </c>
      <c r="W958">
        <f t="shared" si="75"/>
        <v>1</v>
      </c>
      <c r="X958">
        <f t="shared" si="76"/>
        <v>1</v>
      </c>
    </row>
    <row r="959" spans="1:24" hidden="1">
      <c r="A959" t="s">
        <v>224</v>
      </c>
      <c r="B959">
        <v>5</v>
      </c>
      <c r="C959">
        <v>1</v>
      </c>
      <c r="D959">
        <v>1.9543973941368089</v>
      </c>
      <c r="E959">
        <v>99.27450399763103</v>
      </c>
      <c r="F959">
        <v>84.690553745928327</v>
      </c>
      <c r="G959">
        <v>97.557003257328986</v>
      </c>
      <c r="H959">
        <v>0.96239265620373105</v>
      </c>
      <c r="I959">
        <v>0</v>
      </c>
      <c r="J959">
        <v>0</v>
      </c>
      <c r="K959">
        <v>0</v>
      </c>
      <c r="L959">
        <v>1</v>
      </c>
      <c r="M959">
        <v>1</v>
      </c>
      <c r="N959">
        <v>20</v>
      </c>
      <c r="O959">
        <v>7000</v>
      </c>
      <c r="P959">
        <v>2</v>
      </c>
      <c r="Q959">
        <v>3</v>
      </c>
      <c r="R959">
        <v>4</v>
      </c>
      <c r="S959">
        <v>4</v>
      </c>
      <c r="T959" s="123">
        <f t="shared" si="72"/>
        <v>1</v>
      </c>
      <c r="U959">
        <f t="shared" si="73"/>
        <v>0</v>
      </c>
      <c r="V959">
        <f t="shared" si="74"/>
        <v>0</v>
      </c>
      <c r="W959">
        <f t="shared" si="75"/>
        <v>1</v>
      </c>
      <c r="X959">
        <f t="shared" si="76"/>
        <v>1</v>
      </c>
    </row>
    <row r="960" spans="1:24">
      <c r="A960" t="s">
        <v>224</v>
      </c>
      <c r="B960">
        <v>6</v>
      </c>
      <c r="C960">
        <v>1</v>
      </c>
      <c r="D960">
        <v>7.6251110453064879</v>
      </c>
      <c r="E960">
        <v>20.461948474977788</v>
      </c>
      <c r="F960">
        <v>80.011844832691736</v>
      </c>
      <c r="G960">
        <v>2.2209061297009169</v>
      </c>
      <c r="H960">
        <v>19.98815516730826</v>
      </c>
      <c r="I960">
        <v>0</v>
      </c>
      <c r="J960">
        <v>0</v>
      </c>
      <c r="K960">
        <v>0</v>
      </c>
      <c r="L960">
        <v>1</v>
      </c>
      <c r="M960">
        <v>1</v>
      </c>
      <c r="N960">
        <v>20</v>
      </c>
      <c r="O960">
        <v>7000</v>
      </c>
      <c r="P960">
        <v>2</v>
      </c>
      <c r="Q960">
        <v>3</v>
      </c>
      <c r="R960">
        <v>4</v>
      </c>
      <c r="S960">
        <v>4</v>
      </c>
      <c r="T960" s="123">
        <f t="shared" si="72"/>
        <v>0</v>
      </c>
      <c r="U960">
        <f t="shared" si="73"/>
        <v>0</v>
      </c>
      <c r="V960">
        <f t="shared" si="74"/>
        <v>0</v>
      </c>
      <c r="W960">
        <f t="shared" si="75"/>
        <v>1</v>
      </c>
      <c r="X960">
        <f t="shared" si="76"/>
        <v>1</v>
      </c>
    </row>
    <row r="961" spans="1:24">
      <c r="A961" t="s">
        <v>224</v>
      </c>
      <c r="B961">
        <v>7</v>
      </c>
      <c r="C961">
        <v>1</v>
      </c>
      <c r="D961">
        <v>97.038791827065438</v>
      </c>
      <c r="E961">
        <v>99.037607343796282</v>
      </c>
      <c r="F961">
        <v>99.526206692330476</v>
      </c>
      <c r="G961">
        <v>7.151317737636953</v>
      </c>
      <c r="H961">
        <v>77.835356825584839</v>
      </c>
      <c r="I961">
        <v>0</v>
      </c>
      <c r="J961">
        <v>1</v>
      </c>
      <c r="K961">
        <v>1</v>
      </c>
      <c r="L961">
        <v>1</v>
      </c>
      <c r="M961">
        <v>1</v>
      </c>
      <c r="N961">
        <v>20</v>
      </c>
      <c r="O961">
        <v>7000</v>
      </c>
      <c r="P961">
        <v>2</v>
      </c>
      <c r="Q961">
        <v>3</v>
      </c>
      <c r="R961">
        <v>4</v>
      </c>
      <c r="S961">
        <v>4</v>
      </c>
      <c r="T961" s="123">
        <f t="shared" si="72"/>
        <v>0</v>
      </c>
      <c r="U961">
        <f t="shared" si="73"/>
        <v>0</v>
      </c>
      <c r="V961">
        <f t="shared" si="74"/>
        <v>0</v>
      </c>
      <c r="W961">
        <f t="shared" si="75"/>
        <v>1</v>
      </c>
      <c r="X961">
        <f t="shared" si="76"/>
        <v>1</v>
      </c>
    </row>
    <row r="962" spans="1:24">
      <c r="A962" t="s">
        <v>225</v>
      </c>
      <c r="B962">
        <v>1</v>
      </c>
      <c r="C962">
        <v>1</v>
      </c>
      <c r="D962">
        <v>0.53699284009546266</v>
      </c>
      <c r="E962">
        <v>0.245682998736485</v>
      </c>
      <c r="F962">
        <v>1.1336515513126479</v>
      </c>
      <c r="G962">
        <v>94.110627544573916</v>
      </c>
      <c r="H962">
        <v>96.813140530675284</v>
      </c>
      <c r="I962">
        <v>1</v>
      </c>
      <c r="J962">
        <v>0</v>
      </c>
      <c r="K962">
        <v>0</v>
      </c>
      <c r="L962">
        <v>1</v>
      </c>
      <c r="M962">
        <v>1</v>
      </c>
      <c r="N962">
        <v>43</v>
      </c>
      <c r="O962">
        <v>80000</v>
      </c>
      <c r="P962">
        <v>1</v>
      </c>
      <c r="Q962">
        <v>1</v>
      </c>
      <c r="R962">
        <v>3</v>
      </c>
      <c r="S962">
        <v>4</v>
      </c>
      <c r="T962" s="123">
        <f t="shared" si="72"/>
        <v>0</v>
      </c>
      <c r="U962">
        <f t="shared" si="73"/>
        <v>0</v>
      </c>
      <c r="V962">
        <f t="shared" si="74"/>
        <v>0</v>
      </c>
      <c r="W962">
        <f t="shared" si="75"/>
        <v>0</v>
      </c>
      <c r="X962">
        <f t="shared" si="76"/>
        <v>1</v>
      </c>
    </row>
    <row r="963" spans="1:24">
      <c r="A963" t="s">
        <v>225</v>
      </c>
      <c r="B963">
        <v>2</v>
      </c>
      <c r="C963">
        <v>1</v>
      </c>
      <c r="D963">
        <v>1.930366418643831</v>
      </c>
      <c r="E963">
        <v>0</v>
      </c>
      <c r="F963">
        <v>0.3755440123543452</v>
      </c>
      <c r="G963">
        <v>99.112031447423846</v>
      </c>
      <c r="H963">
        <v>98.420609293836876</v>
      </c>
      <c r="I963">
        <v>0</v>
      </c>
      <c r="J963">
        <v>0</v>
      </c>
      <c r="K963">
        <v>0</v>
      </c>
      <c r="L963">
        <v>1</v>
      </c>
      <c r="M963">
        <v>1</v>
      </c>
      <c r="N963">
        <v>43</v>
      </c>
      <c r="O963">
        <v>80000</v>
      </c>
      <c r="P963">
        <v>1</v>
      </c>
      <c r="Q963">
        <v>1</v>
      </c>
      <c r="R963">
        <v>3</v>
      </c>
      <c r="S963">
        <v>4</v>
      </c>
      <c r="T963" s="123">
        <f t="shared" si="72"/>
        <v>0</v>
      </c>
      <c r="U963">
        <f t="shared" si="73"/>
        <v>0</v>
      </c>
      <c r="V963">
        <f t="shared" si="74"/>
        <v>0</v>
      </c>
      <c r="W963">
        <f t="shared" si="75"/>
        <v>0</v>
      </c>
      <c r="X963">
        <f t="shared" si="76"/>
        <v>1</v>
      </c>
    </row>
    <row r="964" spans="1:24">
      <c r="A964" t="s">
        <v>225</v>
      </c>
      <c r="B964">
        <v>3</v>
      </c>
      <c r="C964">
        <v>1</v>
      </c>
      <c r="D964">
        <v>1.038888108942859</v>
      </c>
      <c r="E964">
        <v>0.53348308297065938</v>
      </c>
      <c r="F964">
        <v>0.64228555383967212</v>
      </c>
      <c r="G964">
        <v>96.609574617436465</v>
      </c>
      <c r="H964">
        <v>95.781271935982033</v>
      </c>
      <c r="I964">
        <v>0</v>
      </c>
      <c r="J964">
        <v>0</v>
      </c>
      <c r="K964">
        <v>0</v>
      </c>
      <c r="L964">
        <v>1</v>
      </c>
      <c r="M964">
        <v>1</v>
      </c>
      <c r="N964">
        <v>43</v>
      </c>
      <c r="O964">
        <v>80000</v>
      </c>
      <c r="P964">
        <v>1</v>
      </c>
      <c r="Q964">
        <v>1</v>
      </c>
      <c r="R964">
        <v>3</v>
      </c>
      <c r="S964">
        <v>4</v>
      </c>
      <c r="T964" s="123">
        <f t="shared" ref="T964:T1027" si="77">IF(OR(IF(AVERAGE(E964:F964)-G964&gt;(10),1,0),IF(AVERAGE(E964:F964)-G964&lt;(-10),1,0)),0,1)</f>
        <v>0</v>
      </c>
      <c r="U964">
        <f t="shared" ref="U964:U1027" si="78">IF(P964&gt;3,1,0)</f>
        <v>0</v>
      </c>
      <c r="V964">
        <f t="shared" ref="V964:V1027" si="79">IF(Q964&gt;3,1,0)</f>
        <v>0</v>
      </c>
      <c r="W964">
        <f t="shared" ref="W964:W1027" si="80">IF(R964&gt;3,1,0)</f>
        <v>0</v>
      </c>
      <c r="X964">
        <f t="shared" ref="X964:X1027" si="81">IF(S964&gt;3,1,0)</f>
        <v>1</v>
      </c>
    </row>
    <row r="965" spans="1:24">
      <c r="A965" t="s">
        <v>225</v>
      </c>
      <c r="B965">
        <v>4</v>
      </c>
      <c r="C965">
        <v>1</v>
      </c>
      <c r="D965">
        <v>4.6416730425911767</v>
      </c>
      <c r="E965">
        <v>6.5289466972711043</v>
      </c>
      <c r="F965">
        <v>14.32032644733486</v>
      </c>
      <c r="G965">
        <v>59.627646008671263</v>
      </c>
      <c r="H965">
        <v>50</v>
      </c>
      <c r="I965">
        <v>0</v>
      </c>
      <c r="J965">
        <v>0</v>
      </c>
      <c r="K965">
        <v>0</v>
      </c>
      <c r="L965">
        <v>1</v>
      </c>
      <c r="M965">
        <v>1</v>
      </c>
      <c r="N965">
        <v>43</v>
      </c>
      <c r="O965">
        <v>80000</v>
      </c>
      <c r="P965">
        <v>1</v>
      </c>
      <c r="Q965">
        <v>1</v>
      </c>
      <c r="R965">
        <v>3</v>
      </c>
      <c r="S965">
        <v>4</v>
      </c>
      <c r="T965" s="123">
        <f t="shared" si="77"/>
        <v>0</v>
      </c>
      <c r="U965">
        <f t="shared" si="78"/>
        <v>0</v>
      </c>
      <c r="V965">
        <f t="shared" si="79"/>
        <v>0</v>
      </c>
      <c r="W965">
        <f t="shared" si="80"/>
        <v>0</v>
      </c>
      <c r="X965">
        <f t="shared" si="81"/>
        <v>1</v>
      </c>
    </row>
    <row r="966" spans="1:24">
      <c r="A966" t="s">
        <v>225</v>
      </c>
      <c r="B966">
        <v>5</v>
      </c>
      <c r="C966">
        <v>1</v>
      </c>
      <c r="D966">
        <v>1.402703391991839</v>
      </c>
      <c r="E966">
        <v>16.131089007906152</v>
      </c>
      <c r="F966">
        <v>1.032899770466716</v>
      </c>
      <c r="G966">
        <v>84.111196123437892</v>
      </c>
      <c r="H966">
        <v>98.967100229533273</v>
      </c>
      <c r="I966">
        <v>0</v>
      </c>
      <c r="J966">
        <v>0</v>
      </c>
      <c r="K966">
        <v>0</v>
      </c>
      <c r="L966">
        <v>1</v>
      </c>
      <c r="M966">
        <v>1</v>
      </c>
      <c r="N966">
        <v>43</v>
      </c>
      <c r="O966">
        <v>80000</v>
      </c>
      <c r="P966">
        <v>1</v>
      </c>
      <c r="Q966">
        <v>1</v>
      </c>
      <c r="R966">
        <v>3</v>
      </c>
      <c r="S966">
        <v>4</v>
      </c>
      <c r="T966" s="123">
        <f t="shared" si="77"/>
        <v>0</v>
      </c>
      <c r="U966">
        <f t="shared" si="78"/>
        <v>0</v>
      </c>
      <c r="V966">
        <f t="shared" si="79"/>
        <v>0</v>
      </c>
      <c r="W966">
        <f t="shared" si="80"/>
        <v>0</v>
      </c>
      <c r="X966">
        <f t="shared" si="81"/>
        <v>1</v>
      </c>
    </row>
    <row r="967" spans="1:24">
      <c r="A967" t="s">
        <v>225</v>
      </c>
      <c r="B967">
        <v>6</v>
      </c>
      <c r="C967">
        <v>1</v>
      </c>
      <c r="D967">
        <v>3.2007141035450162</v>
      </c>
      <c r="E967">
        <v>0.99464422341239422</v>
      </c>
      <c r="F967">
        <v>0.9181331293037498</v>
      </c>
      <c r="G967">
        <v>57.485335373629177</v>
      </c>
      <c r="H967">
        <v>37.018617699566427</v>
      </c>
      <c r="I967">
        <v>0</v>
      </c>
      <c r="J967">
        <v>0</v>
      </c>
      <c r="K967">
        <v>0</v>
      </c>
      <c r="L967">
        <v>1</v>
      </c>
      <c r="M967">
        <v>1</v>
      </c>
      <c r="N967">
        <v>43</v>
      </c>
      <c r="O967">
        <v>80000</v>
      </c>
      <c r="P967">
        <v>1</v>
      </c>
      <c r="Q967">
        <v>1</v>
      </c>
      <c r="R967">
        <v>3</v>
      </c>
      <c r="S967">
        <v>4</v>
      </c>
      <c r="T967" s="123">
        <f t="shared" si="77"/>
        <v>0</v>
      </c>
      <c r="U967">
        <f t="shared" si="78"/>
        <v>0</v>
      </c>
      <c r="V967">
        <f t="shared" si="79"/>
        <v>0</v>
      </c>
      <c r="W967">
        <f t="shared" si="80"/>
        <v>0</v>
      </c>
      <c r="X967">
        <f t="shared" si="81"/>
        <v>1</v>
      </c>
    </row>
    <row r="968" spans="1:24">
      <c r="A968" t="s">
        <v>225</v>
      </c>
      <c r="B968">
        <v>7</v>
      </c>
      <c r="C968">
        <v>1</v>
      </c>
      <c r="D968">
        <v>1.963784748788572</v>
      </c>
      <c r="E968">
        <v>3.0094363682733989</v>
      </c>
      <c r="F968">
        <v>0.51007396072430544</v>
      </c>
      <c r="G968">
        <v>20.67074725835246</v>
      </c>
      <c r="H968">
        <v>93.024738587095129</v>
      </c>
      <c r="I968">
        <v>0</v>
      </c>
      <c r="J968">
        <v>1</v>
      </c>
      <c r="K968">
        <v>0</v>
      </c>
      <c r="L968">
        <v>1</v>
      </c>
      <c r="M968">
        <v>1</v>
      </c>
      <c r="N968">
        <v>43</v>
      </c>
      <c r="O968">
        <v>80000</v>
      </c>
      <c r="P968">
        <v>1</v>
      </c>
      <c r="Q968">
        <v>1</v>
      </c>
      <c r="R968">
        <v>3</v>
      </c>
      <c r="S968">
        <v>4</v>
      </c>
      <c r="T968" s="123">
        <f t="shared" si="77"/>
        <v>0</v>
      </c>
      <c r="U968">
        <f t="shared" si="78"/>
        <v>0</v>
      </c>
      <c r="V968">
        <f t="shared" si="79"/>
        <v>0</v>
      </c>
      <c r="W968">
        <f t="shared" si="80"/>
        <v>0</v>
      </c>
      <c r="X968">
        <f t="shared" si="81"/>
        <v>1</v>
      </c>
    </row>
    <row r="969" spans="1:24">
      <c r="A969" t="s">
        <v>226</v>
      </c>
      <c r="B969">
        <v>1</v>
      </c>
      <c r="C969">
        <v>1</v>
      </c>
      <c r="D969">
        <v>87.440305635148036</v>
      </c>
      <c r="E969">
        <v>95.200573065902574</v>
      </c>
      <c r="F969">
        <v>96.883954154727789</v>
      </c>
      <c r="G969">
        <v>50</v>
      </c>
      <c r="H969">
        <v>13.72970391595033</v>
      </c>
      <c r="I969">
        <v>1</v>
      </c>
      <c r="J969">
        <v>0</v>
      </c>
      <c r="K969">
        <v>1</v>
      </c>
      <c r="L969">
        <v>1</v>
      </c>
      <c r="M969">
        <v>0</v>
      </c>
      <c r="N969">
        <v>47</v>
      </c>
      <c r="O969">
        <v>112800</v>
      </c>
      <c r="P969">
        <v>1</v>
      </c>
      <c r="Q969">
        <v>1</v>
      </c>
      <c r="R969">
        <v>5</v>
      </c>
      <c r="S969">
        <v>5</v>
      </c>
      <c r="T969" s="123">
        <f t="shared" si="77"/>
        <v>0</v>
      </c>
      <c r="U969">
        <f t="shared" si="78"/>
        <v>0</v>
      </c>
      <c r="V969">
        <f t="shared" si="79"/>
        <v>0</v>
      </c>
      <c r="W969">
        <f t="shared" si="80"/>
        <v>1</v>
      </c>
      <c r="X969">
        <f t="shared" si="81"/>
        <v>1</v>
      </c>
    </row>
    <row r="970" spans="1:24">
      <c r="A970" t="s">
        <v>226</v>
      </c>
      <c r="B970">
        <v>2</v>
      </c>
      <c r="C970">
        <v>1</v>
      </c>
      <c r="D970">
        <v>98.758357211079272</v>
      </c>
      <c r="E970">
        <v>87.786532951289402</v>
      </c>
      <c r="F970">
        <v>88.837153772683862</v>
      </c>
      <c r="G970">
        <v>4.071155682903532</v>
      </c>
      <c r="H970">
        <v>6.363419293218719</v>
      </c>
      <c r="I970">
        <v>0</v>
      </c>
      <c r="J970">
        <v>0</v>
      </c>
      <c r="K970">
        <v>1</v>
      </c>
      <c r="L970">
        <v>1</v>
      </c>
      <c r="M970">
        <v>0</v>
      </c>
      <c r="N970">
        <v>47</v>
      </c>
      <c r="O970">
        <v>112800</v>
      </c>
      <c r="P970">
        <v>1</v>
      </c>
      <c r="Q970">
        <v>1</v>
      </c>
      <c r="R970">
        <v>5</v>
      </c>
      <c r="S970">
        <v>5</v>
      </c>
      <c r="T970" s="123">
        <f t="shared" si="77"/>
        <v>0</v>
      </c>
      <c r="U970">
        <f t="shared" si="78"/>
        <v>0</v>
      </c>
      <c r="V970">
        <f t="shared" si="79"/>
        <v>0</v>
      </c>
      <c r="W970">
        <f t="shared" si="80"/>
        <v>1</v>
      </c>
      <c r="X970">
        <f t="shared" si="81"/>
        <v>1</v>
      </c>
    </row>
    <row r="971" spans="1:24">
      <c r="A971" t="s">
        <v>226</v>
      </c>
      <c r="B971">
        <v>3</v>
      </c>
      <c r="C971">
        <v>1</v>
      </c>
      <c r="D971">
        <v>96.788443170964669</v>
      </c>
      <c r="E971">
        <v>96.263132760267439</v>
      </c>
      <c r="F971">
        <v>94.878223495702002</v>
      </c>
      <c r="G971">
        <v>2.3042024832855779</v>
      </c>
      <c r="H971">
        <v>5.6112702960840473</v>
      </c>
      <c r="I971">
        <v>0</v>
      </c>
      <c r="J971">
        <v>0</v>
      </c>
      <c r="K971">
        <v>1</v>
      </c>
      <c r="L971">
        <v>1</v>
      </c>
      <c r="M971">
        <v>0</v>
      </c>
      <c r="N971">
        <v>47</v>
      </c>
      <c r="O971">
        <v>112800</v>
      </c>
      <c r="P971">
        <v>1</v>
      </c>
      <c r="Q971">
        <v>1</v>
      </c>
      <c r="R971">
        <v>5</v>
      </c>
      <c r="S971">
        <v>5</v>
      </c>
      <c r="T971" s="123">
        <f t="shared" si="77"/>
        <v>0</v>
      </c>
      <c r="U971">
        <f t="shared" si="78"/>
        <v>0</v>
      </c>
      <c r="V971">
        <f t="shared" si="79"/>
        <v>0</v>
      </c>
      <c r="W971">
        <f t="shared" si="80"/>
        <v>1</v>
      </c>
      <c r="X971">
        <f t="shared" si="81"/>
        <v>1</v>
      </c>
    </row>
    <row r="972" spans="1:24">
      <c r="A972" t="s">
        <v>226</v>
      </c>
      <c r="B972">
        <v>4</v>
      </c>
      <c r="C972">
        <v>1</v>
      </c>
      <c r="D972">
        <v>96.310888252148999</v>
      </c>
      <c r="E972">
        <v>88.849092645654252</v>
      </c>
      <c r="F972">
        <v>98.125596943648517</v>
      </c>
      <c r="G972">
        <v>4.1308500477554908</v>
      </c>
      <c r="H972">
        <v>5.7784145176695336</v>
      </c>
      <c r="I972">
        <v>0</v>
      </c>
      <c r="J972">
        <v>0</v>
      </c>
      <c r="K972">
        <v>1</v>
      </c>
      <c r="L972">
        <v>1</v>
      </c>
      <c r="M972">
        <v>0</v>
      </c>
      <c r="N972">
        <v>47</v>
      </c>
      <c r="O972">
        <v>112800</v>
      </c>
      <c r="P972">
        <v>1</v>
      </c>
      <c r="Q972">
        <v>1</v>
      </c>
      <c r="R972">
        <v>5</v>
      </c>
      <c r="S972">
        <v>5</v>
      </c>
      <c r="T972" s="123">
        <f t="shared" si="77"/>
        <v>0</v>
      </c>
      <c r="U972">
        <f t="shared" si="78"/>
        <v>0</v>
      </c>
      <c r="V972">
        <f t="shared" si="79"/>
        <v>0</v>
      </c>
      <c r="W972">
        <f t="shared" si="80"/>
        <v>1</v>
      </c>
      <c r="X972">
        <f t="shared" si="81"/>
        <v>1</v>
      </c>
    </row>
    <row r="973" spans="1:24">
      <c r="A973" t="s">
        <v>226</v>
      </c>
      <c r="B973">
        <v>5</v>
      </c>
      <c r="C973">
        <v>1</v>
      </c>
      <c r="D973">
        <v>98.149474689589297</v>
      </c>
      <c r="E973">
        <v>93.194842406876788</v>
      </c>
      <c r="F973">
        <v>99.200095510983772</v>
      </c>
      <c r="G973">
        <v>4.1427889207258817</v>
      </c>
      <c r="H973">
        <v>3.987583572110792</v>
      </c>
      <c r="I973">
        <v>0</v>
      </c>
      <c r="J973">
        <v>0</v>
      </c>
      <c r="K973">
        <v>1</v>
      </c>
      <c r="L973">
        <v>1</v>
      </c>
      <c r="M973">
        <v>0</v>
      </c>
      <c r="N973">
        <v>47</v>
      </c>
      <c r="O973">
        <v>112800</v>
      </c>
      <c r="P973">
        <v>1</v>
      </c>
      <c r="Q973">
        <v>1</v>
      </c>
      <c r="R973">
        <v>5</v>
      </c>
      <c r="S973">
        <v>5</v>
      </c>
      <c r="T973" s="123">
        <f t="shared" si="77"/>
        <v>0</v>
      </c>
      <c r="U973">
        <f t="shared" si="78"/>
        <v>0</v>
      </c>
      <c r="V973">
        <f t="shared" si="79"/>
        <v>0</v>
      </c>
      <c r="W973">
        <f t="shared" si="80"/>
        <v>1</v>
      </c>
      <c r="X973">
        <f t="shared" si="81"/>
        <v>1</v>
      </c>
    </row>
    <row r="974" spans="1:24">
      <c r="A974" t="s">
        <v>226</v>
      </c>
      <c r="B974">
        <v>6</v>
      </c>
      <c r="C974">
        <v>1</v>
      </c>
      <c r="D974">
        <v>98.316618911174785</v>
      </c>
      <c r="E974">
        <v>96.215377268385865</v>
      </c>
      <c r="F974">
        <v>87.96561604584528</v>
      </c>
      <c r="G974">
        <v>3.7846227316141339</v>
      </c>
      <c r="H974">
        <v>6.0052531041069734</v>
      </c>
      <c r="I974">
        <v>0</v>
      </c>
      <c r="J974">
        <v>0</v>
      </c>
      <c r="K974">
        <v>1</v>
      </c>
      <c r="L974">
        <v>1</v>
      </c>
      <c r="M974">
        <v>0</v>
      </c>
      <c r="N974">
        <v>47</v>
      </c>
      <c r="O974">
        <v>112800</v>
      </c>
      <c r="P974">
        <v>1</v>
      </c>
      <c r="Q974">
        <v>1</v>
      </c>
      <c r="R974">
        <v>5</v>
      </c>
      <c r="S974">
        <v>5</v>
      </c>
      <c r="T974" s="123">
        <f t="shared" si="77"/>
        <v>0</v>
      </c>
      <c r="U974">
        <f t="shared" si="78"/>
        <v>0</v>
      </c>
      <c r="V974">
        <f t="shared" si="79"/>
        <v>0</v>
      </c>
      <c r="W974">
        <f t="shared" si="80"/>
        <v>1</v>
      </c>
      <c r="X974">
        <f t="shared" si="81"/>
        <v>1</v>
      </c>
    </row>
    <row r="975" spans="1:24">
      <c r="A975" t="s">
        <v>226</v>
      </c>
      <c r="B975">
        <v>7</v>
      </c>
      <c r="C975">
        <v>1</v>
      </c>
      <c r="D975">
        <v>99.152340019102198</v>
      </c>
      <c r="E975">
        <v>100</v>
      </c>
      <c r="F975">
        <v>99.152340019102198</v>
      </c>
      <c r="G975">
        <v>3.6055396370582642</v>
      </c>
      <c r="H975">
        <v>3.545845272206305</v>
      </c>
      <c r="I975">
        <v>0</v>
      </c>
      <c r="J975">
        <v>1</v>
      </c>
      <c r="K975">
        <v>1</v>
      </c>
      <c r="L975">
        <v>1</v>
      </c>
      <c r="M975">
        <v>0</v>
      </c>
      <c r="N975">
        <v>47</v>
      </c>
      <c r="O975">
        <v>112800</v>
      </c>
      <c r="P975">
        <v>1</v>
      </c>
      <c r="Q975">
        <v>1</v>
      </c>
      <c r="R975">
        <v>5</v>
      </c>
      <c r="S975">
        <v>5</v>
      </c>
      <c r="T975" s="123">
        <f t="shared" si="77"/>
        <v>0</v>
      </c>
      <c r="U975">
        <f t="shared" si="78"/>
        <v>0</v>
      </c>
      <c r="V975">
        <f t="shared" si="79"/>
        <v>0</v>
      </c>
      <c r="W975">
        <f t="shared" si="80"/>
        <v>1</v>
      </c>
      <c r="X975">
        <f t="shared" si="81"/>
        <v>1</v>
      </c>
    </row>
    <row r="976" spans="1:24" hidden="1">
      <c r="A976" t="s">
        <v>227</v>
      </c>
      <c r="B976">
        <v>1</v>
      </c>
      <c r="C976">
        <v>1</v>
      </c>
      <c r="D976">
        <v>97.835497835497833</v>
      </c>
      <c r="E976">
        <v>98.96662477307639</v>
      </c>
      <c r="F976">
        <v>95.622119815668199</v>
      </c>
      <c r="G976">
        <v>98.024018991760926</v>
      </c>
      <c r="H976">
        <v>98.778103616813297</v>
      </c>
      <c r="I976">
        <v>1</v>
      </c>
      <c r="J976">
        <v>0</v>
      </c>
      <c r="K976">
        <v>1</v>
      </c>
      <c r="L976">
        <v>1</v>
      </c>
      <c r="M976">
        <v>1</v>
      </c>
      <c r="N976">
        <v>38</v>
      </c>
      <c r="O976">
        <v>48000</v>
      </c>
      <c r="P976">
        <v>2</v>
      </c>
      <c r="Q976">
        <v>2</v>
      </c>
      <c r="R976">
        <v>4</v>
      </c>
      <c r="S976">
        <v>5</v>
      </c>
      <c r="T976" s="123">
        <f t="shared" si="77"/>
        <v>1</v>
      </c>
      <c r="U976">
        <f t="shared" si="78"/>
        <v>0</v>
      </c>
      <c r="V976">
        <f t="shared" si="79"/>
        <v>0</v>
      </c>
      <c r="W976">
        <f t="shared" si="80"/>
        <v>1</v>
      </c>
      <c r="X976">
        <f t="shared" si="81"/>
        <v>1</v>
      </c>
    </row>
    <row r="977" spans="1:24" hidden="1">
      <c r="A977" t="s">
        <v>227</v>
      </c>
      <c r="B977">
        <v>2</v>
      </c>
      <c r="C977">
        <v>1</v>
      </c>
      <c r="D977">
        <v>89.205418237676298</v>
      </c>
      <c r="E977">
        <v>95.636084345761759</v>
      </c>
      <c r="F977">
        <v>92.305543918447142</v>
      </c>
      <c r="G977">
        <v>94.225666806311963</v>
      </c>
      <c r="H977">
        <v>92.368384303868183</v>
      </c>
      <c r="I977">
        <v>0</v>
      </c>
      <c r="J977">
        <v>0</v>
      </c>
      <c r="K977">
        <v>1</v>
      </c>
      <c r="L977">
        <v>1</v>
      </c>
      <c r="M977">
        <v>1</v>
      </c>
      <c r="N977">
        <v>38</v>
      </c>
      <c r="O977">
        <v>48000</v>
      </c>
      <c r="P977">
        <v>2</v>
      </c>
      <c r="Q977">
        <v>2</v>
      </c>
      <c r="R977">
        <v>4</v>
      </c>
      <c r="S977">
        <v>5</v>
      </c>
      <c r="T977" s="123">
        <f t="shared" si="77"/>
        <v>1</v>
      </c>
      <c r="U977">
        <f t="shared" si="78"/>
        <v>0</v>
      </c>
      <c r="V977">
        <f t="shared" si="79"/>
        <v>0</v>
      </c>
      <c r="W977">
        <f t="shared" si="80"/>
        <v>1</v>
      </c>
      <c r="X977">
        <f t="shared" si="81"/>
        <v>1</v>
      </c>
    </row>
    <row r="978" spans="1:24">
      <c r="A978" t="s">
        <v>227</v>
      </c>
      <c r="B978">
        <v>3</v>
      </c>
      <c r="C978">
        <v>1</v>
      </c>
      <c r="D978">
        <v>94.570593525179859</v>
      </c>
      <c r="E978">
        <v>93.997302158273371</v>
      </c>
      <c r="F978">
        <v>92.209982014388487</v>
      </c>
      <c r="G978">
        <v>79.462679856115102</v>
      </c>
      <c r="H978">
        <v>50</v>
      </c>
      <c r="I978">
        <v>0</v>
      </c>
      <c r="J978">
        <v>0</v>
      </c>
      <c r="K978">
        <v>1</v>
      </c>
      <c r="L978">
        <v>1</v>
      </c>
      <c r="M978">
        <v>1</v>
      </c>
      <c r="N978">
        <v>38</v>
      </c>
      <c r="O978">
        <v>48000</v>
      </c>
      <c r="P978">
        <v>2</v>
      </c>
      <c r="Q978">
        <v>2</v>
      </c>
      <c r="R978">
        <v>4</v>
      </c>
      <c r="S978">
        <v>5</v>
      </c>
      <c r="T978" s="123">
        <f t="shared" si="77"/>
        <v>0</v>
      </c>
      <c r="U978">
        <f t="shared" si="78"/>
        <v>0</v>
      </c>
      <c r="V978">
        <f t="shared" si="79"/>
        <v>0</v>
      </c>
      <c r="W978">
        <f t="shared" si="80"/>
        <v>1</v>
      </c>
      <c r="X978">
        <f t="shared" si="81"/>
        <v>1</v>
      </c>
    </row>
    <row r="979" spans="1:24" hidden="1">
      <c r="A979" t="s">
        <v>227</v>
      </c>
      <c r="B979">
        <v>4</v>
      </c>
      <c r="C979">
        <v>1</v>
      </c>
      <c r="D979">
        <v>100</v>
      </c>
      <c r="E979">
        <v>97.009892086330922</v>
      </c>
      <c r="F979">
        <v>93.446492805755398</v>
      </c>
      <c r="G979">
        <v>99.64028776978418</v>
      </c>
      <c r="H979">
        <v>97.009892086330922</v>
      </c>
      <c r="I979">
        <v>0</v>
      </c>
      <c r="J979">
        <v>0</v>
      </c>
      <c r="K979">
        <v>1</v>
      </c>
      <c r="L979">
        <v>1</v>
      </c>
      <c r="M979">
        <v>1</v>
      </c>
      <c r="N979">
        <v>38</v>
      </c>
      <c r="O979">
        <v>48000</v>
      </c>
      <c r="P979">
        <v>2</v>
      </c>
      <c r="Q979">
        <v>2</v>
      </c>
      <c r="R979">
        <v>4</v>
      </c>
      <c r="S979">
        <v>5</v>
      </c>
      <c r="T979" s="123">
        <f t="shared" si="77"/>
        <v>1</v>
      </c>
      <c r="U979">
        <f t="shared" si="78"/>
        <v>0</v>
      </c>
      <c r="V979">
        <f t="shared" si="79"/>
        <v>0</v>
      </c>
      <c r="W979">
        <f t="shared" si="80"/>
        <v>1</v>
      </c>
      <c r="X979">
        <f t="shared" si="81"/>
        <v>1</v>
      </c>
    </row>
    <row r="980" spans="1:24" hidden="1">
      <c r="A980" t="s">
        <v>227</v>
      </c>
      <c r="B980">
        <v>5</v>
      </c>
      <c r="C980">
        <v>1</v>
      </c>
      <c r="D980">
        <v>89.871852517985616</v>
      </c>
      <c r="E980">
        <v>98.785971223021591</v>
      </c>
      <c r="F980">
        <v>95.042715827338128</v>
      </c>
      <c r="G980">
        <v>96.3466726618705</v>
      </c>
      <c r="H980">
        <v>96.065647482014384</v>
      </c>
      <c r="I980">
        <v>0</v>
      </c>
      <c r="J980">
        <v>0</v>
      </c>
      <c r="K980">
        <v>1</v>
      </c>
      <c r="L980">
        <v>1</v>
      </c>
      <c r="M980">
        <v>1</v>
      </c>
      <c r="N980">
        <v>38</v>
      </c>
      <c r="O980">
        <v>48000</v>
      </c>
      <c r="P980">
        <v>2</v>
      </c>
      <c r="Q980">
        <v>2</v>
      </c>
      <c r="R980">
        <v>4</v>
      </c>
      <c r="S980">
        <v>5</v>
      </c>
      <c r="T980" s="123">
        <f t="shared" si="77"/>
        <v>1</v>
      </c>
      <c r="U980">
        <f t="shared" si="78"/>
        <v>0</v>
      </c>
      <c r="V980">
        <f t="shared" si="79"/>
        <v>0</v>
      </c>
      <c r="W980">
        <f t="shared" si="80"/>
        <v>1</v>
      </c>
      <c r="X980">
        <f t="shared" si="81"/>
        <v>1</v>
      </c>
    </row>
    <row r="981" spans="1:24" hidden="1">
      <c r="A981" t="s">
        <v>227</v>
      </c>
      <c r="B981">
        <v>6</v>
      </c>
      <c r="C981">
        <v>1</v>
      </c>
      <c r="D981">
        <v>0.84307553956834425</v>
      </c>
      <c r="E981">
        <v>7.9698741007194256</v>
      </c>
      <c r="F981">
        <v>4.485161870503596</v>
      </c>
      <c r="G981">
        <v>7.4190647482014374</v>
      </c>
      <c r="H981">
        <v>4.8785971223021587</v>
      </c>
      <c r="I981">
        <v>0</v>
      </c>
      <c r="J981">
        <v>0</v>
      </c>
      <c r="K981">
        <v>0</v>
      </c>
      <c r="L981">
        <v>1</v>
      </c>
      <c r="M981">
        <v>1</v>
      </c>
      <c r="N981">
        <v>38</v>
      </c>
      <c r="O981">
        <v>48000</v>
      </c>
      <c r="P981">
        <v>2</v>
      </c>
      <c r="Q981">
        <v>2</v>
      </c>
      <c r="R981">
        <v>4</v>
      </c>
      <c r="S981">
        <v>5</v>
      </c>
      <c r="T981" s="123">
        <f t="shared" si="77"/>
        <v>1</v>
      </c>
      <c r="U981">
        <f t="shared" si="78"/>
        <v>0</v>
      </c>
      <c r="V981">
        <f t="shared" si="79"/>
        <v>0</v>
      </c>
      <c r="W981">
        <f t="shared" si="80"/>
        <v>1</v>
      </c>
      <c r="X981">
        <f t="shared" si="81"/>
        <v>1</v>
      </c>
    </row>
    <row r="982" spans="1:24" hidden="1">
      <c r="A982" t="s">
        <v>227</v>
      </c>
      <c r="B982">
        <v>7</v>
      </c>
      <c r="C982">
        <v>1</v>
      </c>
      <c r="D982">
        <v>6.935701438848918</v>
      </c>
      <c r="E982">
        <v>10.31924460431655</v>
      </c>
      <c r="F982">
        <v>3.6533273381294968</v>
      </c>
      <c r="G982">
        <v>2.34937050359712</v>
      </c>
      <c r="H982">
        <v>2.1470323741007209</v>
      </c>
      <c r="I982">
        <v>0</v>
      </c>
      <c r="J982">
        <v>1</v>
      </c>
      <c r="K982">
        <v>0</v>
      </c>
      <c r="L982">
        <v>1</v>
      </c>
      <c r="M982">
        <v>1</v>
      </c>
      <c r="N982">
        <v>38</v>
      </c>
      <c r="O982">
        <v>48000</v>
      </c>
      <c r="P982">
        <v>2</v>
      </c>
      <c r="Q982">
        <v>2</v>
      </c>
      <c r="R982">
        <v>4</v>
      </c>
      <c r="S982">
        <v>5</v>
      </c>
      <c r="T982" s="123">
        <f t="shared" si="77"/>
        <v>1</v>
      </c>
      <c r="U982">
        <f t="shared" si="78"/>
        <v>0</v>
      </c>
      <c r="V982">
        <f t="shared" si="79"/>
        <v>0</v>
      </c>
      <c r="W982">
        <f t="shared" si="80"/>
        <v>1</v>
      </c>
      <c r="X982">
        <f t="shared" si="81"/>
        <v>1</v>
      </c>
    </row>
    <row r="983" spans="1:24" hidden="1">
      <c r="A983" t="s">
        <v>228</v>
      </c>
      <c r="B983">
        <v>1</v>
      </c>
      <c r="C983">
        <v>1</v>
      </c>
      <c r="D983">
        <v>99.884490990297238</v>
      </c>
      <c r="E983">
        <v>96.018789465578308</v>
      </c>
      <c r="F983">
        <v>96.681041121207457</v>
      </c>
      <c r="G983">
        <v>99.614969967657487</v>
      </c>
      <c r="H983">
        <v>4.4740489758201161</v>
      </c>
      <c r="I983">
        <v>1</v>
      </c>
      <c r="J983">
        <v>0</v>
      </c>
      <c r="K983">
        <v>1</v>
      </c>
      <c r="L983">
        <v>1</v>
      </c>
      <c r="M983">
        <v>1</v>
      </c>
      <c r="N983">
        <v>62</v>
      </c>
      <c r="O983">
        <v>70000</v>
      </c>
      <c r="P983">
        <v>1</v>
      </c>
      <c r="Q983">
        <v>1</v>
      </c>
      <c r="R983">
        <v>3</v>
      </c>
      <c r="S983">
        <v>4</v>
      </c>
      <c r="T983" s="123">
        <f t="shared" si="77"/>
        <v>1</v>
      </c>
      <c r="U983">
        <f t="shared" si="78"/>
        <v>0</v>
      </c>
      <c r="V983">
        <f t="shared" si="79"/>
        <v>0</v>
      </c>
      <c r="W983">
        <f t="shared" si="80"/>
        <v>0</v>
      </c>
      <c r="X983">
        <f t="shared" si="81"/>
        <v>1</v>
      </c>
    </row>
    <row r="984" spans="1:24">
      <c r="A984" t="s">
        <v>228</v>
      </c>
      <c r="B984">
        <v>2</v>
      </c>
      <c r="C984">
        <v>1</v>
      </c>
      <c r="D984">
        <v>50</v>
      </c>
      <c r="E984">
        <v>93.879968412740197</v>
      </c>
      <c r="F984">
        <v>73.94051066070017</v>
      </c>
      <c r="G984">
        <v>39.918399578836542</v>
      </c>
      <c r="H984">
        <v>50</v>
      </c>
      <c r="I984">
        <v>0</v>
      </c>
      <c r="J984">
        <v>0</v>
      </c>
      <c r="K984">
        <v>1</v>
      </c>
      <c r="L984">
        <v>1</v>
      </c>
      <c r="M984">
        <v>1</v>
      </c>
      <c r="N984">
        <v>62</v>
      </c>
      <c r="O984">
        <v>70000</v>
      </c>
      <c r="P984">
        <v>1</v>
      </c>
      <c r="Q984">
        <v>1</v>
      </c>
      <c r="R984">
        <v>3</v>
      </c>
      <c r="S984">
        <v>4</v>
      </c>
      <c r="T984" s="123">
        <f t="shared" si="77"/>
        <v>0</v>
      </c>
      <c r="U984">
        <f t="shared" si="78"/>
        <v>0</v>
      </c>
      <c r="V984">
        <f t="shared" si="79"/>
        <v>0</v>
      </c>
      <c r="W984">
        <f t="shared" si="80"/>
        <v>0</v>
      </c>
      <c r="X984">
        <f t="shared" si="81"/>
        <v>1</v>
      </c>
    </row>
    <row r="985" spans="1:24">
      <c r="A985" t="s">
        <v>228</v>
      </c>
      <c r="B985">
        <v>3</v>
      </c>
      <c r="C985">
        <v>1</v>
      </c>
      <c r="D985">
        <v>12.70071071334562</v>
      </c>
      <c r="E985">
        <v>3.2640168465385639</v>
      </c>
      <c r="F985">
        <v>50</v>
      </c>
      <c r="G985">
        <v>0</v>
      </c>
      <c r="H985">
        <v>0.40800210581731777</v>
      </c>
      <c r="I985">
        <v>0</v>
      </c>
      <c r="J985">
        <v>0</v>
      </c>
      <c r="K985">
        <v>0</v>
      </c>
      <c r="L985">
        <v>1</v>
      </c>
      <c r="M985">
        <v>1</v>
      </c>
      <c r="N985">
        <v>62</v>
      </c>
      <c r="O985">
        <v>70000</v>
      </c>
      <c r="P985">
        <v>1</v>
      </c>
      <c r="Q985">
        <v>1</v>
      </c>
      <c r="R985">
        <v>3</v>
      </c>
      <c r="S985">
        <v>4</v>
      </c>
      <c r="T985" s="123">
        <f t="shared" si="77"/>
        <v>0</v>
      </c>
      <c r="U985">
        <f t="shared" si="78"/>
        <v>0</v>
      </c>
      <c r="V985">
        <f t="shared" si="79"/>
        <v>0</v>
      </c>
      <c r="W985">
        <f t="shared" si="80"/>
        <v>0</v>
      </c>
      <c r="X985">
        <f t="shared" si="81"/>
        <v>1</v>
      </c>
    </row>
    <row r="986" spans="1:24">
      <c r="A986" t="s">
        <v>228</v>
      </c>
      <c r="B986">
        <v>4</v>
      </c>
      <c r="C986">
        <v>1</v>
      </c>
      <c r="D986">
        <v>15.95156620163201</v>
      </c>
      <c r="E986">
        <v>23.53250855488286</v>
      </c>
      <c r="F986">
        <v>11.37141352987628</v>
      </c>
      <c r="G986">
        <v>89.273493024480132</v>
      </c>
      <c r="H986">
        <v>2.6059489339299802</v>
      </c>
      <c r="I986">
        <v>0</v>
      </c>
      <c r="J986">
        <v>0</v>
      </c>
      <c r="K986">
        <v>0</v>
      </c>
      <c r="L986">
        <v>1</v>
      </c>
      <c r="M986">
        <v>1</v>
      </c>
      <c r="N986">
        <v>62</v>
      </c>
      <c r="O986">
        <v>70000</v>
      </c>
      <c r="P986">
        <v>1</v>
      </c>
      <c r="Q986">
        <v>1</v>
      </c>
      <c r="R986">
        <v>3</v>
      </c>
      <c r="S986">
        <v>4</v>
      </c>
      <c r="T986" s="123">
        <f t="shared" si="77"/>
        <v>0</v>
      </c>
      <c r="U986">
        <f t="shared" si="78"/>
        <v>0</v>
      </c>
      <c r="V986">
        <f t="shared" si="79"/>
        <v>0</v>
      </c>
      <c r="W986">
        <f t="shared" si="80"/>
        <v>0</v>
      </c>
      <c r="X986">
        <f t="shared" si="81"/>
        <v>1</v>
      </c>
    </row>
    <row r="987" spans="1:24">
      <c r="A987" t="s">
        <v>228</v>
      </c>
      <c r="B987">
        <v>5</v>
      </c>
      <c r="C987">
        <v>1</v>
      </c>
      <c r="D987">
        <v>6.1200315872598052</v>
      </c>
      <c r="E987">
        <v>16.24111608317979</v>
      </c>
      <c r="F987">
        <v>4.6064753882600673</v>
      </c>
      <c r="G987">
        <v>71.689918399578829</v>
      </c>
      <c r="H987">
        <v>98.065280336930769</v>
      </c>
      <c r="I987">
        <v>0</v>
      </c>
      <c r="J987">
        <v>0</v>
      </c>
      <c r="K987">
        <v>0</v>
      </c>
      <c r="L987">
        <v>1</v>
      </c>
      <c r="M987">
        <v>1</v>
      </c>
      <c r="N987">
        <v>62</v>
      </c>
      <c r="O987">
        <v>70000</v>
      </c>
      <c r="P987">
        <v>1</v>
      </c>
      <c r="Q987">
        <v>1</v>
      </c>
      <c r="R987">
        <v>3</v>
      </c>
      <c r="S987">
        <v>4</v>
      </c>
      <c r="T987" s="123">
        <f t="shared" si="77"/>
        <v>0</v>
      </c>
      <c r="U987">
        <f t="shared" si="78"/>
        <v>0</v>
      </c>
      <c r="V987">
        <f t="shared" si="79"/>
        <v>0</v>
      </c>
      <c r="W987">
        <f t="shared" si="80"/>
        <v>0</v>
      </c>
      <c r="X987">
        <f t="shared" si="81"/>
        <v>1</v>
      </c>
    </row>
    <row r="988" spans="1:24">
      <c r="A988" t="s">
        <v>228</v>
      </c>
      <c r="B988">
        <v>6</v>
      </c>
      <c r="C988">
        <v>1</v>
      </c>
      <c r="D988">
        <v>17.09660436957094</v>
      </c>
      <c r="E988">
        <v>2.8823374572255869</v>
      </c>
      <c r="F988">
        <v>19.49197157146617</v>
      </c>
      <c r="G988">
        <v>93.261384574888126</v>
      </c>
      <c r="H988">
        <v>83.772045275072387</v>
      </c>
      <c r="I988">
        <v>0</v>
      </c>
      <c r="J988">
        <v>0</v>
      </c>
      <c r="K988">
        <v>0</v>
      </c>
      <c r="L988">
        <v>1</v>
      </c>
      <c r="M988">
        <v>1</v>
      </c>
      <c r="N988">
        <v>62</v>
      </c>
      <c r="O988">
        <v>70000</v>
      </c>
      <c r="P988">
        <v>1</v>
      </c>
      <c r="Q988">
        <v>1</v>
      </c>
      <c r="R988">
        <v>3</v>
      </c>
      <c r="S988">
        <v>4</v>
      </c>
      <c r="T988" s="123">
        <f t="shared" si="77"/>
        <v>0</v>
      </c>
      <c r="U988">
        <f t="shared" si="78"/>
        <v>0</v>
      </c>
      <c r="V988">
        <f t="shared" si="79"/>
        <v>0</v>
      </c>
      <c r="W988">
        <f t="shared" si="80"/>
        <v>0</v>
      </c>
      <c r="X988">
        <f t="shared" si="81"/>
        <v>1</v>
      </c>
    </row>
    <row r="989" spans="1:24">
      <c r="A989" t="s">
        <v>228</v>
      </c>
      <c r="B989">
        <v>7</v>
      </c>
      <c r="C989">
        <v>1</v>
      </c>
      <c r="D989">
        <v>0.19742037378257529</v>
      </c>
      <c r="E989">
        <v>28.731245064490661</v>
      </c>
      <c r="F989">
        <v>6.5411950513292956</v>
      </c>
      <c r="G989">
        <v>70.597525664648586</v>
      </c>
      <c r="H989">
        <v>99.802579626217423</v>
      </c>
      <c r="I989">
        <v>0</v>
      </c>
      <c r="J989">
        <v>1</v>
      </c>
      <c r="K989">
        <v>0</v>
      </c>
      <c r="L989">
        <v>1</v>
      </c>
      <c r="M989">
        <v>1</v>
      </c>
      <c r="N989">
        <v>62</v>
      </c>
      <c r="O989">
        <v>70000</v>
      </c>
      <c r="P989">
        <v>1</v>
      </c>
      <c r="Q989">
        <v>1</v>
      </c>
      <c r="R989">
        <v>3</v>
      </c>
      <c r="S989">
        <v>4</v>
      </c>
      <c r="T989" s="123">
        <f t="shared" si="77"/>
        <v>0</v>
      </c>
      <c r="U989">
        <f t="shared" si="78"/>
        <v>0</v>
      </c>
      <c r="V989">
        <f t="shared" si="79"/>
        <v>0</v>
      </c>
      <c r="W989">
        <f t="shared" si="80"/>
        <v>0</v>
      </c>
      <c r="X989">
        <f t="shared" si="81"/>
        <v>1</v>
      </c>
    </row>
    <row r="990" spans="1:24" hidden="1">
      <c r="A990" t="s">
        <v>229</v>
      </c>
      <c r="B990">
        <v>1</v>
      </c>
      <c r="C990">
        <v>1</v>
      </c>
      <c r="D990">
        <v>8.4344129048393164</v>
      </c>
      <c r="E990">
        <v>90.627735400775293</v>
      </c>
      <c r="F990">
        <v>86.776291109165939</v>
      </c>
      <c r="G990">
        <v>97.18019257221458</v>
      </c>
      <c r="H990">
        <v>5.1956983868950868</v>
      </c>
      <c r="I990">
        <v>1</v>
      </c>
      <c r="J990">
        <v>0</v>
      </c>
      <c r="K990">
        <v>0</v>
      </c>
      <c r="L990">
        <v>1</v>
      </c>
      <c r="M990">
        <v>1</v>
      </c>
      <c r="N990">
        <v>24</v>
      </c>
      <c r="O990">
        <v>-99</v>
      </c>
      <c r="P990">
        <v>1</v>
      </c>
      <c r="Q990">
        <v>1</v>
      </c>
      <c r="R990">
        <v>3</v>
      </c>
      <c r="S990">
        <v>1</v>
      </c>
      <c r="T990" s="123">
        <f t="shared" si="77"/>
        <v>1</v>
      </c>
      <c r="U990">
        <f t="shared" si="78"/>
        <v>0</v>
      </c>
      <c r="V990">
        <f t="shared" si="79"/>
        <v>0</v>
      </c>
      <c r="W990">
        <f t="shared" si="80"/>
        <v>0</v>
      </c>
      <c r="X990">
        <f t="shared" si="81"/>
        <v>0</v>
      </c>
    </row>
    <row r="991" spans="1:24">
      <c r="A991" t="s">
        <v>229</v>
      </c>
      <c r="B991">
        <v>2</v>
      </c>
      <c r="C991">
        <v>1</v>
      </c>
      <c r="D991">
        <v>2.1945729648618242</v>
      </c>
      <c r="E991">
        <v>0</v>
      </c>
      <c r="F991">
        <v>14.99937476553708</v>
      </c>
      <c r="G991">
        <v>99.381017881705631</v>
      </c>
      <c r="H991">
        <v>20.726522445917219</v>
      </c>
      <c r="I991">
        <v>0</v>
      </c>
      <c r="J991">
        <v>0</v>
      </c>
      <c r="K991">
        <v>0</v>
      </c>
      <c r="L991">
        <v>1</v>
      </c>
      <c r="M991">
        <v>1</v>
      </c>
      <c r="N991">
        <v>24</v>
      </c>
      <c r="O991">
        <v>-99</v>
      </c>
      <c r="P991">
        <v>1</v>
      </c>
      <c r="Q991">
        <v>1</v>
      </c>
      <c r="R991">
        <v>3</v>
      </c>
      <c r="S991">
        <v>1</v>
      </c>
      <c r="T991" s="123">
        <f t="shared" si="77"/>
        <v>0</v>
      </c>
      <c r="U991">
        <f t="shared" si="78"/>
        <v>0</v>
      </c>
      <c r="V991">
        <f t="shared" si="79"/>
        <v>0</v>
      </c>
      <c r="W991">
        <f t="shared" si="80"/>
        <v>0</v>
      </c>
      <c r="X991">
        <f t="shared" si="81"/>
        <v>0</v>
      </c>
    </row>
    <row r="992" spans="1:24" hidden="1">
      <c r="A992" t="s">
        <v>229</v>
      </c>
      <c r="B992">
        <v>3</v>
      </c>
      <c r="C992">
        <v>1</v>
      </c>
      <c r="D992">
        <v>6.4774290358884601</v>
      </c>
      <c r="E992">
        <v>5.2207077654120306</v>
      </c>
      <c r="F992">
        <v>5.2207077654120306</v>
      </c>
      <c r="G992">
        <v>1.756908840815308</v>
      </c>
      <c r="H992">
        <v>3.645116918844566</v>
      </c>
      <c r="I992">
        <v>0</v>
      </c>
      <c r="J992">
        <v>0</v>
      </c>
      <c r="K992">
        <v>0</v>
      </c>
      <c r="L992">
        <v>1</v>
      </c>
      <c r="M992">
        <v>1</v>
      </c>
      <c r="N992">
        <v>24</v>
      </c>
      <c r="O992">
        <v>-99</v>
      </c>
      <c r="P992">
        <v>1</v>
      </c>
      <c r="Q992">
        <v>1</v>
      </c>
      <c r="R992">
        <v>3</v>
      </c>
      <c r="S992">
        <v>1</v>
      </c>
      <c r="T992" s="123">
        <f t="shared" si="77"/>
        <v>1</v>
      </c>
      <c r="U992">
        <f t="shared" si="78"/>
        <v>0</v>
      </c>
      <c r="V992">
        <f t="shared" si="79"/>
        <v>0</v>
      </c>
      <c r="W992">
        <f t="shared" si="80"/>
        <v>0</v>
      </c>
      <c r="X992">
        <f t="shared" si="81"/>
        <v>0</v>
      </c>
    </row>
    <row r="993" spans="1:24">
      <c r="A993" t="s">
        <v>229</v>
      </c>
      <c r="B993">
        <v>4</v>
      </c>
      <c r="C993">
        <v>1</v>
      </c>
      <c r="D993">
        <v>3.432537201450542</v>
      </c>
      <c r="E993">
        <v>5.9397273977741634</v>
      </c>
      <c r="F993">
        <v>2.1883206202325871</v>
      </c>
      <c r="G993">
        <v>89.052144554207828</v>
      </c>
      <c r="H993">
        <v>97.599099662373391</v>
      </c>
      <c r="I993">
        <v>0</v>
      </c>
      <c r="J993">
        <v>0</v>
      </c>
      <c r="K993">
        <v>0</v>
      </c>
      <c r="L993">
        <v>1</v>
      </c>
      <c r="M993">
        <v>1</v>
      </c>
      <c r="N993">
        <v>24</v>
      </c>
      <c r="O993">
        <v>-99</v>
      </c>
      <c r="P993">
        <v>1</v>
      </c>
      <c r="Q993">
        <v>1</v>
      </c>
      <c r="R993">
        <v>3</v>
      </c>
      <c r="S993">
        <v>1</v>
      </c>
      <c r="T993" s="123">
        <f t="shared" si="77"/>
        <v>0</v>
      </c>
      <c r="U993">
        <f t="shared" si="78"/>
        <v>0</v>
      </c>
      <c r="V993">
        <f t="shared" si="79"/>
        <v>0</v>
      </c>
      <c r="W993">
        <f t="shared" si="80"/>
        <v>0</v>
      </c>
      <c r="X993">
        <f t="shared" si="81"/>
        <v>0</v>
      </c>
    </row>
    <row r="994" spans="1:24">
      <c r="A994" t="s">
        <v>229</v>
      </c>
      <c r="B994">
        <v>5</v>
      </c>
      <c r="C994">
        <v>1</v>
      </c>
      <c r="D994">
        <v>3.2137051394272871</v>
      </c>
      <c r="E994">
        <v>0.3063648868325608</v>
      </c>
      <c r="F994">
        <v>7.108915843441288</v>
      </c>
      <c r="G994">
        <v>97.424034012754788</v>
      </c>
      <c r="H994">
        <v>6.0522696011004129</v>
      </c>
      <c r="I994">
        <v>0</v>
      </c>
      <c r="J994">
        <v>0</v>
      </c>
      <c r="K994">
        <v>0</v>
      </c>
      <c r="L994">
        <v>1</v>
      </c>
      <c r="M994">
        <v>1</v>
      </c>
      <c r="N994">
        <v>24</v>
      </c>
      <c r="O994">
        <v>-99</v>
      </c>
      <c r="P994">
        <v>1</v>
      </c>
      <c r="Q994">
        <v>1</v>
      </c>
      <c r="R994">
        <v>3</v>
      </c>
      <c r="S994">
        <v>1</v>
      </c>
      <c r="T994" s="123">
        <f t="shared" si="77"/>
        <v>0</v>
      </c>
      <c r="U994">
        <f t="shared" si="78"/>
        <v>0</v>
      </c>
      <c r="V994">
        <f t="shared" si="79"/>
        <v>0</v>
      </c>
      <c r="W994">
        <f t="shared" si="80"/>
        <v>0</v>
      </c>
      <c r="X994">
        <f t="shared" si="81"/>
        <v>0</v>
      </c>
    </row>
    <row r="995" spans="1:24" hidden="1">
      <c r="A995" t="s">
        <v>229</v>
      </c>
      <c r="B995">
        <v>6</v>
      </c>
      <c r="C995">
        <v>1</v>
      </c>
      <c r="D995">
        <v>0.83156183568838249</v>
      </c>
      <c r="E995">
        <v>91.040390146304858</v>
      </c>
      <c r="F995">
        <v>95.529573590096277</v>
      </c>
      <c r="G995">
        <v>91.446792547205206</v>
      </c>
      <c r="H995">
        <v>2.0882831061648122</v>
      </c>
      <c r="I995">
        <v>0</v>
      </c>
      <c r="J995">
        <v>0</v>
      </c>
      <c r="K995">
        <v>0</v>
      </c>
      <c r="L995">
        <v>1</v>
      </c>
      <c r="M995">
        <v>1</v>
      </c>
      <c r="N995">
        <v>24</v>
      </c>
      <c r="O995">
        <v>-99</v>
      </c>
      <c r="P995">
        <v>1</v>
      </c>
      <c r="Q995">
        <v>1</v>
      </c>
      <c r="R995">
        <v>3</v>
      </c>
      <c r="S995">
        <v>1</v>
      </c>
      <c r="T995" s="123">
        <f t="shared" si="77"/>
        <v>1</v>
      </c>
      <c r="U995">
        <f t="shared" si="78"/>
        <v>0</v>
      </c>
      <c r="V995">
        <f t="shared" si="79"/>
        <v>0</v>
      </c>
      <c r="W995">
        <f t="shared" si="80"/>
        <v>0</v>
      </c>
      <c r="X995">
        <f t="shared" si="81"/>
        <v>0</v>
      </c>
    </row>
    <row r="996" spans="1:24">
      <c r="A996" t="s">
        <v>229</v>
      </c>
      <c r="B996">
        <v>7</v>
      </c>
      <c r="C996">
        <v>1</v>
      </c>
      <c r="D996">
        <v>12.378048780487809</v>
      </c>
      <c r="E996">
        <v>50</v>
      </c>
      <c r="F996">
        <v>85.365853658536579</v>
      </c>
      <c r="G996">
        <v>92.707317073170728</v>
      </c>
      <c r="H996">
        <v>3.0731707317073198</v>
      </c>
      <c r="I996">
        <v>0</v>
      </c>
      <c r="J996">
        <v>1</v>
      </c>
      <c r="K996">
        <v>0</v>
      </c>
      <c r="L996">
        <v>1</v>
      </c>
      <c r="M996">
        <v>1</v>
      </c>
      <c r="N996">
        <v>24</v>
      </c>
      <c r="O996">
        <v>-99</v>
      </c>
      <c r="P996">
        <v>1</v>
      </c>
      <c r="Q996">
        <v>1</v>
      </c>
      <c r="R996">
        <v>3</v>
      </c>
      <c r="S996">
        <v>1</v>
      </c>
      <c r="T996" s="123">
        <f t="shared" si="77"/>
        <v>0</v>
      </c>
      <c r="U996">
        <f t="shared" si="78"/>
        <v>0</v>
      </c>
      <c r="V996">
        <f t="shared" si="79"/>
        <v>0</v>
      </c>
      <c r="W996">
        <f t="shared" si="80"/>
        <v>0</v>
      </c>
      <c r="X996">
        <f t="shared" si="81"/>
        <v>0</v>
      </c>
    </row>
    <row r="997" spans="1:24">
      <c r="A997" t="s">
        <v>230</v>
      </c>
      <c r="B997">
        <v>1</v>
      </c>
      <c r="C997">
        <v>1</v>
      </c>
      <c r="D997">
        <v>50</v>
      </c>
      <c r="E997">
        <v>50</v>
      </c>
      <c r="F997">
        <v>99.358638743455501</v>
      </c>
      <c r="G997">
        <v>41.099476439790578</v>
      </c>
      <c r="H997">
        <v>10.641361256544499</v>
      </c>
      <c r="I997">
        <v>1</v>
      </c>
      <c r="J997">
        <v>0</v>
      </c>
      <c r="K997">
        <v>1</v>
      </c>
      <c r="L997">
        <v>1</v>
      </c>
      <c r="M997">
        <v>0</v>
      </c>
      <c r="N997">
        <v>45</v>
      </c>
      <c r="O997">
        <v>80000</v>
      </c>
      <c r="P997">
        <v>5</v>
      </c>
      <c r="Q997">
        <v>3</v>
      </c>
      <c r="R997">
        <v>4</v>
      </c>
      <c r="S997">
        <v>3</v>
      </c>
      <c r="T997" s="123">
        <f t="shared" si="77"/>
        <v>0</v>
      </c>
      <c r="U997">
        <f t="shared" si="78"/>
        <v>1</v>
      </c>
      <c r="V997">
        <f t="shared" si="79"/>
        <v>0</v>
      </c>
      <c r="W997">
        <f t="shared" si="80"/>
        <v>1</v>
      </c>
      <c r="X997">
        <f t="shared" si="81"/>
        <v>0</v>
      </c>
    </row>
    <row r="998" spans="1:24">
      <c r="A998" t="s">
        <v>230</v>
      </c>
      <c r="B998">
        <v>2</v>
      </c>
      <c r="C998">
        <v>1</v>
      </c>
      <c r="D998">
        <v>50</v>
      </c>
      <c r="E998">
        <v>50</v>
      </c>
      <c r="F998">
        <v>6.9371727748691114</v>
      </c>
      <c r="G998">
        <v>77.827225130890056</v>
      </c>
      <c r="H998">
        <v>95.876963350785331</v>
      </c>
      <c r="I998">
        <v>0</v>
      </c>
      <c r="J998">
        <v>0</v>
      </c>
      <c r="K998">
        <v>0</v>
      </c>
      <c r="L998">
        <v>1</v>
      </c>
      <c r="M998">
        <v>0</v>
      </c>
      <c r="N998">
        <v>45</v>
      </c>
      <c r="O998">
        <v>80000</v>
      </c>
      <c r="P998">
        <v>5</v>
      </c>
      <c r="Q998">
        <v>3</v>
      </c>
      <c r="R998">
        <v>4</v>
      </c>
      <c r="S998">
        <v>3</v>
      </c>
      <c r="T998" s="123">
        <f t="shared" si="77"/>
        <v>0</v>
      </c>
      <c r="U998">
        <f t="shared" si="78"/>
        <v>1</v>
      </c>
      <c r="V998">
        <f t="shared" si="79"/>
        <v>0</v>
      </c>
      <c r="W998">
        <f t="shared" si="80"/>
        <v>1</v>
      </c>
      <c r="X998">
        <f t="shared" si="81"/>
        <v>0</v>
      </c>
    </row>
    <row r="999" spans="1:24">
      <c r="A999" t="s">
        <v>230</v>
      </c>
      <c r="B999">
        <v>3</v>
      </c>
      <c r="C999">
        <v>1</v>
      </c>
      <c r="D999">
        <v>87.814136125654457</v>
      </c>
      <c r="E999">
        <v>100</v>
      </c>
      <c r="F999">
        <v>99.3848167539267</v>
      </c>
      <c r="G999">
        <v>50</v>
      </c>
      <c r="H999">
        <v>5.6675392670157088</v>
      </c>
      <c r="I999">
        <v>0</v>
      </c>
      <c r="J999">
        <v>0</v>
      </c>
      <c r="K999">
        <v>1</v>
      </c>
      <c r="L999">
        <v>1</v>
      </c>
      <c r="M999">
        <v>0</v>
      </c>
      <c r="N999">
        <v>45</v>
      </c>
      <c r="O999">
        <v>80000</v>
      </c>
      <c r="P999">
        <v>5</v>
      </c>
      <c r="Q999">
        <v>3</v>
      </c>
      <c r="R999">
        <v>4</v>
      </c>
      <c r="S999">
        <v>3</v>
      </c>
      <c r="T999" s="123">
        <f t="shared" si="77"/>
        <v>0</v>
      </c>
      <c r="U999">
        <f t="shared" si="78"/>
        <v>1</v>
      </c>
      <c r="V999">
        <f t="shared" si="79"/>
        <v>0</v>
      </c>
      <c r="W999">
        <f t="shared" si="80"/>
        <v>1</v>
      </c>
      <c r="X999">
        <f t="shared" si="81"/>
        <v>0</v>
      </c>
    </row>
    <row r="1000" spans="1:24">
      <c r="A1000" t="s">
        <v>230</v>
      </c>
      <c r="B1000">
        <v>4</v>
      </c>
      <c r="C1000">
        <v>1</v>
      </c>
      <c r="D1000">
        <v>50</v>
      </c>
      <c r="E1000">
        <v>95.222513089005233</v>
      </c>
      <c r="F1000">
        <v>76.950261780104711</v>
      </c>
      <c r="G1000">
        <v>60.654450261780113</v>
      </c>
      <c r="H1000">
        <v>50</v>
      </c>
      <c r="I1000">
        <v>0</v>
      </c>
      <c r="J1000">
        <v>0</v>
      </c>
      <c r="K1000">
        <v>1</v>
      </c>
      <c r="L1000">
        <v>1</v>
      </c>
      <c r="M1000">
        <v>0</v>
      </c>
      <c r="N1000">
        <v>45</v>
      </c>
      <c r="O1000">
        <v>80000</v>
      </c>
      <c r="P1000">
        <v>5</v>
      </c>
      <c r="Q1000">
        <v>3</v>
      </c>
      <c r="R1000">
        <v>4</v>
      </c>
      <c r="S1000">
        <v>3</v>
      </c>
      <c r="T1000" s="123">
        <f t="shared" si="77"/>
        <v>0</v>
      </c>
      <c r="U1000">
        <f t="shared" si="78"/>
        <v>1</v>
      </c>
      <c r="V1000">
        <f t="shared" si="79"/>
        <v>0</v>
      </c>
      <c r="W1000">
        <f t="shared" si="80"/>
        <v>1</v>
      </c>
      <c r="X1000">
        <f t="shared" si="81"/>
        <v>0</v>
      </c>
    </row>
    <row r="1001" spans="1:24">
      <c r="A1001" t="s">
        <v>230</v>
      </c>
      <c r="B1001">
        <v>5</v>
      </c>
      <c r="C1001">
        <v>1</v>
      </c>
      <c r="D1001">
        <v>22.408376963350779</v>
      </c>
      <c r="E1001">
        <v>22.408376963350779</v>
      </c>
      <c r="F1001">
        <v>4.7643979057591599</v>
      </c>
      <c r="G1001">
        <v>69.123036649214669</v>
      </c>
      <c r="H1001">
        <v>73.900523560209422</v>
      </c>
      <c r="I1001">
        <v>0</v>
      </c>
      <c r="J1001">
        <v>0</v>
      </c>
      <c r="K1001">
        <v>0</v>
      </c>
      <c r="L1001">
        <v>1</v>
      </c>
      <c r="M1001">
        <v>0</v>
      </c>
      <c r="N1001">
        <v>45</v>
      </c>
      <c r="O1001">
        <v>80000</v>
      </c>
      <c r="P1001">
        <v>5</v>
      </c>
      <c r="Q1001">
        <v>3</v>
      </c>
      <c r="R1001">
        <v>4</v>
      </c>
      <c r="S1001">
        <v>3</v>
      </c>
      <c r="T1001" s="123">
        <f t="shared" si="77"/>
        <v>0</v>
      </c>
      <c r="U1001">
        <f t="shared" si="78"/>
        <v>1</v>
      </c>
      <c r="V1001">
        <f t="shared" si="79"/>
        <v>0</v>
      </c>
      <c r="W1001">
        <f t="shared" si="80"/>
        <v>1</v>
      </c>
      <c r="X1001">
        <f t="shared" si="81"/>
        <v>0</v>
      </c>
    </row>
    <row r="1002" spans="1:24" hidden="1">
      <c r="A1002" t="s">
        <v>230</v>
      </c>
      <c r="B1002">
        <v>6</v>
      </c>
      <c r="C1002">
        <v>1</v>
      </c>
      <c r="D1002">
        <v>50</v>
      </c>
      <c r="E1002">
        <v>50</v>
      </c>
      <c r="F1002">
        <v>50</v>
      </c>
      <c r="G1002">
        <v>50</v>
      </c>
      <c r="H1002">
        <v>50</v>
      </c>
      <c r="I1002">
        <v>0</v>
      </c>
      <c r="J1002">
        <v>0</v>
      </c>
      <c r="K1002">
        <v>0</v>
      </c>
      <c r="L1002">
        <v>1</v>
      </c>
      <c r="M1002">
        <v>0</v>
      </c>
      <c r="N1002">
        <v>45</v>
      </c>
      <c r="O1002">
        <v>80000</v>
      </c>
      <c r="P1002">
        <v>5</v>
      </c>
      <c r="Q1002">
        <v>3</v>
      </c>
      <c r="R1002">
        <v>4</v>
      </c>
      <c r="S1002">
        <v>3</v>
      </c>
      <c r="T1002" s="123">
        <f t="shared" si="77"/>
        <v>1</v>
      </c>
      <c r="U1002">
        <f t="shared" si="78"/>
        <v>1</v>
      </c>
      <c r="V1002">
        <f t="shared" si="79"/>
        <v>0</v>
      </c>
      <c r="W1002">
        <f t="shared" si="80"/>
        <v>1</v>
      </c>
      <c r="X1002">
        <f t="shared" si="81"/>
        <v>0</v>
      </c>
    </row>
    <row r="1003" spans="1:24">
      <c r="A1003" t="s">
        <v>230</v>
      </c>
      <c r="B1003">
        <v>7</v>
      </c>
      <c r="C1003">
        <v>1</v>
      </c>
      <c r="D1003">
        <v>4.1492146596858621</v>
      </c>
      <c r="E1003">
        <v>9.3455497382198942</v>
      </c>
      <c r="F1003">
        <v>13.91361256544503</v>
      </c>
      <c r="G1003">
        <v>81.099476439790578</v>
      </c>
      <c r="H1003">
        <v>50</v>
      </c>
      <c r="I1003">
        <v>0</v>
      </c>
      <c r="J1003">
        <v>1</v>
      </c>
      <c r="K1003">
        <v>0</v>
      </c>
      <c r="L1003">
        <v>1</v>
      </c>
      <c r="M1003">
        <v>0</v>
      </c>
      <c r="N1003">
        <v>45</v>
      </c>
      <c r="O1003">
        <v>80000</v>
      </c>
      <c r="P1003">
        <v>5</v>
      </c>
      <c r="Q1003">
        <v>3</v>
      </c>
      <c r="R1003">
        <v>4</v>
      </c>
      <c r="S1003">
        <v>3</v>
      </c>
      <c r="T1003" s="123">
        <f t="shared" si="77"/>
        <v>0</v>
      </c>
      <c r="U1003">
        <f t="shared" si="78"/>
        <v>1</v>
      </c>
      <c r="V1003">
        <f t="shared" si="79"/>
        <v>0</v>
      </c>
      <c r="W1003">
        <f t="shared" si="80"/>
        <v>1</v>
      </c>
      <c r="X1003">
        <f t="shared" si="81"/>
        <v>0</v>
      </c>
    </row>
    <row r="1004" spans="1:24">
      <c r="A1004" t="s">
        <v>231</v>
      </c>
      <c r="B1004">
        <v>1</v>
      </c>
      <c r="C1004">
        <v>1</v>
      </c>
      <c r="D1004">
        <v>50</v>
      </c>
      <c r="E1004">
        <v>92.046770085667973</v>
      </c>
      <c r="F1004">
        <v>94.732576985413289</v>
      </c>
      <c r="G1004">
        <v>6.019912016670526</v>
      </c>
      <c r="H1004">
        <v>8.1384579763834228</v>
      </c>
      <c r="I1004">
        <v>1</v>
      </c>
      <c r="J1004">
        <v>0</v>
      </c>
      <c r="K1004">
        <v>1</v>
      </c>
      <c r="L1004">
        <v>1</v>
      </c>
      <c r="M1004">
        <v>1</v>
      </c>
      <c r="N1004">
        <v>32</v>
      </c>
      <c r="O1004">
        <v>75000</v>
      </c>
      <c r="P1004">
        <v>5</v>
      </c>
      <c r="Q1004">
        <v>3</v>
      </c>
      <c r="R1004">
        <v>4</v>
      </c>
      <c r="S1004">
        <v>5</v>
      </c>
      <c r="T1004" s="123">
        <f t="shared" si="77"/>
        <v>0</v>
      </c>
      <c r="U1004">
        <f t="shared" si="78"/>
        <v>1</v>
      </c>
      <c r="V1004">
        <f t="shared" si="79"/>
        <v>0</v>
      </c>
      <c r="W1004">
        <f t="shared" si="80"/>
        <v>1</v>
      </c>
      <c r="X1004">
        <f t="shared" si="81"/>
        <v>1</v>
      </c>
    </row>
    <row r="1005" spans="1:24">
      <c r="A1005" t="s">
        <v>231</v>
      </c>
      <c r="B1005">
        <v>2</v>
      </c>
      <c r="C1005">
        <v>1</v>
      </c>
      <c r="D1005">
        <v>97.45311414679324</v>
      </c>
      <c r="E1005">
        <v>95.612410280157448</v>
      </c>
      <c r="F1005">
        <v>97.256309330863616</v>
      </c>
      <c r="G1005">
        <v>6.7608242648761312</v>
      </c>
      <c r="H1005">
        <v>4.3297059504514959</v>
      </c>
      <c r="I1005">
        <v>0</v>
      </c>
      <c r="J1005">
        <v>0</v>
      </c>
      <c r="K1005">
        <v>1</v>
      </c>
      <c r="L1005">
        <v>1</v>
      </c>
      <c r="M1005">
        <v>1</v>
      </c>
      <c r="N1005">
        <v>32</v>
      </c>
      <c r="O1005">
        <v>75000</v>
      </c>
      <c r="P1005">
        <v>5</v>
      </c>
      <c r="Q1005">
        <v>3</v>
      </c>
      <c r="R1005">
        <v>4</v>
      </c>
      <c r="S1005">
        <v>5</v>
      </c>
      <c r="T1005" s="123">
        <f t="shared" si="77"/>
        <v>0</v>
      </c>
      <c r="U1005">
        <f t="shared" si="78"/>
        <v>1</v>
      </c>
      <c r="V1005">
        <f t="shared" si="79"/>
        <v>0</v>
      </c>
      <c r="W1005">
        <f t="shared" si="80"/>
        <v>1</v>
      </c>
      <c r="X1005">
        <f t="shared" si="81"/>
        <v>1</v>
      </c>
    </row>
    <row r="1006" spans="1:24">
      <c r="A1006" t="s">
        <v>231</v>
      </c>
      <c r="B1006">
        <v>3</v>
      </c>
      <c r="C1006">
        <v>1</v>
      </c>
      <c r="D1006">
        <v>100</v>
      </c>
      <c r="E1006">
        <v>94.836767770317195</v>
      </c>
      <c r="F1006">
        <v>92.787682333873576</v>
      </c>
      <c r="G1006">
        <v>3.6003704561241019</v>
      </c>
      <c r="H1006">
        <v>3.7855985181755041</v>
      </c>
      <c r="I1006">
        <v>0</v>
      </c>
      <c r="J1006">
        <v>0</v>
      </c>
      <c r="K1006">
        <v>1</v>
      </c>
      <c r="L1006">
        <v>1</v>
      </c>
      <c r="M1006">
        <v>1</v>
      </c>
      <c r="N1006">
        <v>32</v>
      </c>
      <c r="O1006">
        <v>75000</v>
      </c>
      <c r="P1006">
        <v>5</v>
      </c>
      <c r="Q1006">
        <v>3</v>
      </c>
      <c r="R1006">
        <v>4</v>
      </c>
      <c r="S1006">
        <v>5</v>
      </c>
      <c r="T1006" s="123">
        <f t="shared" si="77"/>
        <v>0</v>
      </c>
      <c r="U1006">
        <f t="shared" si="78"/>
        <v>1</v>
      </c>
      <c r="V1006">
        <f t="shared" si="79"/>
        <v>0</v>
      </c>
      <c r="W1006">
        <f t="shared" si="80"/>
        <v>1</v>
      </c>
      <c r="X1006">
        <f t="shared" si="81"/>
        <v>1</v>
      </c>
    </row>
    <row r="1007" spans="1:24">
      <c r="A1007" t="s">
        <v>231</v>
      </c>
      <c r="B1007">
        <v>4</v>
      </c>
      <c r="C1007">
        <v>1</v>
      </c>
      <c r="D1007">
        <v>95.380875202593202</v>
      </c>
      <c r="E1007">
        <v>97.696225978235702</v>
      </c>
      <c r="F1007">
        <v>97.788840009261406</v>
      </c>
      <c r="G1007">
        <v>4.5265107663811088</v>
      </c>
      <c r="H1007">
        <v>6.274600601991204</v>
      </c>
      <c r="I1007">
        <v>0</v>
      </c>
      <c r="J1007">
        <v>0</v>
      </c>
      <c r="K1007">
        <v>1</v>
      </c>
      <c r="L1007">
        <v>1</v>
      </c>
      <c r="M1007">
        <v>1</v>
      </c>
      <c r="N1007">
        <v>32</v>
      </c>
      <c r="O1007">
        <v>75000</v>
      </c>
      <c r="P1007">
        <v>5</v>
      </c>
      <c r="Q1007">
        <v>3</v>
      </c>
      <c r="R1007">
        <v>4</v>
      </c>
      <c r="S1007">
        <v>5</v>
      </c>
      <c r="T1007" s="123">
        <f t="shared" si="77"/>
        <v>0</v>
      </c>
      <c r="U1007">
        <f t="shared" si="78"/>
        <v>1</v>
      </c>
      <c r="V1007">
        <f t="shared" si="79"/>
        <v>0</v>
      </c>
      <c r="W1007">
        <f t="shared" si="80"/>
        <v>1</v>
      </c>
      <c r="X1007">
        <f t="shared" si="81"/>
        <v>1</v>
      </c>
    </row>
    <row r="1008" spans="1:24">
      <c r="A1008" t="s">
        <v>231</v>
      </c>
      <c r="B1008">
        <v>5</v>
      </c>
      <c r="C1008">
        <v>1</v>
      </c>
      <c r="D1008">
        <v>90.541792081500347</v>
      </c>
      <c r="E1008">
        <v>90.657559620282484</v>
      </c>
      <c r="F1008">
        <v>96.990043991664734</v>
      </c>
      <c r="G1008">
        <v>3.8203287798101391</v>
      </c>
      <c r="H1008">
        <v>14.42463533225283</v>
      </c>
      <c r="I1008">
        <v>0</v>
      </c>
      <c r="J1008">
        <v>0</v>
      </c>
      <c r="K1008">
        <v>1</v>
      </c>
      <c r="L1008">
        <v>1</v>
      </c>
      <c r="M1008">
        <v>1</v>
      </c>
      <c r="N1008">
        <v>32</v>
      </c>
      <c r="O1008">
        <v>75000</v>
      </c>
      <c r="P1008">
        <v>5</v>
      </c>
      <c r="Q1008">
        <v>3</v>
      </c>
      <c r="R1008">
        <v>4</v>
      </c>
      <c r="S1008">
        <v>5</v>
      </c>
      <c r="T1008" s="123">
        <f t="shared" si="77"/>
        <v>0</v>
      </c>
      <c r="U1008">
        <f t="shared" si="78"/>
        <v>1</v>
      </c>
      <c r="V1008">
        <f t="shared" si="79"/>
        <v>0</v>
      </c>
      <c r="W1008">
        <f t="shared" si="80"/>
        <v>1</v>
      </c>
      <c r="X1008">
        <f t="shared" si="81"/>
        <v>1</v>
      </c>
    </row>
    <row r="1009" spans="1:24">
      <c r="A1009" t="s">
        <v>231</v>
      </c>
      <c r="B1009">
        <v>6</v>
      </c>
      <c r="C1009">
        <v>1</v>
      </c>
      <c r="D1009">
        <v>83.630470016207454</v>
      </c>
      <c r="E1009">
        <v>97.615188701088201</v>
      </c>
      <c r="F1009">
        <v>90.56494558925678</v>
      </c>
      <c r="G1009">
        <v>18.04815929613336</v>
      </c>
      <c r="H1009">
        <v>4.9201203982403356</v>
      </c>
      <c r="I1009">
        <v>0</v>
      </c>
      <c r="J1009">
        <v>0</v>
      </c>
      <c r="K1009">
        <v>1</v>
      </c>
      <c r="L1009">
        <v>1</v>
      </c>
      <c r="M1009">
        <v>1</v>
      </c>
      <c r="N1009">
        <v>32</v>
      </c>
      <c r="O1009">
        <v>75000</v>
      </c>
      <c r="P1009">
        <v>5</v>
      </c>
      <c r="Q1009">
        <v>3</v>
      </c>
      <c r="R1009">
        <v>4</v>
      </c>
      <c r="S1009">
        <v>5</v>
      </c>
      <c r="T1009" s="123">
        <f t="shared" si="77"/>
        <v>0</v>
      </c>
      <c r="U1009">
        <f t="shared" si="78"/>
        <v>1</v>
      </c>
      <c r="V1009">
        <f t="shared" si="79"/>
        <v>0</v>
      </c>
      <c r="W1009">
        <f t="shared" si="80"/>
        <v>1</v>
      </c>
      <c r="X1009">
        <f t="shared" si="81"/>
        <v>1</v>
      </c>
    </row>
    <row r="1010" spans="1:24">
      <c r="A1010" t="s">
        <v>231</v>
      </c>
      <c r="B1010">
        <v>7</v>
      </c>
      <c r="C1010">
        <v>1</v>
      </c>
      <c r="D1010">
        <v>95.936559388747384</v>
      </c>
      <c r="E1010">
        <v>98.356100949293818</v>
      </c>
      <c r="F1010">
        <v>6.274600601991204</v>
      </c>
      <c r="G1010">
        <v>4.0634406112526058</v>
      </c>
      <c r="H1010">
        <v>4.5380875202593209</v>
      </c>
      <c r="I1010">
        <v>0</v>
      </c>
      <c r="J1010">
        <v>1</v>
      </c>
      <c r="K1010">
        <v>1</v>
      </c>
      <c r="L1010">
        <v>1</v>
      </c>
      <c r="M1010">
        <v>1</v>
      </c>
      <c r="N1010">
        <v>32</v>
      </c>
      <c r="O1010">
        <v>75000</v>
      </c>
      <c r="P1010">
        <v>5</v>
      </c>
      <c r="Q1010">
        <v>3</v>
      </c>
      <c r="R1010">
        <v>4</v>
      </c>
      <c r="S1010">
        <v>5</v>
      </c>
      <c r="T1010" s="123">
        <f t="shared" si="77"/>
        <v>0</v>
      </c>
      <c r="U1010">
        <f t="shared" si="78"/>
        <v>1</v>
      </c>
      <c r="V1010">
        <f t="shared" si="79"/>
        <v>0</v>
      </c>
      <c r="W1010">
        <f t="shared" si="80"/>
        <v>1</v>
      </c>
      <c r="X1010">
        <f t="shared" si="81"/>
        <v>1</v>
      </c>
    </row>
    <row r="1011" spans="1:24">
      <c r="A1011" t="s">
        <v>232</v>
      </c>
      <c r="B1011">
        <v>1</v>
      </c>
      <c r="C1011">
        <v>1</v>
      </c>
      <c r="D1011">
        <v>19.42438402718777</v>
      </c>
      <c r="E1011">
        <v>16.217077315208151</v>
      </c>
      <c r="F1011">
        <v>11.0875106202209</v>
      </c>
      <c r="G1011">
        <v>86.958368734069666</v>
      </c>
      <c r="H1011">
        <v>50</v>
      </c>
      <c r="I1011">
        <v>1</v>
      </c>
      <c r="J1011">
        <v>0</v>
      </c>
      <c r="K1011">
        <v>0</v>
      </c>
      <c r="L1011">
        <v>1</v>
      </c>
      <c r="M1011">
        <v>0</v>
      </c>
      <c r="N1011">
        <v>41</v>
      </c>
      <c r="O1011">
        <v>80000</v>
      </c>
      <c r="P1011">
        <v>4</v>
      </c>
      <c r="Q1011">
        <v>2</v>
      </c>
      <c r="R1011">
        <v>4</v>
      </c>
      <c r="S1011">
        <v>4</v>
      </c>
      <c r="T1011" s="123">
        <f t="shared" si="77"/>
        <v>0</v>
      </c>
      <c r="U1011">
        <f t="shared" si="78"/>
        <v>1</v>
      </c>
      <c r="V1011">
        <f t="shared" si="79"/>
        <v>0</v>
      </c>
      <c r="W1011">
        <f t="shared" si="80"/>
        <v>1</v>
      </c>
      <c r="X1011">
        <f t="shared" si="81"/>
        <v>1</v>
      </c>
    </row>
    <row r="1012" spans="1:24">
      <c r="A1012" t="s">
        <v>232</v>
      </c>
      <c r="B1012">
        <v>2</v>
      </c>
      <c r="C1012">
        <v>1</v>
      </c>
      <c r="D1012">
        <v>10.37595581988105</v>
      </c>
      <c r="E1012">
        <v>10.11045029736619</v>
      </c>
      <c r="F1012">
        <v>11.799065420560749</v>
      </c>
      <c r="G1012">
        <v>84.919286321155482</v>
      </c>
      <c r="H1012">
        <v>25.637213254035689</v>
      </c>
      <c r="I1012">
        <v>0</v>
      </c>
      <c r="J1012">
        <v>0</v>
      </c>
      <c r="K1012">
        <v>0</v>
      </c>
      <c r="L1012">
        <v>1</v>
      </c>
      <c r="M1012">
        <v>0</v>
      </c>
      <c r="N1012">
        <v>41</v>
      </c>
      <c r="O1012">
        <v>80000</v>
      </c>
      <c r="P1012">
        <v>4</v>
      </c>
      <c r="Q1012">
        <v>2</v>
      </c>
      <c r="R1012">
        <v>4</v>
      </c>
      <c r="S1012">
        <v>4</v>
      </c>
      <c r="T1012" s="123">
        <f t="shared" si="77"/>
        <v>0</v>
      </c>
      <c r="U1012">
        <f t="shared" si="78"/>
        <v>1</v>
      </c>
      <c r="V1012">
        <f t="shared" si="79"/>
        <v>0</v>
      </c>
      <c r="W1012">
        <f t="shared" si="80"/>
        <v>1</v>
      </c>
      <c r="X1012">
        <f t="shared" si="81"/>
        <v>1</v>
      </c>
    </row>
    <row r="1013" spans="1:24">
      <c r="A1013" t="s">
        <v>232</v>
      </c>
      <c r="B1013">
        <v>3</v>
      </c>
      <c r="C1013">
        <v>1</v>
      </c>
      <c r="D1013">
        <v>18.277400169923531</v>
      </c>
      <c r="E1013">
        <v>8.4324553950722194</v>
      </c>
      <c r="F1013">
        <v>16.142735768903989</v>
      </c>
      <c r="G1013">
        <v>91.047153780798638</v>
      </c>
      <c r="H1013">
        <v>24.11852166525064</v>
      </c>
      <c r="I1013">
        <v>0</v>
      </c>
      <c r="J1013">
        <v>0</v>
      </c>
      <c r="K1013">
        <v>0</v>
      </c>
      <c r="L1013">
        <v>1</v>
      </c>
      <c r="M1013">
        <v>0</v>
      </c>
      <c r="N1013">
        <v>41</v>
      </c>
      <c r="O1013">
        <v>80000</v>
      </c>
      <c r="P1013">
        <v>4</v>
      </c>
      <c r="Q1013">
        <v>2</v>
      </c>
      <c r="R1013">
        <v>4</v>
      </c>
      <c r="S1013">
        <v>4</v>
      </c>
      <c r="T1013" s="123">
        <f t="shared" si="77"/>
        <v>0</v>
      </c>
      <c r="U1013">
        <f t="shared" si="78"/>
        <v>1</v>
      </c>
      <c r="V1013">
        <f t="shared" si="79"/>
        <v>0</v>
      </c>
      <c r="W1013">
        <f t="shared" si="80"/>
        <v>1</v>
      </c>
      <c r="X1013">
        <f t="shared" si="81"/>
        <v>1</v>
      </c>
    </row>
    <row r="1014" spans="1:24">
      <c r="A1014" t="s">
        <v>232</v>
      </c>
      <c r="B1014">
        <v>4</v>
      </c>
      <c r="C1014">
        <v>1</v>
      </c>
      <c r="D1014">
        <v>16.673746813933729</v>
      </c>
      <c r="E1014">
        <v>5.8517417162276981</v>
      </c>
      <c r="F1014">
        <v>9.7599830076465608</v>
      </c>
      <c r="G1014">
        <v>81.287170773152084</v>
      </c>
      <c r="H1014">
        <v>86.161852166525065</v>
      </c>
      <c r="I1014">
        <v>0</v>
      </c>
      <c r="J1014">
        <v>0</v>
      </c>
      <c r="K1014">
        <v>0</v>
      </c>
      <c r="L1014">
        <v>1</v>
      </c>
      <c r="M1014">
        <v>0</v>
      </c>
      <c r="N1014">
        <v>41</v>
      </c>
      <c r="O1014">
        <v>80000</v>
      </c>
      <c r="P1014">
        <v>4</v>
      </c>
      <c r="Q1014">
        <v>2</v>
      </c>
      <c r="R1014">
        <v>4</v>
      </c>
      <c r="S1014">
        <v>4</v>
      </c>
      <c r="T1014" s="123">
        <f t="shared" si="77"/>
        <v>0</v>
      </c>
      <c r="U1014">
        <f t="shared" si="78"/>
        <v>1</v>
      </c>
      <c r="V1014">
        <f t="shared" si="79"/>
        <v>0</v>
      </c>
      <c r="W1014">
        <f t="shared" si="80"/>
        <v>1</v>
      </c>
      <c r="X1014">
        <f t="shared" si="81"/>
        <v>1</v>
      </c>
    </row>
    <row r="1015" spans="1:24">
      <c r="A1015" t="s">
        <v>232</v>
      </c>
      <c r="B1015">
        <v>5</v>
      </c>
      <c r="C1015">
        <v>1</v>
      </c>
      <c r="D1015">
        <v>15.70730671197961</v>
      </c>
      <c r="E1015">
        <v>11.629141886151229</v>
      </c>
      <c r="F1015">
        <v>9.1333899745114682</v>
      </c>
      <c r="G1015">
        <v>93.787170773152084</v>
      </c>
      <c r="H1015">
        <v>13.115972812234491</v>
      </c>
      <c r="I1015">
        <v>0</v>
      </c>
      <c r="J1015">
        <v>0</v>
      </c>
      <c r="K1015">
        <v>0</v>
      </c>
      <c r="L1015">
        <v>1</v>
      </c>
      <c r="M1015">
        <v>0</v>
      </c>
      <c r="N1015">
        <v>41</v>
      </c>
      <c r="O1015">
        <v>80000</v>
      </c>
      <c r="P1015">
        <v>4</v>
      </c>
      <c r="Q1015">
        <v>2</v>
      </c>
      <c r="R1015">
        <v>4</v>
      </c>
      <c r="S1015">
        <v>4</v>
      </c>
      <c r="T1015" s="123">
        <f t="shared" si="77"/>
        <v>0</v>
      </c>
      <c r="U1015">
        <f t="shared" si="78"/>
        <v>1</v>
      </c>
      <c r="V1015">
        <f t="shared" si="79"/>
        <v>0</v>
      </c>
      <c r="W1015">
        <f t="shared" si="80"/>
        <v>1</v>
      </c>
      <c r="X1015">
        <f t="shared" si="81"/>
        <v>1</v>
      </c>
    </row>
    <row r="1016" spans="1:24">
      <c r="A1016" t="s">
        <v>232</v>
      </c>
      <c r="B1016">
        <v>6</v>
      </c>
      <c r="C1016">
        <v>1</v>
      </c>
      <c r="D1016">
        <v>0</v>
      </c>
      <c r="E1016">
        <v>11.402387041773229</v>
      </c>
      <c r="F1016">
        <v>9.1751918158567758</v>
      </c>
      <c r="G1016">
        <v>91.890451832907075</v>
      </c>
      <c r="H1016">
        <v>85.837595907928389</v>
      </c>
      <c r="I1016">
        <v>0</v>
      </c>
      <c r="J1016">
        <v>0</v>
      </c>
      <c r="K1016">
        <v>0</v>
      </c>
      <c r="L1016">
        <v>1</v>
      </c>
      <c r="M1016">
        <v>0</v>
      </c>
      <c r="N1016">
        <v>41</v>
      </c>
      <c r="O1016">
        <v>80000</v>
      </c>
      <c r="P1016">
        <v>4</v>
      </c>
      <c r="Q1016">
        <v>2</v>
      </c>
      <c r="R1016">
        <v>4</v>
      </c>
      <c r="S1016">
        <v>4</v>
      </c>
      <c r="T1016" s="123">
        <f t="shared" si="77"/>
        <v>0</v>
      </c>
      <c r="U1016">
        <f t="shared" si="78"/>
        <v>1</v>
      </c>
      <c r="V1016">
        <f t="shared" si="79"/>
        <v>0</v>
      </c>
      <c r="W1016">
        <f t="shared" si="80"/>
        <v>1</v>
      </c>
      <c r="X1016">
        <f t="shared" si="81"/>
        <v>1</v>
      </c>
    </row>
    <row r="1017" spans="1:24">
      <c r="A1017" t="s">
        <v>232</v>
      </c>
      <c r="B1017">
        <v>7</v>
      </c>
      <c r="C1017">
        <v>1</v>
      </c>
      <c r="D1017">
        <v>21.813725490196081</v>
      </c>
      <c r="E1017">
        <v>21.813725490196081</v>
      </c>
      <c r="F1017">
        <v>93.595481670929232</v>
      </c>
      <c r="G1017">
        <v>87.87297527706734</v>
      </c>
      <c r="H1017">
        <v>10.144927536231879</v>
      </c>
      <c r="I1017">
        <v>0</v>
      </c>
      <c r="J1017">
        <v>1</v>
      </c>
      <c r="K1017">
        <v>0</v>
      </c>
      <c r="L1017">
        <v>1</v>
      </c>
      <c r="M1017">
        <v>0</v>
      </c>
      <c r="N1017">
        <v>41</v>
      </c>
      <c r="O1017">
        <v>80000</v>
      </c>
      <c r="P1017">
        <v>4</v>
      </c>
      <c r="Q1017">
        <v>2</v>
      </c>
      <c r="R1017">
        <v>4</v>
      </c>
      <c r="S1017">
        <v>4</v>
      </c>
      <c r="T1017" s="123">
        <f t="shared" si="77"/>
        <v>0</v>
      </c>
      <c r="U1017">
        <f t="shared" si="78"/>
        <v>1</v>
      </c>
      <c r="V1017">
        <f t="shared" si="79"/>
        <v>0</v>
      </c>
      <c r="W1017">
        <f t="shared" si="80"/>
        <v>1</v>
      </c>
      <c r="X1017">
        <f t="shared" si="81"/>
        <v>1</v>
      </c>
    </row>
    <row r="1018" spans="1:24" hidden="1">
      <c r="A1018" t="s">
        <v>233</v>
      </c>
      <c r="B1018">
        <v>1</v>
      </c>
      <c r="C1018">
        <v>1</v>
      </c>
      <c r="D1018">
        <v>0.92017483321831239</v>
      </c>
      <c r="E1018">
        <v>0</v>
      </c>
      <c r="F1018">
        <v>1.9131968407330719</v>
      </c>
      <c r="G1018">
        <v>4.8079135035656746</v>
      </c>
      <c r="H1018">
        <v>97.235641438539986</v>
      </c>
      <c r="I1018">
        <v>1</v>
      </c>
      <c r="J1018">
        <v>0</v>
      </c>
      <c r="K1018">
        <v>0</v>
      </c>
      <c r="L1018">
        <v>1</v>
      </c>
      <c r="M1018">
        <v>1</v>
      </c>
      <c r="N1018">
        <v>38</v>
      </c>
      <c r="O1018">
        <v>7000</v>
      </c>
      <c r="P1018">
        <v>2</v>
      </c>
      <c r="Q1018">
        <v>1</v>
      </c>
      <c r="R1018">
        <v>2</v>
      </c>
      <c r="S1018">
        <v>3</v>
      </c>
      <c r="T1018" s="123">
        <f t="shared" si="77"/>
        <v>1</v>
      </c>
      <c r="U1018">
        <f t="shared" si="78"/>
        <v>0</v>
      </c>
      <c r="V1018">
        <f t="shared" si="79"/>
        <v>0</v>
      </c>
      <c r="W1018">
        <f t="shared" si="80"/>
        <v>0</v>
      </c>
      <c r="X1018">
        <f t="shared" si="81"/>
        <v>0</v>
      </c>
    </row>
    <row r="1019" spans="1:24">
      <c r="A1019" t="s">
        <v>233</v>
      </c>
      <c r="B1019">
        <v>2</v>
      </c>
      <c r="C1019">
        <v>1</v>
      </c>
      <c r="D1019">
        <v>14.149504195270779</v>
      </c>
      <c r="E1019">
        <v>12.547673531655221</v>
      </c>
      <c r="F1019">
        <v>47.063310450038138</v>
      </c>
      <c r="G1019">
        <v>50</v>
      </c>
      <c r="H1019">
        <v>50</v>
      </c>
      <c r="I1019">
        <v>0</v>
      </c>
      <c r="J1019">
        <v>0</v>
      </c>
      <c r="K1019">
        <v>0</v>
      </c>
      <c r="L1019">
        <v>1</v>
      </c>
      <c r="M1019">
        <v>1</v>
      </c>
      <c r="N1019">
        <v>38</v>
      </c>
      <c r="O1019">
        <v>7000</v>
      </c>
      <c r="P1019">
        <v>2</v>
      </c>
      <c r="Q1019">
        <v>1</v>
      </c>
      <c r="R1019">
        <v>2</v>
      </c>
      <c r="S1019">
        <v>3</v>
      </c>
      <c r="T1019" s="123">
        <f t="shared" si="77"/>
        <v>0</v>
      </c>
      <c r="U1019">
        <f t="shared" si="78"/>
        <v>0</v>
      </c>
      <c r="V1019">
        <f t="shared" si="79"/>
        <v>0</v>
      </c>
      <c r="W1019">
        <f t="shared" si="80"/>
        <v>0</v>
      </c>
      <c r="X1019">
        <f t="shared" si="81"/>
        <v>0</v>
      </c>
    </row>
    <row r="1020" spans="1:24">
      <c r="A1020" t="s">
        <v>233</v>
      </c>
      <c r="B1020">
        <v>3</v>
      </c>
      <c r="C1020">
        <v>1</v>
      </c>
      <c r="D1020">
        <v>20.1627256547165</v>
      </c>
      <c r="E1020">
        <v>0.22883295194507941</v>
      </c>
      <c r="F1020">
        <v>7.9583015509788968</v>
      </c>
      <c r="G1020">
        <v>31.52809560132215</v>
      </c>
      <c r="H1020">
        <v>82.074752097635397</v>
      </c>
      <c r="I1020">
        <v>0</v>
      </c>
      <c r="J1020">
        <v>0</v>
      </c>
      <c r="K1020">
        <v>0</v>
      </c>
      <c r="L1020">
        <v>1</v>
      </c>
      <c r="M1020">
        <v>1</v>
      </c>
      <c r="N1020">
        <v>38</v>
      </c>
      <c r="O1020">
        <v>7000</v>
      </c>
      <c r="P1020">
        <v>2</v>
      </c>
      <c r="Q1020">
        <v>1</v>
      </c>
      <c r="R1020">
        <v>2</v>
      </c>
      <c r="S1020">
        <v>3</v>
      </c>
      <c r="T1020" s="123">
        <f t="shared" si="77"/>
        <v>0</v>
      </c>
      <c r="U1020">
        <f t="shared" si="78"/>
        <v>0</v>
      </c>
      <c r="V1020">
        <f t="shared" si="79"/>
        <v>0</v>
      </c>
      <c r="W1020">
        <f t="shared" si="80"/>
        <v>0</v>
      </c>
      <c r="X1020">
        <f t="shared" si="81"/>
        <v>0</v>
      </c>
    </row>
    <row r="1021" spans="1:24" hidden="1">
      <c r="A1021" t="s">
        <v>233</v>
      </c>
      <c r="B1021">
        <v>4</v>
      </c>
      <c r="C1021">
        <v>1</v>
      </c>
      <c r="D1021">
        <v>6.0259344012204448</v>
      </c>
      <c r="E1021">
        <v>3.763030765319098</v>
      </c>
      <c r="F1021">
        <v>19.972031528095599</v>
      </c>
      <c r="G1021">
        <v>5.0597508263412134</v>
      </c>
      <c r="H1021">
        <v>88.087973557081114</v>
      </c>
      <c r="I1021">
        <v>0</v>
      </c>
      <c r="J1021">
        <v>0</v>
      </c>
      <c r="K1021">
        <v>0</v>
      </c>
      <c r="L1021">
        <v>1</v>
      </c>
      <c r="M1021">
        <v>1</v>
      </c>
      <c r="N1021">
        <v>38</v>
      </c>
      <c r="O1021">
        <v>7000</v>
      </c>
      <c r="P1021">
        <v>2</v>
      </c>
      <c r="Q1021">
        <v>1</v>
      </c>
      <c r="R1021">
        <v>2</v>
      </c>
      <c r="S1021">
        <v>3</v>
      </c>
      <c r="T1021" s="123">
        <f t="shared" si="77"/>
        <v>1</v>
      </c>
      <c r="U1021">
        <f t="shared" si="78"/>
        <v>0</v>
      </c>
      <c r="V1021">
        <f t="shared" si="79"/>
        <v>0</v>
      </c>
      <c r="W1021">
        <f t="shared" si="80"/>
        <v>0</v>
      </c>
      <c r="X1021">
        <f t="shared" si="81"/>
        <v>0</v>
      </c>
    </row>
    <row r="1022" spans="1:24" hidden="1">
      <c r="A1022" t="s">
        <v>233</v>
      </c>
      <c r="B1022">
        <v>5</v>
      </c>
      <c r="C1022">
        <v>1</v>
      </c>
      <c r="D1022">
        <v>2.9239766081871341</v>
      </c>
      <c r="E1022">
        <v>0.11441647597253971</v>
      </c>
      <c r="F1022">
        <v>2.9239766081871341</v>
      </c>
      <c r="G1022">
        <v>0.57208237986269839</v>
      </c>
      <c r="H1022">
        <v>70.124586829392328</v>
      </c>
      <c r="I1022">
        <v>0</v>
      </c>
      <c r="J1022">
        <v>0</v>
      </c>
      <c r="K1022">
        <v>0</v>
      </c>
      <c r="L1022">
        <v>1</v>
      </c>
      <c r="M1022">
        <v>1</v>
      </c>
      <c r="N1022">
        <v>38</v>
      </c>
      <c r="O1022">
        <v>7000</v>
      </c>
      <c r="P1022">
        <v>2</v>
      </c>
      <c r="Q1022">
        <v>1</v>
      </c>
      <c r="R1022">
        <v>2</v>
      </c>
      <c r="S1022">
        <v>3</v>
      </c>
      <c r="T1022" s="123">
        <f t="shared" si="77"/>
        <v>1</v>
      </c>
      <c r="U1022">
        <f t="shared" si="78"/>
        <v>0</v>
      </c>
      <c r="V1022">
        <f t="shared" si="79"/>
        <v>0</v>
      </c>
      <c r="W1022">
        <f t="shared" si="80"/>
        <v>0</v>
      </c>
      <c r="X1022">
        <f t="shared" si="81"/>
        <v>0</v>
      </c>
    </row>
    <row r="1023" spans="1:24" hidden="1">
      <c r="A1023" t="s">
        <v>233</v>
      </c>
      <c r="B1023">
        <v>6</v>
      </c>
      <c r="C1023">
        <v>1</v>
      </c>
      <c r="D1023">
        <v>2.8222730739893231</v>
      </c>
      <c r="E1023">
        <v>5.3648614289346526</v>
      </c>
      <c r="F1023">
        <v>15.509788965166541</v>
      </c>
      <c r="G1023">
        <v>3.6740401728960088</v>
      </c>
      <c r="H1023">
        <v>92.639206712433264</v>
      </c>
      <c r="I1023">
        <v>0</v>
      </c>
      <c r="J1023">
        <v>0</v>
      </c>
      <c r="K1023">
        <v>0</v>
      </c>
      <c r="L1023">
        <v>1</v>
      </c>
      <c r="M1023">
        <v>1</v>
      </c>
      <c r="N1023">
        <v>38</v>
      </c>
      <c r="O1023">
        <v>7000</v>
      </c>
      <c r="P1023">
        <v>2</v>
      </c>
      <c r="Q1023">
        <v>1</v>
      </c>
      <c r="R1023">
        <v>2</v>
      </c>
      <c r="S1023">
        <v>3</v>
      </c>
      <c r="T1023" s="123">
        <f t="shared" si="77"/>
        <v>1</v>
      </c>
      <c r="U1023">
        <f t="shared" si="78"/>
        <v>0</v>
      </c>
      <c r="V1023">
        <f t="shared" si="79"/>
        <v>0</v>
      </c>
      <c r="W1023">
        <f t="shared" si="80"/>
        <v>0</v>
      </c>
      <c r="X1023">
        <f t="shared" si="81"/>
        <v>0</v>
      </c>
    </row>
    <row r="1024" spans="1:24" hidden="1">
      <c r="A1024" t="s">
        <v>233</v>
      </c>
      <c r="B1024">
        <v>7</v>
      </c>
      <c r="C1024">
        <v>1</v>
      </c>
      <c r="D1024">
        <v>4.3605390287312478</v>
      </c>
      <c r="E1024">
        <v>2.3010424612255278</v>
      </c>
      <c r="F1024">
        <v>2.5934401220442438</v>
      </c>
      <c r="G1024">
        <v>3.8393084159674569</v>
      </c>
      <c r="H1024">
        <v>59.280447495550469</v>
      </c>
      <c r="I1024">
        <v>0</v>
      </c>
      <c r="J1024">
        <v>1</v>
      </c>
      <c r="K1024">
        <v>0</v>
      </c>
      <c r="L1024">
        <v>1</v>
      </c>
      <c r="M1024">
        <v>1</v>
      </c>
      <c r="N1024">
        <v>38</v>
      </c>
      <c r="O1024">
        <v>7000</v>
      </c>
      <c r="P1024">
        <v>2</v>
      </c>
      <c r="Q1024">
        <v>1</v>
      </c>
      <c r="R1024">
        <v>2</v>
      </c>
      <c r="S1024">
        <v>3</v>
      </c>
      <c r="T1024" s="123">
        <f t="shared" si="77"/>
        <v>1</v>
      </c>
      <c r="U1024">
        <f t="shared" si="78"/>
        <v>0</v>
      </c>
      <c r="V1024">
        <f t="shared" si="79"/>
        <v>0</v>
      </c>
      <c r="W1024">
        <f t="shared" si="80"/>
        <v>0</v>
      </c>
      <c r="X1024">
        <f t="shared" si="81"/>
        <v>0</v>
      </c>
    </row>
    <row r="1025" spans="1:24">
      <c r="A1025" t="s">
        <v>234</v>
      </c>
      <c r="B1025">
        <v>1</v>
      </c>
      <c r="C1025">
        <v>1</v>
      </c>
      <c r="D1025">
        <v>50</v>
      </c>
      <c r="E1025">
        <v>86.135957066189633</v>
      </c>
      <c r="F1025">
        <v>50</v>
      </c>
      <c r="G1025">
        <v>50</v>
      </c>
      <c r="H1025">
        <v>92.128801431127002</v>
      </c>
      <c r="I1025">
        <v>1</v>
      </c>
      <c r="J1025">
        <v>0</v>
      </c>
      <c r="K1025">
        <v>1</v>
      </c>
      <c r="L1025">
        <v>1</v>
      </c>
      <c r="M1025">
        <v>0</v>
      </c>
      <c r="N1025">
        <v>35</v>
      </c>
      <c r="O1025">
        <v>575000</v>
      </c>
      <c r="P1025">
        <v>5</v>
      </c>
      <c r="Q1025">
        <v>5</v>
      </c>
      <c r="R1025">
        <v>5</v>
      </c>
      <c r="S1025">
        <v>4</v>
      </c>
      <c r="T1025" s="123">
        <f t="shared" si="77"/>
        <v>0</v>
      </c>
      <c r="U1025">
        <f t="shared" si="78"/>
        <v>1</v>
      </c>
      <c r="V1025">
        <f t="shared" si="79"/>
        <v>1</v>
      </c>
      <c r="W1025">
        <f t="shared" si="80"/>
        <v>1</v>
      </c>
      <c r="X1025">
        <f t="shared" si="81"/>
        <v>1</v>
      </c>
    </row>
    <row r="1026" spans="1:24">
      <c r="A1026" t="s">
        <v>234</v>
      </c>
      <c r="B1026">
        <v>2</v>
      </c>
      <c r="C1026">
        <v>1</v>
      </c>
      <c r="D1026">
        <v>92.587209302325576</v>
      </c>
      <c r="E1026">
        <v>97.752683363148492</v>
      </c>
      <c r="F1026">
        <v>97.31663685152057</v>
      </c>
      <c r="G1026">
        <v>86.32602862254025</v>
      </c>
      <c r="H1026">
        <v>96.589892665474068</v>
      </c>
      <c r="I1026">
        <v>0</v>
      </c>
      <c r="J1026">
        <v>0</v>
      </c>
      <c r="K1026">
        <v>1</v>
      </c>
      <c r="L1026">
        <v>1</v>
      </c>
      <c r="M1026">
        <v>0</v>
      </c>
      <c r="N1026">
        <v>35</v>
      </c>
      <c r="O1026">
        <v>575000</v>
      </c>
      <c r="P1026">
        <v>5</v>
      </c>
      <c r="Q1026">
        <v>5</v>
      </c>
      <c r="R1026">
        <v>5</v>
      </c>
      <c r="S1026">
        <v>4</v>
      </c>
      <c r="T1026" s="123">
        <f t="shared" si="77"/>
        <v>0</v>
      </c>
      <c r="U1026">
        <f t="shared" si="78"/>
        <v>1</v>
      </c>
      <c r="V1026">
        <f t="shared" si="79"/>
        <v>1</v>
      </c>
      <c r="W1026">
        <f t="shared" si="80"/>
        <v>1</v>
      </c>
      <c r="X1026">
        <f t="shared" si="81"/>
        <v>1</v>
      </c>
    </row>
    <row r="1027" spans="1:24" hidden="1">
      <c r="A1027" t="s">
        <v>234</v>
      </c>
      <c r="B1027">
        <v>3</v>
      </c>
      <c r="C1027">
        <v>1</v>
      </c>
      <c r="D1027">
        <v>99.899373881932021</v>
      </c>
      <c r="E1027">
        <v>96.075581395348848</v>
      </c>
      <c r="F1027">
        <v>99.373881932021462</v>
      </c>
      <c r="G1027">
        <v>99.832289803220036</v>
      </c>
      <c r="H1027">
        <v>99.552772808586766</v>
      </c>
      <c r="I1027">
        <v>0</v>
      </c>
      <c r="J1027">
        <v>0</v>
      </c>
      <c r="K1027">
        <v>1</v>
      </c>
      <c r="L1027">
        <v>1</v>
      </c>
      <c r="M1027">
        <v>0</v>
      </c>
      <c r="N1027">
        <v>35</v>
      </c>
      <c r="O1027">
        <v>575000</v>
      </c>
      <c r="P1027">
        <v>5</v>
      </c>
      <c r="Q1027">
        <v>5</v>
      </c>
      <c r="R1027">
        <v>5</v>
      </c>
      <c r="S1027">
        <v>4</v>
      </c>
      <c r="T1027" s="123">
        <f t="shared" si="77"/>
        <v>1</v>
      </c>
      <c r="U1027">
        <f t="shared" si="78"/>
        <v>1</v>
      </c>
      <c r="V1027">
        <f t="shared" si="79"/>
        <v>1</v>
      </c>
      <c r="W1027">
        <f t="shared" si="80"/>
        <v>1</v>
      </c>
      <c r="X1027">
        <f t="shared" si="81"/>
        <v>1</v>
      </c>
    </row>
    <row r="1028" spans="1:24" hidden="1">
      <c r="A1028" t="s">
        <v>234</v>
      </c>
      <c r="B1028">
        <v>4</v>
      </c>
      <c r="C1028">
        <v>1</v>
      </c>
      <c r="D1028">
        <v>88.651610017889084</v>
      </c>
      <c r="E1028">
        <v>99.284436493738809</v>
      </c>
      <c r="F1028">
        <v>99.284436493738809</v>
      </c>
      <c r="G1028">
        <v>97.227191413237918</v>
      </c>
      <c r="H1028">
        <v>87.824239713774602</v>
      </c>
      <c r="I1028">
        <v>0</v>
      </c>
      <c r="J1028">
        <v>0</v>
      </c>
      <c r="K1028">
        <v>1</v>
      </c>
      <c r="L1028">
        <v>1</v>
      </c>
      <c r="M1028">
        <v>0</v>
      </c>
      <c r="N1028">
        <v>35</v>
      </c>
      <c r="O1028">
        <v>575000</v>
      </c>
      <c r="P1028">
        <v>5</v>
      </c>
      <c r="Q1028">
        <v>5</v>
      </c>
      <c r="R1028">
        <v>5</v>
      </c>
      <c r="S1028">
        <v>4</v>
      </c>
      <c r="T1028" s="123">
        <f t="shared" ref="T1028:T1091" si="82">IF(OR(IF(AVERAGE(E1028:F1028)-G1028&gt;(10),1,0),IF(AVERAGE(E1028:F1028)-G1028&lt;(-10),1,0)),0,1)</f>
        <v>1</v>
      </c>
      <c r="U1028">
        <f t="shared" ref="U1028:U1091" si="83">IF(P1028&gt;3,1,0)</f>
        <v>1</v>
      </c>
      <c r="V1028">
        <f t="shared" ref="V1028:V1091" si="84">IF(Q1028&gt;3,1,0)</f>
        <v>1</v>
      </c>
      <c r="W1028">
        <f t="shared" ref="W1028:W1091" si="85">IF(R1028&gt;3,1,0)</f>
        <v>1</v>
      </c>
      <c r="X1028">
        <f t="shared" ref="X1028:X1091" si="86">IF(S1028&gt;3,1,0)</f>
        <v>1</v>
      </c>
    </row>
    <row r="1029" spans="1:24" hidden="1">
      <c r="A1029" t="s">
        <v>234</v>
      </c>
      <c r="B1029">
        <v>5</v>
      </c>
      <c r="C1029">
        <v>1</v>
      </c>
      <c r="D1029">
        <v>100</v>
      </c>
      <c r="E1029">
        <v>97.59615384615384</v>
      </c>
      <c r="F1029">
        <v>98.926654740608228</v>
      </c>
      <c r="G1029">
        <v>98.289355992844364</v>
      </c>
      <c r="H1029">
        <v>97.227191413237918</v>
      </c>
      <c r="I1029">
        <v>0</v>
      </c>
      <c r="J1029">
        <v>0</v>
      </c>
      <c r="K1029">
        <v>1</v>
      </c>
      <c r="L1029">
        <v>1</v>
      </c>
      <c r="M1029">
        <v>0</v>
      </c>
      <c r="N1029">
        <v>35</v>
      </c>
      <c r="O1029">
        <v>575000</v>
      </c>
      <c r="P1029">
        <v>5</v>
      </c>
      <c r="Q1029">
        <v>5</v>
      </c>
      <c r="R1029">
        <v>5</v>
      </c>
      <c r="S1029">
        <v>4</v>
      </c>
      <c r="T1029" s="123">
        <f t="shared" si="82"/>
        <v>1</v>
      </c>
      <c r="U1029">
        <f t="shared" si="83"/>
        <v>1</v>
      </c>
      <c r="V1029">
        <f t="shared" si="84"/>
        <v>1</v>
      </c>
      <c r="W1029">
        <f t="shared" si="85"/>
        <v>1</v>
      </c>
      <c r="X1029">
        <f t="shared" si="86"/>
        <v>1</v>
      </c>
    </row>
    <row r="1030" spans="1:24" hidden="1">
      <c r="A1030" t="s">
        <v>234</v>
      </c>
      <c r="B1030">
        <v>6</v>
      </c>
      <c r="C1030">
        <v>1</v>
      </c>
      <c r="D1030">
        <v>96.958855098389989</v>
      </c>
      <c r="E1030">
        <v>98.222271914132378</v>
      </c>
      <c r="F1030">
        <v>98.199910554561725</v>
      </c>
      <c r="G1030">
        <v>96.500447227191415</v>
      </c>
      <c r="H1030">
        <v>98.121645796064399</v>
      </c>
      <c r="I1030">
        <v>0</v>
      </c>
      <c r="J1030">
        <v>0</v>
      </c>
      <c r="K1030">
        <v>1</v>
      </c>
      <c r="L1030">
        <v>1</v>
      </c>
      <c r="M1030">
        <v>0</v>
      </c>
      <c r="N1030">
        <v>35</v>
      </c>
      <c r="O1030">
        <v>575000</v>
      </c>
      <c r="P1030">
        <v>5</v>
      </c>
      <c r="Q1030">
        <v>5</v>
      </c>
      <c r="R1030">
        <v>5</v>
      </c>
      <c r="S1030">
        <v>4</v>
      </c>
      <c r="T1030" s="123">
        <f t="shared" si="82"/>
        <v>1</v>
      </c>
      <c r="U1030">
        <f t="shared" si="83"/>
        <v>1</v>
      </c>
      <c r="V1030">
        <f t="shared" si="84"/>
        <v>1</v>
      </c>
      <c r="W1030">
        <f t="shared" si="85"/>
        <v>1</v>
      </c>
      <c r="X1030">
        <f t="shared" si="86"/>
        <v>1</v>
      </c>
    </row>
    <row r="1031" spans="1:24" hidden="1">
      <c r="A1031" t="s">
        <v>234</v>
      </c>
      <c r="B1031">
        <v>7</v>
      </c>
      <c r="C1031">
        <v>1</v>
      </c>
      <c r="D1031">
        <v>96.701699463327373</v>
      </c>
      <c r="E1031">
        <v>97.037119856887301</v>
      </c>
      <c r="F1031">
        <v>90.261627906976742</v>
      </c>
      <c r="G1031">
        <v>95.796064400715565</v>
      </c>
      <c r="H1031">
        <v>94.27549194991056</v>
      </c>
      <c r="I1031">
        <v>0</v>
      </c>
      <c r="J1031">
        <v>1</v>
      </c>
      <c r="K1031">
        <v>1</v>
      </c>
      <c r="L1031">
        <v>1</v>
      </c>
      <c r="M1031">
        <v>0</v>
      </c>
      <c r="N1031">
        <v>35</v>
      </c>
      <c r="O1031">
        <v>575000</v>
      </c>
      <c r="P1031">
        <v>5</v>
      </c>
      <c r="Q1031">
        <v>5</v>
      </c>
      <c r="R1031">
        <v>5</v>
      </c>
      <c r="S1031">
        <v>4</v>
      </c>
      <c r="T1031" s="123">
        <f t="shared" si="82"/>
        <v>1</v>
      </c>
      <c r="U1031">
        <f t="shared" si="83"/>
        <v>1</v>
      </c>
      <c r="V1031">
        <f t="shared" si="84"/>
        <v>1</v>
      </c>
      <c r="W1031">
        <f t="shared" si="85"/>
        <v>1</v>
      </c>
      <c r="X1031">
        <f t="shared" si="86"/>
        <v>1</v>
      </c>
    </row>
    <row r="1032" spans="1:24" hidden="1">
      <c r="A1032" t="s">
        <v>235</v>
      </c>
      <c r="B1032">
        <v>1</v>
      </c>
      <c r="C1032">
        <v>1</v>
      </c>
      <c r="D1032">
        <v>3.8610038610038591</v>
      </c>
      <c r="E1032">
        <v>22.72844272844273</v>
      </c>
      <c r="F1032">
        <v>8.1338481338481312</v>
      </c>
      <c r="G1032">
        <v>8.5714285714285747</v>
      </c>
      <c r="H1032">
        <v>50</v>
      </c>
      <c r="I1032">
        <v>1</v>
      </c>
      <c r="J1032">
        <v>0</v>
      </c>
      <c r="K1032">
        <v>0</v>
      </c>
      <c r="L1032">
        <v>1</v>
      </c>
      <c r="M1032">
        <v>1</v>
      </c>
      <c r="N1032">
        <v>51</v>
      </c>
      <c r="O1032">
        <v>-99</v>
      </c>
      <c r="P1032">
        <v>1</v>
      </c>
      <c r="Q1032">
        <v>1</v>
      </c>
      <c r="R1032">
        <v>3</v>
      </c>
      <c r="S1032">
        <v>3</v>
      </c>
      <c r="T1032" s="123">
        <f t="shared" si="82"/>
        <v>1</v>
      </c>
      <c r="U1032">
        <f t="shared" si="83"/>
        <v>0</v>
      </c>
      <c r="V1032">
        <f t="shared" si="84"/>
        <v>0</v>
      </c>
      <c r="W1032">
        <f t="shared" si="85"/>
        <v>0</v>
      </c>
      <c r="X1032">
        <f t="shared" si="86"/>
        <v>0</v>
      </c>
    </row>
    <row r="1033" spans="1:24" hidden="1">
      <c r="A1033" t="s">
        <v>235</v>
      </c>
      <c r="B1033">
        <v>2</v>
      </c>
      <c r="C1033">
        <v>1</v>
      </c>
      <c r="D1033">
        <v>11.557271557271561</v>
      </c>
      <c r="E1033">
        <v>15.238095238095241</v>
      </c>
      <c r="F1033">
        <v>27.86357786357787</v>
      </c>
      <c r="G1033">
        <v>22.702702702702709</v>
      </c>
      <c r="H1033">
        <v>14.10553410553411</v>
      </c>
      <c r="I1033">
        <v>0</v>
      </c>
      <c r="J1033">
        <v>0</v>
      </c>
      <c r="K1033">
        <v>0</v>
      </c>
      <c r="L1033">
        <v>1</v>
      </c>
      <c r="M1033">
        <v>1</v>
      </c>
      <c r="N1033">
        <v>51</v>
      </c>
      <c r="O1033">
        <v>-99</v>
      </c>
      <c r="P1033">
        <v>1</v>
      </c>
      <c r="Q1033">
        <v>1</v>
      </c>
      <c r="R1033">
        <v>3</v>
      </c>
      <c r="S1033">
        <v>3</v>
      </c>
      <c r="T1033" s="123">
        <f t="shared" si="82"/>
        <v>1</v>
      </c>
      <c r="U1033">
        <f t="shared" si="83"/>
        <v>0</v>
      </c>
      <c r="V1033">
        <f t="shared" si="84"/>
        <v>0</v>
      </c>
      <c r="W1033">
        <f t="shared" si="85"/>
        <v>0</v>
      </c>
      <c r="X1033">
        <f t="shared" si="86"/>
        <v>0</v>
      </c>
    </row>
    <row r="1034" spans="1:24">
      <c r="A1034" t="s">
        <v>235</v>
      </c>
      <c r="B1034">
        <v>3</v>
      </c>
      <c r="C1034">
        <v>1</v>
      </c>
      <c r="D1034">
        <v>11.132561132561129</v>
      </c>
      <c r="E1034">
        <v>1.9691119691119701</v>
      </c>
      <c r="F1034">
        <v>29.961389961389958</v>
      </c>
      <c r="G1034">
        <v>3.4362934362934361</v>
      </c>
      <c r="H1034">
        <v>1.7117117117117111</v>
      </c>
      <c r="I1034">
        <v>0</v>
      </c>
      <c r="J1034">
        <v>0</v>
      </c>
      <c r="K1034">
        <v>0</v>
      </c>
      <c r="L1034">
        <v>1</v>
      </c>
      <c r="M1034">
        <v>1</v>
      </c>
      <c r="N1034">
        <v>51</v>
      </c>
      <c r="O1034">
        <v>-99</v>
      </c>
      <c r="P1034">
        <v>1</v>
      </c>
      <c r="Q1034">
        <v>1</v>
      </c>
      <c r="R1034">
        <v>3</v>
      </c>
      <c r="S1034">
        <v>3</v>
      </c>
      <c r="T1034" s="123">
        <f t="shared" si="82"/>
        <v>0</v>
      </c>
      <c r="U1034">
        <f t="shared" si="83"/>
        <v>0</v>
      </c>
      <c r="V1034">
        <f t="shared" si="84"/>
        <v>0</v>
      </c>
      <c r="W1034">
        <f t="shared" si="85"/>
        <v>0</v>
      </c>
      <c r="X1034">
        <f t="shared" si="86"/>
        <v>0</v>
      </c>
    </row>
    <row r="1035" spans="1:24" hidden="1">
      <c r="A1035" t="s">
        <v>235</v>
      </c>
      <c r="B1035">
        <v>4</v>
      </c>
      <c r="C1035">
        <v>1</v>
      </c>
      <c r="D1035">
        <v>7.5032175032175017</v>
      </c>
      <c r="E1035">
        <v>4.491634491634489</v>
      </c>
      <c r="F1035">
        <v>3.1788931788931771</v>
      </c>
      <c r="G1035">
        <v>1.7631917631917631</v>
      </c>
      <c r="H1035">
        <v>5.7915057915057906</v>
      </c>
      <c r="I1035">
        <v>0</v>
      </c>
      <c r="J1035">
        <v>0</v>
      </c>
      <c r="K1035">
        <v>0</v>
      </c>
      <c r="L1035">
        <v>1</v>
      </c>
      <c r="M1035">
        <v>1</v>
      </c>
      <c r="N1035">
        <v>51</v>
      </c>
      <c r="O1035">
        <v>-99</v>
      </c>
      <c r="P1035">
        <v>1</v>
      </c>
      <c r="Q1035">
        <v>1</v>
      </c>
      <c r="R1035">
        <v>3</v>
      </c>
      <c r="S1035">
        <v>3</v>
      </c>
      <c r="T1035" s="123">
        <f t="shared" si="82"/>
        <v>1</v>
      </c>
      <c r="U1035">
        <f t="shared" si="83"/>
        <v>0</v>
      </c>
      <c r="V1035">
        <f t="shared" si="84"/>
        <v>0</v>
      </c>
      <c r="W1035">
        <f t="shared" si="85"/>
        <v>0</v>
      </c>
      <c r="X1035">
        <f t="shared" si="86"/>
        <v>0</v>
      </c>
    </row>
    <row r="1036" spans="1:24" hidden="1">
      <c r="A1036" t="s">
        <v>235</v>
      </c>
      <c r="B1036">
        <v>5</v>
      </c>
      <c r="C1036">
        <v>1</v>
      </c>
      <c r="D1036">
        <v>0</v>
      </c>
      <c r="E1036">
        <v>2.7799227799227779</v>
      </c>
      <c r="F1036">
        <v>6.2290862290862279</v>
      </c>
      <c r="G1036">
        <v>6.6409266409266419</v>
      </c>
      <c r="H1036">
        <v>2.1364221364221341</v>
      </c>
      <c r="I1036">
        <v>0</v>
      </c>
      <c r="J1036">
        <v>0</v>
      </c>
      <c r="K1036">
        <v>0</v>
      </c>
      <c r="L1036">
        <v>1</v>
      </c>
      <c r="M1036">
        <v>1</v>
      </c>
      <c r="N1036">
        <v>51</v>
      </c>
      <c r="O1036">
        <v>-99</v>
      </c>
      <c r="P1036">
        <v>1</v>
      </c>
      <c r="Q1036">
        <v>1</v>
      </c>
      <c r="R1036">
        <v>3</v>
      </c>
      <c r="S1036">
        <v>3</v>
      </c>
      <c r="T1036" s="123">
        <f t="shared" si="82"/>
        <v>1</v>
      </c>
      <c r="U1036">
        <f t="shared" si="83"/>
        <v>0</v>
      </c>
      <c r="V1036">
        <f t="shared" si="84"/>
        <v>0</v>
      </c>
      <c r="W1036">
        <f t="shared" si="85"/>
        <v>0</v>
      </c>
      <c r="X1036">
        <f t="shared" si="86"/>
        <v>0</v>
      </c>
    </row>
    <row r="1037" spans="1:24" hidden="1">
      <c r="A1037" t="s">
        <v>235</v>
      </c>
      <c r="B1037">
        <v>6</v>
      </c>
      <c r="C1037">
        <v>1</v>
      </c>
      <c r="D1037">
        <v>4.0540540540540571</v>
      </c>
      <c r="E1037">
        <v>4.2857142857142874</v>
      </c>
      <c r="F1037">
        <v>4.2857142857142874</v>
      </c>
      <c r="G1037">
        <v>4.5045045045045029</v>
      </c>
      <c r="H1037">
        <v>18.84169884169884</v>
      </c>
      <c r="I1037">
        <v>0</v>
      </c>
      <c r="J1037">
        <v>0</v>
      </c>
      <c r="K1037">
        <v>0</v>
      </c>
      <c r="L1037">
        <v>1</v>
      </c>
      <c r="M1037">
        <v>1</v>
      </c>
      <c r="N1037">
        <v>51</v>
      </c>
      <c r="O1037">
        <v>-99</v>
      </c>
      <c r="P1037">
        <v>1</v>
      </c>
      <c r="Q1037">
        <v>1</v>
      </c>
      <c r="R1037">
        <v>3</v>
      </c>
      <c r="S1037">
        <v>3</v>
      </c>
      <c r="T1037" s="123">
        <f t="shared" si="82"/>
        <v>1</v>
      </c>
      <c r="U1037">
        <f t="shared" si="83"/>
        <v>0</v>
      </c>
      <c r="V1037">
        <f t="shared" si="84"/>
        <v>0</v>
      </c>
      <c r="W1037">
        <f t="shared" si="85"/>
        <v>0</v>
      </c>
      <c r="X1037">
        <f t="shared" si="86"/>
        <v>0</v>
      </c>
    </row>
    <row r="1038" spans="1:24">
      <c r="A1038" t="s">
        <v>235</v>
      </c>
      <c r="B1038">
        <v>7</v>
      </c>
      <c r="C1038">
        <v>1</v>
      </c>
      <c r="D1038">
        <v>13.26898326898327</v>
      </c>
      <c r="E1038">
        <v>40.476190476190467</v>
      </c>
      <c r="F1038">
        <v>28.906048906048898</v>
      </c>
      <c r="G1038">
        <v>50</v>
      </c>
      <c r="H1038">
        <v>23.333333333333329</v>
      </c>
      <c r="I1038">
        <v>0</v>
      </c>
      <c r="J1038">
        <v>1</v>
      </c>
      <c r="K1038">
        <v>0</v>
      </c>
      <c r="L1038">
        <v>1</v>
      </c>
      <c r="M1038">
        <v>1</v>
      </c>
      <c r="N1038">
        <v>51</v>
      </c>
      <c r="O1038">
        <v>-99</v>
      </c>
      <c r="P1038">
        <v>1</v>
      </c>
      <c r="Q1038">
        <v>1</v>
      </c>
      <c r="R1038">
        <v>3</v>
      </c>
      <c r="S1038">
        <v>3</v>
      </c>
      <c r="T1038" s="123">
        <f t="shared" si="82"/>
        <v>0</v>
      </c>
      <c r="U1038">
        <f t="shared" si="83"/>
        <v>0</v>
      </c>
      <c r="V1038">
        <f t="shared" si="84"/>
        <v>0</v>
      </c>
      <c r="W1038">
        <f t="shared" si="85"/>
        <v>0</v>
      </c>
      <c r="X1038">
        <f t="shared" si="86"/>
        <v>0</v>
      </c>
    </row>
    <row r="1039" spans="1:24">
      <c r="A1039" t="s">
        <v>236</v>
      </c>
      <c r="B1039">
        <v>1</v>
      </c>
      <c r="C1039">
        <v>1</v>
      </c>
      <c r="D1039">
        <v>92.712700369913676</v>
      </c>
      <c r="E1039">
        <v>88.766954377311961</v>
      </c>
      <c r="F1039">
        <v>99.61775585696671</v>
      </c>
      <c r="G1039">
        <v>4.2293464858199741</v>
      </c>
      <c r="H1039">
        <v>50</v>
      </c>
      <c r="I1039">
        <v>1</v>
      </c>
      <c r="J1039">
        <v>0</v>
      </c>
      <c r="K1039">
        <v>1</v>
      </c>
      <c r="L1039">
        <v>1</v>
      </c>
      <c r="M1039">
        <v>0</v>
      </c>
      <c r="N1039">
        <v>28</v>
      </c>
      <c r="O1039">
        <v>105000</v>
      </c>
      <c r="P1039">
        <v>2</v>
      </c>
      <c r="Q1039">
        <v>4</v>
      </c>
      <c r="R1039">
        <v>4</v>
      </c>
      <c r="S1039">
        <v>3</v>
      </c>
      <c r="T1039" s="123">
        <f t="shared" si="82"/>
        <v>0</v>
      </c>
      <c r="U1039">
        <f t="shared" si="83"/>
        <v>0</v>
      </c>
      <c r="V1039">
        <f t="shared" si="84"/>
        <v>1</v>
      </c>
      <c r="W1039">
        <f t="shared" si="85"/>
        <v>1</v>
      </c>
      <c r="X1039">
        <f t="shared" si="86"/>
        <v>0</v>
      </c>
    </row>
    <row r="1040" spans="1:24">
      <c r="A1040" t="s">
        <v>236</v>
      </c>
      <c r="B1040">
        <v>2</v>
      </c>
      <c r="C1040">
        <v>1</v>
      </c>
      <c r="D1040">
        <v>99.420468557336619</v>
      </c>
      <c r="E1040">
        <v>99.210850801479651</v>
      </c>
      <c r="F1040">
        <v>96.954377311960542</v>
      </c>
      <c r="G1040">
        <v>4.8212083847102347</v>
      </c>
      <c r="H1040">
        <v>6.5844636251541298</v>
      </c>
      <c r="I1040">
        <v>0</v>
      </c>
      <c r="J1040">
        <v>0</v>
      </c>
      <c r="K1040">
        <v>1</v>
      </c>
      <c r="L1040">
        <v>1</v>
      </c>
      <c r="M1040">
        <v>0</v>
      </c>
      <c r="N1040">
        <v>28</v>
      </c>
      <c r="O1040">
        <v>105000</v>
      </c>
      <c r="P1040">
        <v>2</v>
      </c>
      <c r="Q1040">
        <v>4</v>
      </c>
      <c r="R1040">
        <v>4</v>
      </c>
      <c r="S1040">
        <v>3</v>
      </c>
      <c r="T1040" s="123">
        <f t="shared" si="82"/>
        <v>0</v>
      </c>
      <c r="U1040">
        <f t="shared" si="83"/>
        <v>0</v>
      </c>
      <c r="V1040">
        <f t="shared" si="84"/>
        <v>1</v>
      </c>
      <c r="W1040">
        <f t="shared" si="85"/>
        <v>1</v>
      </c>
      <c r="X1040">
        <f t="shared" si="86"/>
        <v>0</v>
      </c>
    </row>
    <row r="1041" spans="1:24">
      <c r="A1041" t="s">
        <v>236</v>
      </c>
      <c r="B1041">
        <v>3</v>
      </c>
      <c r="C1041">
        <v>1</v>
      </c>
      <c r="D1041">
        <v>96.954377311960542</v>
      </c>
      <c r="E1041">
        <v>100</v>
      </c>
      <c r="F1041">
        <v>98.446362515413071</v>
      </c>
      <c r="G1041">
        <v>2.2564734895191121</v>
      </c>
      <c r="H1041">
        <v>9.9506781750924755</v>
      </c>
      <c r="I1041">
        <v>0</v>
      </c>
      <c r="J1041">
        <v>0</v>
      </c>
      <c r="K1041">
        <v>1</v>
      </c>
      <c r="L1041">
        <v>1</v>
      </c>
      <c r="M1041">
        <v>0</v>
      </c>
      <c r="N1041">
        <v>28</v>
      </c>
      <c r="O1041">
        <v>105000</v>
      </c>
      <c r="P1041">
        <v>2</v>
      </c>
      <c r="Q1041">
        <v>4</v>
      </c>
      <c r="R1041">
        <v>4</v>
      </c>
      <c r="S1041">
        <v>3</v>
      </c>
      <c r="T1041" s="123">
        <f t="shared" si="82"/>
        <v>0</v>
      </c>
      <c r="U1041">
        <f t="shared" si="83"/>
        <v>0</v>
      </c>
      <c r="V1041">
        <f t="shared" si="84"/>
        <v>1</v>
      </c>
      <c r="W1041">
        <f t="shared" si="85"/>
        <v>1</v>
      </c>
      <c r="X1041">
        <f t="shared" si="86"/>
        <v>0</v>
      </c>
    </row>
    <row r="1042" spans="1:24">
      <c r="A1042" t="s">
        <v>236</v>
      </c>
      <c r="B1042">
        <v>4</v>
      </c>
      <c r="C1042">
        <v>1</v>
      </c>
      <c r="D1042">
        <v>97.829839704069045</v>
      </c>
      <c r="E1042">
        <v>78.618988902589393</v>
      </c>
      <c r="F1042">
        <v>92.799013563501845</v>
      </c>
      <c r="G1042">
        <v>4.5129469790382242</v>
      </c>
      <c r="H1042">
        <v>1.8495684340320619</v>
      </c>
      <c r="I1042">
        <v>0</v>
      </c>
      <c r="J1042">
        <v>0</v>
      </c>
      <c r="K1042">
        <v>1</v>
      </c>
      <c r="L1042">
        <v>1</v>
      </c>
      <c r="M1042">
        <v>0</v>
      </c>
      <c r="N1042">
        <v>28</v>
      </c>
      <c r="O1042">
        <v>105000</v>
      </c>
      <c r="P1042">
        <v>2</v>
      </c>
      <c r="Q1042">
        <v>4</v>
      </c>
      <c r="R1042">
        <v>4</v>
      </c>
      <c r="S1042">
        <v>3</v>
      </c>
      <c r="T1042" s="123">
        <f t="shared" si="82"/>
        <v>0</v>
      </c>
      <c r="U1042">
        <f t="shared" si="83"/>
        <v>0</v>
      </c>
      <c r="V1042">
        <f t="shared" si="84"/>
        <v>1</v>
      </c>
      <c r="W1042">
        <f t="shared" si="85"/>
        <v>1</v>
      </c>
      <c r="X1042">
        <f t="shared" si="86"/>
        <v>0</v>
      </c>
    </row>
    <row r="1043" spans="1:24">
      <c r="A1043" t="s">
        <v>236</v>
      </c>
      <c r="B1043">
        <v>5</v>
      </c>
      <c r="C1043">
        <v>1</v>
      </c>
      <c r="D1043">
        <v>3.341553637484584</v>
      </c>
      <c r="E1043">
        <v>8.2614056720098645</v>
      </c>
      <c r="F1043">
        <v>5.0308261405672017</v>
      </c>
      <c r="G1043">
        <v>88.766954377311961</v>
      </c>
      <c r="H1043">
        <v>60.949445129469787</v>
      </c>
      <c r="I1043">
        <v>0</v>
      </c>
      <c r="J1043">
        <v>0</v>
      </c>
      <c r="K1043">
        <v>0</v>
      </c>
      <c r="L1043">
        <v>1</v>
      </c>
      <c r="M1043">
        <v>0</v>
      </c>
      <c r="N1043">
        <v>28</v>
      </c>
      <c r="O1043">
        <v>105000</v>
      </c>
      <c r="P1043">
        <v>2</v>
      </c>
      <c r="Q1043">
        <v>4</v>
      </c>
      <c r="R1043">
        <v>4</v>
      </c>
      <c r="S1043">
        <v>3</v>
      </c>
      <c r="T1043" s="123">
        <f t="shared" si="82"/>
        <v>0</v>
      </c>
      <c r="U1043">
        <f t="shared" si="83"/>
        <v>0</v>
      </c>
      <c r="V1043">
        <f t="shared" si="84"/>
        <v>1</v>
      </c>
      <c r="W1043">
        <f t="shared" si="85"/>
        <v>1</v>
      </c>
      <c r="X1043">
        <f t="shared" si="86"/>
        <v>0</v>
      </c>
    </row>
    <row r="1044" spans="1:24">
      <c r="A1044" t="s">
        <v>236</v>
      </c>
      <c r="B1044">
        <v>6</v>
      </c>
      <c r="C1044">
        <v>1</v>
      </c>
      <c r="D1044">
        <v>2.7620221948212058</v>
      </c>
      <c r="E1044">
        <v>2.3674475955610341</v>
      </c>
      <c r="F1044">
        <v>1.4549938347718889</v>
      </c>
      <c r="G1044">
        <v>80.086313193588168</v>
      </c>
      <c r="H1044">
        <v>95.092478421701614</v>
      </c>
      <c r="I1044">
        <v>0</v>
      </c>
      <c r="J1044">
        <v>0</v>
      </c>
      <c r="K1044">
        <v>0</v>
      </c>
      <c r="L1044">
        <v>1</v>
      </c>
      <c r="M1044">
        <v>0</v>
      </c>
      <c r="N1044">
        <v>28</v>
      </c>
      <c r="O1044">
        <v>105000</v>
      </c>
      <c r="P1044">
        <v>2</v>
      </c>
      <c r="Q1044">
        <v>4</v>
      </c>
      <c r="R1044">
        <v>4</v>
      </c>
      <c r="S1044">
        <v>3</v>
      </c>
      <c r="T1044" s="123">
        <f t="shared" si="82"/>
        <v>0</v>
      </c>
      <c r="U1044">
        <f t="shared" si="83"/>
        <v>0</v>
      </c>
      <c r="V1044">
        <f t="shared" si="84"/>
        <v>1</v>
      </c>
      <c r="W1044">
        <f t="shared" si="85"/>
        <v>1</v>
      </c>
      <c r="X1044">
        <f t="shared" si="86"/>
        <v>0</v>
      </c>
    </row>
    <row r="1045" spans="1:24">
      <c r="A1045" t="s">
        <v>236</v>
      </c>
      <c r="B1045">
        <v>7</v>
      </c>
      <c r="C1045">
        <v>1</v>
      </c>
      <c r="D1045">
        <v>9.3711467324291036</v>
      </c>
      <c r="E1045">
        <v>3.625154130702835</v>
      </c>
      <c r="F1045">
        <v>1.282367447595562</v>
      </c>
      <c r="G1045">
        <v>98.039457459926012</v>
      </c>
      <c r="H1045">
        <v>98.717632552404439</v>
      </c>
      <c r="I1045">
        <v>0</v>
      </c>
      <c r="J1045">
        <v>1</v>
      </c>
      <c r="K1045">
        <v>0</v>
      </c>
      <c r="L1045">
        <v>1</v>
      </c>
      <c r="M1045">
        <v>0</v>
      </c>
      <c r="N1045">
        <v>28</v>
      </c>
      <c r="O1045">
        <v>105000</v>
      </c>
      <c r="P1045">
        <v>2</v>
      </c>
      <c r="Q1045">
        <v>4</v>
      </c>
      <c r="R1045">
        <v>4</v>
      </c>
      <c r="S1045">
        <v>3</v>
      </c>
      <c r="T1045" s="123">
        <f t="shared" si="82"/>
        <v>0</v>
      </c>
      <c r="U1045">
        <f t="shared" si="83"/>
        <v>0</v>
      </c>
      <c r="V1045">
        <f t="shared" si="84"/>
        <v>1</v>
      </c>
      <c r="W1045">
        <f t="shared" si="85"/>
        <v>1</v>
      </c>
      <c r="X1045">
        <f t="shared" si="86"/>
        <v>0</v>
      </c>
    </row>
    <row r="1046" spans="1:24">
      <c r="A1046" t="s">
        <v>237</v>
      </c>
      <c r="B1046">
        <v>1</v>
      </c>
      <c r="C1046">
        <v>1</v>
      </c>
      <c r="D1046">
        <v>8.3601831439715113</v>
      </c>
      <c r="E1046">
        <v>11.8619637103612</v>
      </c>
      <c r="F1046">
        <v>17.542818382228251</v>
      </c>
      <c r="G1046">
        <v>93.08970663049007</v>
      </c>
      <c r="H1046">
        <v>25.724944887230791</v>
      </c>
      <c r="I1046">
        <v>1</v>
      </c>
      <c r="J1046">
        <v>0</v>
      </c>
      <c r="K1046">
        <v>0</v>
      </c>
      <c r="L1046">
        <v>1</v>
      </c>
      <c r="M1046">
        <v>1</v>
      </c>
      <c r="N1046">
        <v>18</v>
      </c>
      <c r="O1046">
        <v>17000</v>
      </c>
      <c r="P1046">
        <v>1</v>
      </c>
      <c r="Q1046">
        <v>1</v>
      </c>
      <c r="R1046">
        <v>1</v>
      </c>
      <c r="S1046">
        <v>1</v>
      </c>
      <c r="T1046" s="123">
        <f t="shared" si="82"/>
        <v>0</v>
      </c>
      <c r="U1046">
        <f t="shared" si="83"/>
        <v>0</v>
      </c>
      <c r="V1046">
        <f t="shared" si="84"/>
        <v>0</v>
      </c>
      <c r="W1046">
        <f t="shared" si="85"/>
        <v>0</v>
      </c>
      <c r="X1046">
        <f t="shared" si="86"/>
        <v>0</v>
      </c>
    </row>
    <row r="1047" spans="1:24" hidden="1">
      <c r="A1047" t="s">
        <v>237</v>
      </c>
      <c r="B1047">
        <v>2</v>
      </c>
      <c r="C1047">
        <v>1</v>
      </c>
      <c r="D1047">
        <v>12.281303602058321</v>
      </c>
      <c r="E1047">
        <v>0</v>
      </c>
      <c r="F1047">
        <v>14.14278446667797</v>
      </c>
      <c r="G1047">
        <v>0.84788875699507993</v>
      </c>
      <c r="H1047">
        <v>0</v>
      </c>
      <c r="I1047">
        <v>0</v>
      </c>
      <c r="J1047">
        <v>0</v>
      </c>
      <c r="K1047">
        <v>0</v>
      </c>
      <c r="L1047">
        <v>1</v>
      </c>
      <c r="M1047">
        <v>1</v>
      </c>
      <c r="N1047">
        <v>18</v>
      </c>
      <c r="O1047">
        <v>17000</v>
      </c>
      <c r="P1047">
        <v>1</v>
      </c>
      <c r="Q1047">
        <v>1</v>
      </c>
      <c r="R1047">
        <v>1</v>
      </c>
      <c r="S1047">
        <v>1</v>
      </c>
      <c r="T1047" s="123">
        <f t="shared" si="82"/>
        <v>1</v>
      </c>
      <c r="U1047">
        <f t="shared" si="83"/>
        <v>0</v>
      </c>
      <c r="V1047">
        <f t="shared" si="84"/>
        <v>0</v>
      </c>
      <c r="W1047">
        <f t="shared" si="85"/>
        <v>0</v>
      </c>
      <c r="X1047">
        <f t="shared" si="86"/>
        <v>0</v>
      </c>
    </row>
    <row r="1048" spans="1:24" hidden="1">
      <c r="A1048" t="s">
        <v>237</v>
      </c>
      <c r="B1048">
        <v>3</v>
      </c>
      <c r="C1048">
        <v>1</v>
      </c>
      <c r="D1048">
        <v>5.8747855917667238</v>
      </c>
      <c r="E1048">
        <v>0</v>
      </c>
      <c r="F1048">
        <v>0.99485420240137401</v>
      </c>
      <c r="G1048">
        <v>6.9982847341337919</v>
      </c>
      <c r="H1048">
        <v>1.4322469982847359</v>
      </c>
      <c r="I1048">
        <v>0</v>
      </c>
      <c r="J1048">
        <v>0</v>
      </c>
      <c r="K1048">
        <v>0</v>
      </c>
      <c r="L1048">
        <v>1</v>
      </c>
      <c r="M1048">
        <v>1</v>
      </c>
      <c r="N1048">
        <v>18</v>
      </c>
      <c r="O1048">
        <v>17000</v>
      </c>
      <c r="P1048">
        <v>1</v>
      </c>
      <c r="Q1048">
        <v>1</v>
      </c>
      <c r="R1048">
        <v>1</v>
      </c>
      <c r="S1048">
        <v>1</v>
      </c>
      <c r="T1048" s="123">
        <f t="shared" si="82"/>
        <v>1</v>
      </c>
      <c r="U1048">
        <f t="shared" si="83"/>
        <v>0</v>
      </c>
      <c r="V1048">
        <f t="shared" si="84"/>
        <v>0</v>
      </c>
      <c r="W1048">
        <f t="shared" si="85"/>
        <v>0</v>
      </c>
      <c r="X1048">
        <f t="shared" si="86"/>
        <v>0</v>
      </c>
    </row>
    <row r="1049" spans="1:24" hidden="1">
      <c r="A1049" t="s">
        <v>237</v>
      </c>
      <c r="B1049">
        <v>4</v>
      </c>
      <c r="C1049">
        <v>1</v>
      </c>
      <c r="D1049">
        <v>3.2847341337907401</v>
      </c>
      <c r="E1049">
        <v>2.0068610634648381</v>
      </c>
      <c r="F1049">
        <v>2.5814751286449389</v>
      </c>
      <c r="G1049">
        <v>4.8542024013722092</v>
      </c>
      <c r="H1049">
        <v>11.64665523156089</v>
      </c>
      <c r="I1049">
        <v>0</v>
      </c>
      <c r="J1049">
        <v>0</v>
      </c>
      <c r="K1049">
        <v>0</v>
      </c>
      <c r="L1049">
        <v>1</v>
      </c>
      <c r="M1049">
        <v>1</v>
      </c>
      <c r="N1049">
        <v>18</v>
      </c>
      <c r="O1049">
        <v>17000</v>
      </c>
      <c r="P1049">
        <v>1</v>
      </c>
      <c r="Q1049">
        <v>1</v>
      </c>
      <c r="R1049">
        <v>1</v>
      </c>
      <c r="S1049">
        <v>1</v>
      </c>
      <c r="T1049" s="123">
        <f t="shared" si="82"/>
        <v>1</v>
      </c>
      <c r="U1049">
        <f t="shared" si="83"/>
        <v>0</v>
      </c>
      <c r="V1049">
        <f t="shared" si="84"/>
        <v>0</v>
      </c>
      <c r="W1049">
        <f t="shared" si="85"/>
        <v>0</v>
      </c>
      <c r="X1049">
        <f t="shared" si="86"/>
        <v>0</v>
      </c>
    </row>
    <row r="1050" spans="1:24" hidden="1">
      <c r="A1050" t="s">
        <v>237</v>
      </c>
      <c r="B1050">
        <v>5</v>
      </c>
      <c r="C1050">
        <v>1</v>
      </c>
      <c r="D1050">
        <v>2.015437392795882</v>
      </c>
      <c r="E1050">
        <v>2.1355060034305322</v>
      </c>
      <c r="F1050">
        <v>12.43567753001715</v>
      </c>
      <c r="G1050">
        <v>1.003430531732419</v>
      </c>
      <c r="H1050">
        <v>12.43567753001715</v>
      </c>
      <c r="I1050">
        <v>0</v>
      </c>
      <c r="J1050">
        <v>0</v>
      </c>
      <c r="K1050">
        <v>0</v>
      </c>
      <c r="L1050">
        <v>1</v>
      </c>
      <c r="M1050">
        <v>1</v>
      </c>
      <c r="N1050">
        <v>18</v>
      </c>
      <c r="O1050">
        <v>17000</v>
      </c>
      <c r="P1050">
        <v>1</v>
      </c>
      <c r="Q1050">
        <v>1</v>
      </c>
      <c r="R1050">
        <v>1</v>
      </c>
      <c r="S1050">
        <v>1</v>
      </c>
      <c r="T1050" s="123">
        <f t="shared" si="82"/>
        <v>1</v>
      </c>
      <c r="U1050">
        <f t="shared" si="83"/>
        <v>0</v>
      </c>
      <c r="V1050">
        <f t="shared" si="84"/>
        <v>0</v>
      </c>
      <c r="W1050">
        <f t="shared" si="85"/>
        <v>0</v>
      </c>
      <c r="X1050">
        <f t="shared" si="86"/>
        <v>0</v>
      </c>
    </row>
    <row r="1051" spans="1:24">
      <c r="A1051" t="s">
        <v>237</v>
      </c>
      <c r="B1051">
        <v>6</v>
      </c>
      <c r="C1051">
        <v>1</v>
      </c>
      <c r="D1051">
        <v>0</v>
      </c>
      <c r="E1051">
        <v>1.8439108061749589</v>
      </c>
      <c r="F1051">
        <v>0</v>
      </c>
      <c r="G1051">
        <v>19.871355060034301</v>
      </c>
      <c r="H1051">
        <v>4.159519725557459</v>
      </c>
      <c r="I1051">
        <v>0</v>
      </c>
      <c r="J1051">
        <v>0</v>
      </c>
      <c r="K1051">
        <v>0</v>
      </c>
      <c r="L1051">
        <v>1</v>
      </c>
      <c r="M1051">
        <v>1</v>
      </c>
      <c r="N1051">
        <v>18</v>
      </c>
      <c r="O1051">
        <v>17000</v>
      </c>
      <c r="P1051">
        <v>1</v>
      </c>
      <c r="Q1051">
        <v>1</v>
      </c>
      <c r="R1051">
        <v>1</v>
      </c>
      <c r="S1051">
        <v>1</v>
      </c>
      <c r="T1051" s="123">
        <f t="shared" si="82"/>
        <v>0</v>
      </c>
      <c r="U1051">
        <f t="shared" si="83"/>
        <v>0</v>
      </c>
      <c r="V1051">
        <f t="shared" si="84"/>
        <v>0</v>
      </c>
      <c r="W1051">
        <f t="shared" si="85"/>
        <v>0</v>
      </c>
      <c r="X1051">
        <f t="shared" si="86"/>
        <v>0</v>
      </c>
    </row>
    <row r="1052" spans="1:24">
      <c r="A1052" t="s">
        <v>237</v>
      </c>
      <c r="B1052">
        <v>7</v>
      </c>
      <c r="C1052">
        <v>1</v>
      </c>
      <c r="D1052">
        <v>9.7553191489361701</v>
      </c>
      <c r="E1052">
        <v>42.904255319148938</v>
      </c>
      <c r="F1052">
        <v>50</v>
      </c>
      <c r="G1052">
        <v>65.436170212765958</v>
      </c>
      <c r="H1052">
        <v>86.340425531914903</v>
      </c>
      <c r="I1052">
        <v>0</v>
      </c>
      <c r="J1052">
        <v>1</v>
      </c>
      <c r="K1052">
        <v>0</v>
      </c>
      <c r="L1052">
        <v>1</v>
      </c>
      <c r="M1052">
        <v>1</v>
      </c>
      <c r="N1052">
        <v>18</v>
      </c>
      <c r="O1052">
        <v>17000</v>
      </c>
      <c r="P1052">
        <v>1</v>
      </c>
      <c r="Q1052">
        <v>1</v>
      </c>
      <c r="R1052">
        <v>1</v>
      </c>
      <c r="S1052">
        <v>1</v>
      </c>
      <c r="T1052" s="123">
        <f t="shared" si="82"/>
        <v>0</v>
      </c>
      <c r="U1052">
        <f t="shared" si="83"/>
        <v>0</v>
      </c>
      <c r="V1052">
        <f t="shared" si="84"/>
        <v>0</v>
      </c>
      <c r="W1052">
        <f t="shared" si="85"/>
        <v>0</v>
      </c>
      <c r="X1052">
        <f t="shared" si="86"/>
        <v>0</v>
      </c>
    </row>
    <row r="1053" spans="1:24">
      <c r="A1053" t="s">
        <v>238</v>
      </c>
      <c r="B1053">
        <v>1</v>
      </c>
      <c r="C1053">
        <v>1</v>
      </c>
      <c r="D1053">
        <v>98.176238999536821</v>
      </c>
      <c r="E1053">
        <v>98.737841593330245</v>
      </c>
      <c r="F1053">
        <v>98.297823066234372</v>
      </c>
      <c r="G1053">
        <v>3.3580361278369608</v>
      </c>
      <c r="H1053">
        <v>0.57318202871700086</v>
      </c>
      <c r="I1053">
        <v>1</v>
      </c>
      <c r="J1053">
        <v>0</v>
      </c>
      <c r="K1053">
        <v>1</v>
      </c>
      <c r="L1053">
        <v>1</v>
      </c>
      <c r="M1053">
        <v>1</v>
      </c>
      <c r="N1053">
        <v>30</v>
      </c>
      <c r="O1053">
        <v>75000</v>
      </c>
      <c r="P1053">
        <v>5</v>
      </c>
      <c r="Q1053">
        <v>4</v>
      </c>
      <c r="R1053">
        <v>4</v>
      </c>
      <c r="S1053">
        <v>3</v>
      </c>
      <c r="T1053" s="123">
        <f t="shared" si="82"/>
        <v>0</v>
      </c>
      <c r="U1053">
        <f t="shared" si="83"/>
        <v>1</v>
      </c>
      <c r="V1053">
        <f t="shared" si="84"/>
        <v>1</v>
      </c>
      <c r="W1053">
        <f t="shared" si="85"/>
        <v>1</v>
      </c>
      <c r="X1053">
        <f t="shared" si="86"/>
        <v>0</v>
      </c>
    </row>
    <row r="1054" spans="1:24">
      <c r="A1054" t="s">
        <v>238</v>
      </c>
      <c r="B1054">
        <v>2</v>
      </c>
      <c r="C1054">
        <v>1</v>
      </c>
      <c r="D1054">
        <v>100</v>
      </c>
      <c r="E1054">
        <v>99.409448818897644</v>
      </c>
      <c r="F1054">
        <v>91.981241315423802</v>
      </c>
      <c r="G1054">
        <v>0.82213987957387435</v>
      </c>
      <c r="H1054">
        <v>1.0942566002779039</v>
      </c>
      <c r="I1054">
        <v>0</v>
      </c>
      <c r="J1054">
        <v>0</v>
      </c>
      <c r="K1054">
        <v>1</v>
      </c>
      <c r="L1054">
        <v>1</v>
      </c>
      <c r="M1054">
        <v>1</v>
      </c>
      <c r="N1054">
        <v>30</v>
      </c>
      <c r="O1054">
        <v>75000</v>
      </c>
      <c r="P1054">
        <v>5</v>
      </c>
      <c r="Q1054">
        <v>4</v>
      </c>
      <c r="R1054">
        <v>4</v>
      </c>
      <c r="S1054">
        <v>3</v>
      </c>
      <c r="T1054" s="123">
        <f t="shared" si="82"/>
        <v>0</v>
      </c>
      <c r="U1054">
        <f t="shared" si="83"/>
        <v>1</v>
      </c>
      <c r="V1054">
        <f t="shared" si="84"/>
        <v>1</v>
      </c>
      <c r="W1054">
        <f t="shared" si="85"/>
        <v>1</v>
      </c>
      <c r="X1054">
        <f t="shared" si="86"/>
        <v>0</v>
      </c>
    </row>
    <row r="1055" spans="1:24">
      <c r="A1055" t="s">
        <v>238</v>
      </c>
      <c r="B1055">
        <v>3</v>
      </c>
      <c r="C1055">
        <v>1</v>
      </c>
      <c r="D1055">
        <v>99.756831866604912</v>
      </c>
      <c r="E1055">
        <v>98.176238999536821</v>
      </c>
      <c r="F1055">
        <v>98.639416396479845</v>
      </c>
      <c r="G1055">
        <v>1.592172301991662</v>
      </c>
      <c r="H1055">
        <v>1.0421491431218179</v>
      </c>
      <c r="I1055">
        <v>0</v>
      </c>
      <c r="J1055">
        <v>0</v>
      </c>
      <c r="K1055">
        <v>1</v>
      </c>
      <c r="L1055">
        <v>1</v>
      </c>
      <c r="M1055">
        <v>1</v>
      </c>
      <c r="N1055">
        <v>30</v>
      </c>
      <c r="O1055">
        <v>75000</v>
      </c>
      <c r="P1055">
        <v>5</v>
      </c>
      <c r="Q1055">
        <v>4</v>
      </c>
      <c r="R1055">
        <v>4</v>
      </c>
      <c r="S1055">
        <v>3</v>
      </c>
      <c r="T1055" s="123">
        <f t="shared" si="82"/>
        <v>0</v>
      </c>
      <c r="U1055">
        <f t="shared" si="83"/>
        <v>1</v>
      </c>
      <c r="V1055">
        <f t="shared" si="84"/>
        <v>1</v>
      </c>
      <c r="W1055">
        <f t="shared" si="85"/>
        <v>1</v>
      </c>
      <c r="X1055">
        <f t="shared" si="86"/>
        <v>0</v>
      </c>
    </row>
    <row r="1056" spans="1:24">
      <c r="A1056" t="s">
        <v>238</v>
      </c>
      <c r="B1056">
        <v>4</v>
      </c>
      <c r="C1056">
        <v>1</v>
      </c>
      <c r="D1056">
        <v>98.604678091709118</v>
      </c>
      <c r="E1056">
        <v>96.636174154701251</v>
      </c>
      <c r="F1056">
        <v>99.473135710977317</v>
      </c>
      <c r="G1056">
        <v>0.36475220009263293</v>
      </c>
      <c r="H1056">
        <v>1.065308012968968</v>
      </c>
      <c r="I1056">
        <v>0</v>
      </c>
      <c r="J1056">
        <v>0</v>
      </c>
      <c r="K1056">
        <v>1</v>
      </c>
      <c r="L1056">
        <v>1</v>
      </c>
      <c r="M1056">
        <v>1</v>
      </c>
      <c r="N1056">
        <v>30</v>
      </c>
      <c r="O1056">
        <v>75000</v>
      </c>
      <c r="P1056">
        <v>5</v>
      </c>
      <c r="Q1056">
        <v>4</v>
      </c>
      <c r="R1056">
        <v>4</v>
      </c>
      <c r="S1056">
        <v>3</v>
      </c>
      <c r="T1056" s="123">
        <f t="shared" si="82"/>
        <v>0</v>
      </c>
      <c r="U1056">
        <f t="shared" si="83"/>
        <v>1</v>
      </c>
      <c r="V1056">
        <f t="shared" si="84"/>
        <v>1</v>
      </c>
      <c r="W1056">
        <f t="shared" si="85"/>
        <v>1</v>
      </c>
      <c r="X1056">
        <f t="shared" si="86"/>
        <v>0</v>
      </c>
    </row>
    <row r="1057" spans="1:24">
      <c r="A1057" t="s">
        <v>238</v>
      </c>
      <c r="B1057">
        <v>5</v>
      </c>
      <c r="C1057">
        <v>1</v>
      </c>
      <c r="D1057">
        <v>99.687355257063444</v>
      </c>
      <c r="E1057">
        <v>97.684113015284851</v>
      </c>
      <c r="F1057">
        <v>99.444187123668357</v>
      </c>
      <c r="G1057">
        <v>2.3158869847151431</v>
      </c>
      <c r="H1057">
        <v>1.036359425660027</v>
      </c>
      <c r="I1057">
        <v>0</v>
      </c>
      <c r="J1057">
        <v>0</v>
      </c>
      <c r="K1057">
        <v>1</v>
      </c>
      <c r="L1057">
        <v>1</v>
      </c>
      <c r="M1057">
        <v>1</v>
      </c>
      <c r="N1057">
        <v>30</v>
      </c>
      <c r="O1057">
        <v>75000</v>
      </c>
      <c r="P1057">
        <v>5</v>
      </c>
      <c r="Q1057">
        <v>4</v>
      </c>
      <c r="R1057">
        <v>4</v>
      </c>
      <c r="S1057">
        <v>3</v>
      </c>
      <c r="T1057" s="123">
        <f t="shared" si="82"/>
        <v>0</v>
      </c>
      <c r="U1057">
        <f t="shared" si="83"/>
        <v>1</v>
      </c>
      <c r="V1057">
        <f t="shared" si="84"/>
        <v>1</v>
      </c>
      <c r="W1057">
        <f t="shared" si="85"/>
        <v>1</v>
      </c>
      <c r="X1057">
        <f t="shared" si="86"/>
        <v>0</v>
      </c>
    </row>
    <row r="1058" spans="1:24">
      <c r="A1058" t="s">
        <v>238</v>
      </c>
      <c r="B1058">
        <v>6</v>
      </c>
      <c r="C1058">
        <v>1</v>
      </c>
      <c r="D1058">
        <v>4.7359696897939836</v>
      </c>
      <c r="E1058">
        <v>91.842292209329869</v>
      </c>
      <c r="F1058">
        <v>50</v>
      </c>
      <c r="G1058">
        <v>4.0255742363248856</v>
      </c>
      <c r="H1058">
        <v>2.7705422685294798</v>
      </c>
      <c r="I1058">
        <v>0</v>
      </c>
      <c r="J1058">
        <v>0</v>
      </c>
      <c r="K1058">
        <v>0</v>
      </c>
      <c r="L1058">
        <v>1</v>
      </c>
      <c r="M1058">
        <v>1</v>
      </c>
      <c r="N1058">
        <v>30</v>
      </c>
      <c r="O1058">
        <v>75000</v>
      </c>
      <c r="P1058">
        <v>5</v>
      </c>
      <c r="Q1058">
        <v>4</v>
      </c>
      <c r="R1058">
        <v>4</v>
      </c>
      <c r="S1058">
        <v>3</v>
      </c>
      <c r="T1058" s="123">
        <f t="shared" si="82"/>
        <v>0</v>
      </c>
      <c r="U1058">
        <f t="shared" si="83"/>
        <v>1</v>
      </c>
      <c r="V1058">
        <f t="shared" si="84"/>
        <v>1</v>
      </c>
      <c r="W1058">
        <f t="shared" si="85"/>
        <v>1</v>
      </c>
      <c r="X1058">
        <f t="shared" si="86"/>
        <v>0</v>
      </c>
    </row>
    <row r="1059" spans="1:24">
      <c r="A1059" t="s">
        <v>238</v>
      </c>
      <c r="B1059">
        <v>7</v>
      </c>
      <c r="C1059">
        <v>1</v>
      </c>
      <c r="D1059">
        <v>97.170258110348101</v>
      </c>
      <c r="E1059">
        <v>99.254084773857443</v>
      </c>
      <c r="F1059">
        <v>94.754913568553164</v>
      </c>
      <c r="G1059">
        <v>1.0182334833057081</v>
      </c>
      <c r="H1059">
        <v>3.4690977977740949</v>
      </c>
      <c r="I1059">
        <v>0</v>
      </c>
      <c r="J1059">
        <v>1</v>
      </c>
      <c r="K1059">
        <v>1</v>
      </c>
      <c r="L1059">
        <v>1</v>
      </c>
      <c r="M1059">
        <v>1</v>
      </c>
      <c r="N1059">
        <v>30</v>
      </c>
      <c r="O1059">
        <v>75000</v>
      </c>
      <c r="P1059">
        <v>5</v>
      </c>
      <c r="Q1059">
        <v>4</v>
      </c>
      <c r="R1059">
        <v>4</v>
      </c>
      <c r="S1059">
        <v>3</v>
      </c>
      <c r="T1059" s="123">
        <f t="shared" si="82"/>
        <v>0</v>
      </c>
      <c r="U1059">
        <f t="shared" si="83"/>
        <v>1</v>
      </c>
      <c r="V1059">
        <f t="shared" si="84"/>
        <v>1</v>
      </c>
      <c r="W1059">
        <f t="shared" si="85"/>
        <v>1</v>
      </c>
      <c r="X1059">
        <f t="shared" si="86"/>
        <v>0</v>
      </c>
    </row>
    <row r="1060" spans="1:24">
      <c r="A1060" t="s">
        <v>239</v>
      </c>
      <c r="B1060">
        <v>1</v>
      </c>
      <c r="C1060">
        <v>1</v>
      </c>
      <c r="D1060">
        <v>0</v>
      </c>
      <c r="E1060">
        <v>100</v>
      </c>
      <c r="F1060">
        <v>0</v>
      </c>
      <c r="G1060">
        <v>100</v>
      </c>
      <c r="H1060">
        <v>0</v>
      </c>
      <c r="I1060">
        <v>1</v>
      </c>
      <c r="J1060">
        <v>0</v>
      </c>
      <c r="K1060">
        <v>0</v>
      </c>
      <c r="L1060">
        <v>1</v>
      </c>
      <c r="M1060">
        <v>0</v>
      </c>
      <c r="N1060">
        <v>29</v>
      </c>
      <c r="O1060">
        <v>85000</v>
      </c>
      <c r="P1060">
        <v>4</v>
      </c>
      <c r="Q1060">
        <v>5</v>
      </c>
      <c r="R1060">
        <v>4</v>
      </c>
      <c r="S1060">
        <v>3</v>
      </c>
      <c r="T1060" s="123">
        <f t="shared" si="82"/>
        <v>0</v>
      </c>
      <c r="U1060">
        <f t="shared" si="83"/>
        <v>1</v>
      </c>
      <c r="V1060">
        <f t="shared" si="84"/>
        <v>1</v>
      </c>
      <c r="W1060">
        <f t="shared" si="85"/>
        <v>1</v>
      </c>
      <c r="X1060">
        <f t="shared" si="86"/>
        <v>0</v>
      </c>
    </row>
    <row r="1061" spans="1:24">
      <c r="A1061" t="s">
        <v>239</v>
      </c>
      <c r="B1061">
        <v>2</v>
      </c>
      <c r="C1061">
        <v>1</v>
      </c>
      <c r="D1061">
        <v>99.26103247293922</v>
      </c>
      <c r="E1061">
        <v>0.26280183180683042</v>
      </c>
      <c r="F1061">
        <v>99.385928393005827</v>
      </c>
      <c r="G1061">
        <v>0.30183180682764599</v>
      </c>
      <c r="H1061">
        <v>0.25239383846794577</v>
      </c>
      <c r="I1061">
        <v>0</v>
      </c>
      <c r="J1061">
        <v>0</v>
      </c>
      <c r="K1061">
        <v>1</v>
      </c>
      <c r="L1061">
        <v>1</v>
      </c>
      <c r="M1061">
        <v>0</v>
      </c>
      <c r="N1061">
        <v>29</v>
      </c>
      <c r="O1061">
        <v>85000</v>
      </c>
      <c r="P1061">
        <v>4</v>
      </c>
      <c r="Q1061">
        <v>5</v>
      </c>
      <c r="R1061">
        <v>4</v>
      </c>
      <c r="S1061">
        <v>3</v>
      </c>
      <c r="T1061" s="123">
        <f t="shared" si="82"/>
        <v>0</v>
      </c>
      <c r="U1061">
        <f t="shared" si="83"/>
        <v>1</v>
      </c>
      <c r="V1061">
        <f t="shared" si="84"/>
        <v>1</v>
      </c>
      <c r="W1061">
        <f t="shared" si="85"/>
        <v>1</v>
      </c>
      <c r="X1061">
        <f t="shared" si="86"/>
        <v>0</v>
      </c>
    </row>
    <row r="1062" spans="1:24">
      <c r="A1062" t="s">
        <v>239</v>
      </c>
      <c r="B1062">
        <v>3</v>
      </c>
      <c r="C1062">
        <v>1</v>
      </c>
      <c r="D1062">
        <v>3.9574468085106398</v>
      </c>
      <c r="E1062">
        <v>40.638297872340416</v>
      </c>
      <c r="F1062">
        <v>50</v>
      </c>
      <c r="G1062">
        <v>95.191489361702125</v>
      </c>
      <c r="H1062">
        <v>56.38297872340425</v>
      </c>
      <c r="I1062">
        <v>0</v>
      </c>
      <c r="J1062">
        <v>0</v>
      </c>
      <c r="K1062">
        <v>0</v>
      </c>
      <c r="L1062">
        <v>1</v>
      </c>
      <c r="M1062">
        <v>0</v>
      </c>
      <c r="N1062">
        <v>29</v>
      </c>
      <c r="O1062">
        <v>85000</v>
      </c>
      <c r="P1062">
        <v>4</v>
      </c>
      <c r="Q1062">
        <v>5</v>
      </c>
      <c r="R1062">
        <v>4</v>
      </c>
      <c r="S1062">
        <v>3</v>
      </c>
      <c r="T1062" s="123">
        <f t="shared" si="82"/>
        <v>0</v>
      </c>
      <c r="U1062">
        <f t="shared" si="83"/>
        <v>1</v>
      </c>
      <c r="V1062">
        <f t="shared" si="84"/>
        <v>1</v>
      </c>
      <c r="W1062">
        <f t="shared" si="85"/>
        <v>1</v>
      </c>
      <c r="X1062">
        <f t="shared" si="86"/>
        <v>0</v>
      </c>
    </row>
    <row r="1063" spans="1:24">
      <c r="A1063" t="s">
        <v>239</v>
      </c>
      <c r="B1063">
        <v>4</v>
      </c>
      <c r="C1063">
        <v>1</v>
      </c>
      <c r="D1063">
        <v>100</v>
      </c>
      <c r="E1063">
        <v>100</v>
      </c>
      <c r="F1063">
        <v>99.78723404255318</v>
      </c>
      <c r="G1063">
        <v>0</v>
      </c>
      <c r="H1063">
        <v>100</v>
      </c>
      <c r="I1063">
        <v>0</v>
      </c>
      <c r="J1063">
        <v>0</v>
      </c>
      <c r="K1063">
        <v>1</v>
      </c>
      <c r="L1063">
        <v>1</v>
      </c>
      <c r="M1063">
        <v>0</v>
      </c>
      <c r="N1063">
        <v>29</v>
      </c>
      <c r="O1063">
        <v>85000</v>
      </c>
      <c r="P1063">
        <v>4</v>
      </c>
      <c r="Q1063">
        <v>5</v>
      </c>
      <c r="R1063">
        <v>4</v>
      </c>
      <c r="S1063">
        <v>3</v>
      </c>
      <c r="T1063" s="123">
        <f t="shared" si="82"/>
        <v>0</v>
      </c>
      <c r="U1063">
        <f t="shared" si="83"/>
        <v>1</v>
      </c>
      <c r="V1063">
        <f t="shared" si="84"/>
        <v>1</v>
      </c>
      <c r="W1063">
        <f t="shared" si="85"/>
        <v>1</v>
      </c>
      <c r="X1063">
        <f t="shared" si="86"/>
        <v>0</v>
      </c>
    </row>
    <row r="1064" spans="1:24">
      <c r="A1064" t="s">
        <v>239</v>
      </c>
      <c r="B1064">
        <v>5</v>
      </c>
      <c r="C1064">
        <v>1</v>
      </c>
      <c r="D1064">
        <v>0</v>
      </c>
      <c r="E1064">
        <v>0</v>
      </c>
      <c r="F1064">
        <v>100</v>
      </c>
      <c r="G1064">
        <v>100</v>
      </c>
      <c r="H1064">
        <v>100</v>
      </c>
      <c r="I1064">
        <v>0</v>
      </c>
      <c r="J1064">
        <v>0</v>
      </c>
      <c r="K1064">
        <v>0</v>
      </c>
      <c r="L1064">
        <v>1</v>
      </c>
      <c r="M1064">
        <v>0</v>
      </c>
      <c r="N1064">
        <v>29</v>
      </c>
      <c r="O1064">
        <v>85000</v>
      </c>
      <c r="P1064">
        <v>4</v>
      </c>
      <c r="Q1064">
        <v>5</v>
      </c>
      <c r="R1064">
        <v>4</v>
      </c>
      <c r="S1064">
        <v>3</v>
      </c>
      <c r="T1064" s="123">
        <f t="shared" si="82"/>
        <v>0</v>
      </c>
      <c r="U1064">
        <f t="shared" si="83"/>
        <v>1</v>
      </c>
      <c r="V1064">
        <f t="shared" si="84"/>
        <v>1</v>
      </c>
      <c r="W1064">
        <f t="shared" si="85"/>
        <v>1</v>
      </c>
      <c r="X1064">
        <f t="shared" si="86"/>
        <v>0</v>
      </c>
    </row>
    <row r="1065" spans="1:24">
      <c r="A1065" t="s">
        <v>239</v>
      </c>
      <c r="B1065">
        <v>6</v>
      </c>
      <c r="C1065">
        <v>1</v>
      </c>
      <c r="D1065">
        <v>0</v>
      </c>
      <c r="E1065">
        <v>0</v>
      </c>
      <c r="F1065">
        <v>100</v>
      </c>
      <c r="G1065">
        <v>0</v>
      </c>
      <c r="H1065">
        <v>100</v>
      </c>
      <c r="I1065">
        <v>0</v>
      </c>
      <c r="J1065">
        <v>0</v>
      </c>
      <c r="K1065">
        <v>0</v>
      </c>
      <c r="L1065">
        <v>1</v>
      </c>
      <c r="M1065">
        <v>0</v>
      </c>
      <c r="N1065">
        <v>29</v>
      </c>
      <c r="O1065">
        <v>85000</v>
      </c>
      <c r="P1065">
        <v>4</v>
      </c>
      <c r="Q1065">
        <v>5</v>
      </c>
      <c r="R1065">
        <v>4</v>
      </c>
      <c r="S1065">
        <v>3</v>
      </c>
      <c r="T1065" s="123">
        <f t="shared" si="82"/>
        <v>0</v>
      </c>
      <c r="U1065">
        <f t="shared" si="83"/>
        <v>1</v>
      </c>
      <c r="V1065">
        <f t="shared" si="84"/>
        <v>1</v>
      </c>
      <c r="W1065">
        <f t="shared" si="85"/>
        <v>1</v>
      </c>
      <c r="X1065">
        <f t="shared" si="86"/>
        <v>0</v>
      </c>
    </row>
    <row r="1066" spans="1:24">
      <c r="A1066" t="s">
        <v>239</v>
      </c>
      <c r="B1066">
        <v>7</v>
      </c>
      <c r="C1066">
        <v>1</v>
      </c>
      <c r="D1066">
        <v>0</v>
      </c>
      <c r="E1066">
        <v>0</v>
      </c>
      <c r="F1066">
        <v>100</v>
      </c>
      <c r="G1066">
        <v>100</v>
      </c>
      <c r="H1066">
        <v>0</v>
      </c>
      <c r="I1066">
        <v>0</v>
      </c>
      <c r="J1066">
        <v>1</v>
      </c>
      <c r="K1066">
        <v>0</v>
      </c>
      <c r="L1066">
        <v>1</v>
      </c>
      <c r="M1066">
        <v>0</v>
      </c>
      <c r="N1066">
        <v>29</v>
      </c>
      <c r="O1066">
        <v>85000</v>
      </c>
      <c r="P1066">
        <v>4</v>
      </c>
      <c r="Q1066">
        <v>5</v>
      </c>
      <c r="R1066">
        <v>4</v>
      </c>
      <c r="S1066">
        <v>3</v>
      </c>
      <c r="T1066" s="123">
        <f t="shared" si="82"/>
        <v>0</v>
      </c>
      <c r="U1066">
        <f t="shared" si="83"/>
        <v>1</v>
      </c>
      <c r="V1066">
        <f t="shared" si="84"/>
        <v>1</v>
      </c>
      <c r="W1066">
        <f t="shared" si="85"/>
        <v>1</v>
      </c>
      <c r="X1066">
        <f t="shared" si="86"/>
        <v>0</v>
      </c>
    </row>
    <row r="1067" spans="1:24">
      <c r="A1067" t="s">
        <v>240</v>
      </c>
      <c r="B1067">
        <v>1</v>
      </c>
      <c r="C1067">
        <v>1</v>
      </c>
      <c r="D1067">
        <v>99.781603288797527</v>
      </c>
      <c r="E1067">
        <v>91.880781089414171</v>
      </c>
      <c r="F1067">
        <v>50</v>
      </c>
      <c r="G1067">
        <v>4.7147995889003091</v>
      </c>
      <c r="H1067">
        <v>7.8622816032888014</v>
      </c>
      <c r="I1067">
        <v>1</v>
      </c>
      <c r="J1067">
        <v>0</v>
      </c>
      <c r="K1067">
        <v>1</v>
      </c>
      <c r="L1067">
        <v>1</v>
      </c>
      <c r="M1067">
        <v>0</v>
      </c>
      <c r="N1067">
        <v>25</v>
      </c>
      <c r="O1067">
        <v>5000</v>
      </c>
      <c r="P1067">
        <v>2</v>
      </c>
      <c r="Q1067">
        <v>4</v>
      </c>
      <c r="R1067">
        <v>5</v>
      </c>
      <c r="S1067">
        <v>5</v>
      </c>
      <c r="T1067" s="123">
        <f t="shared" si="82"/>
        <v>0</v>
      </c>
      <c r="U1067">
        <f t="shared" si="83"/>
        <v>0</v>
      </c>
      <c r="V1067">
        <f t="shared" si="84"/>
        <v>1</v>
      </c>
      <c r="W1067">
        <f t="shared" si="85"/>
        <v>1</v>
      </c>
      <c r="X1067">
        <f t="shared" si="86"/>
        <v>1</v>
      </c>
    </row>
    <row r="1068" spans="1:24">
      <c r="A1068" t="s">
        <v>240</v>
      </c>
      <c r="B1068">
        <v>2</v>
      </c>
      <c r="C1068">
        <v>1</v>
      </c>
      <c r="D1068">
        <v>94.308838643371018</v>
      </c>
      <c r="E1068">
        <v>99.293422404933196</v>
      </c>
      <c r="F1068">
        <v>96.980986639260024</v>
      </c>
      <c r="G1068">
        <v>4.2780061664953726</v>
      </c>
      <c r="H1068">
        <v>77.672147995889006</v>
      </c>
      <c r="I1068">
        <v>0</v>
      </c>
      <c r="J1068">
        <v>0</v>
      </c>
      <c r="K1068">
        <v>1</v>
      </c>
      <c r="L1068">
        <v>1</v>
      </c>
      <c r="M1068">
        <v>0</v>
      </c>
      <c r="N1068">
        <v>25</v>
      </c>
      <c r="O1068">
        <v>5000</v>
      </c>
      <c r="P1068">
        <v>2</v>
      </c>
      <c r="Q1068">
        <v>4</v>
      </c>
      <c r="R1068">
        <v>5</v>
      </c>
      <c r="S1068">
        <v>5</v>
      </c>
      <c r="T1068" s="123">
        <f t="shared" si="82"/>
        <v>0</v>
      </c>
      <c r="U1068">
        <f t="shared" si="83"/>
        <v>0</v>
      </c>
      <c r="V1068">
        <f t="shared" si="84"/>
        <v>1</v>
      </c>
      <c r="W1068">
        <f t="shared" si="85"/>
        <v>1</v>
      </c>
      <c r="X1068">
        <f t="shared" si="86"/>
        <v>1</v>
      </c>
    </row>
    <row r="1069" spans="1:24">
      <c r="A1069" t="s">
        <v>240</v>
      </c>
      <c r="B1069">
        <v>3</v>
      </c>
      <c r="C1069">
        <v>1</v>
      </c>
      <c r="D1069">
        <v>96.428571428571431</v>
      </c>
      <c r="E1069">
        <v>23.972250770811922</v>
      </c>
      <c r="F1069">
        <v>93.139773895169569</v>
      </c>
      <c r="G1069">
        <v>13.14234326824255</v>
      </c>
      <c r="H1069">
        <v>92.343268242548817</v>
      </c>
      <c r="I1069">
        <v>0</v>
      </c>
      <c r="J1069">
        <v>0</v>
      </c>
      <c r="K1069">
        <v>1</v>
      </c>
      <c r="L1069">
        <v>1</v>
      </c>
      <c r="M1069">
        <v>0</v>
      </c>
      <c r="N1069">
        <v>25</v>
      </c>
      <c r="O1069">
        <v>5000</v>
      </c>
      <c r="P1069">
        <v>2</v>
      </c>
      <c r="Q1069">
        <v>4</v>
      </c>
      <c r="R1069">
        <v>5</v>
      </c>
      <c r="S1069">
        <v>5</v>
      </c>
      <c r="T1069" s="123">
        <f t="shared" si="82"/>
        <v>0</v>
      </c>
      <c r="U1069">
        <f t="shared" si="83"/>
        <v>0</v>
      </c>
      <c r="V1069">
        <f t="shared" si="84"/>
        <v>1</v>
      </c>
      <c r="W1069">
        <f t="shared" si="85"/>
        <v>1</v>
      </c>
      <c r="X1069">
        <f t="shared" si="86"/>
        <v>1</v>
      </c>
    </row>
    <row r="1070" spans="1:24">
      <c r="A1070" t="s">
        <v>240</v>
      </c>
      <c r="B1070">
        <v>4</v>
      </c>
      <c r="C1070">
        <v>1</v>
      </c>
      <c r="D1070">
        <v>97.045220966084273</v>
      </c>
      <c r="E1070">
        <v>99.550359712230218</v>
      </c>
      <c r="F1070">
        <v>98.753854059609452</v>
      </c>
      <c r="G1070">
        <v>3.7384378211716358</v>
      </c>
      <c r="H1070">
        <v>87.808324768756421</v>
      </c>
      <c r="I1070">
        <v>0</v>
      </c>
      <c r="J1070">
        <v>0</v>
      </c>
      <c r="K1070">
        <v>1</v>
      </c>
      <c r="L1070">
        <v>1</v>
      </c>
      <c r="M1070">
        <v>0</v>
      </c>
      <c r="N1070">
        <v>25</v>
      </c>
      <c r="O1070">
        <v>5000</v>
      </c>
      <c r="P1070">
        <v>2</v>
      </c>
      <c r="Q1070">
        <v>4</v>
      </c>
      <c r="R1070">
        <v>5</v>
      </c>
      <c r="S1070">
        <v>5</v>
      </c>
      <c r="T1070" s="123">
        <f t="shared" si="82"/>
        <v>0</v>
      </c>
      <c r="U1070">
        <f t="shared" si="83"/>
        <v>0</v>
      </c>
      <c r="V1070">
        <f t="shared" si="84"/>
        <v>1</v>
      </c>
      <c r="W1070">
        <f t="shared" si="85"/>
        <v>1</v>
      </c>
      <c r="X1070">
        <f t="shared" si="86"/>
        <v>1</v>
      </c>
    </row>
    <row r="1071" spans="1:24">
      <c r="A1071" t="s">
        <v>240</v>
      </c>
      <c r="B1071">
        <v>5</v>
      </c>
      <c r="C1071">
        <v>1</v>
      </c>
      <c r="D1071">
        <v>100</v>
      </c>
      <c r="E1071">
        <v>99.383350462487158</v>
      </c>
      <c r="F1071">
        <v>99.383350462487158</v>
      </c>
      <c r="G1071">
        <v>6.0251798561151091</v>
      </c>
      <c r="H1071">
        <v>12.61562178828366</v>
      </c>
      <c r="I1071">
        <v>0</v>
      </c>
      <c r="J1071">
        <v>0</v>
      </c>
      <c r="K1071">
        <v>1</v>
      </c>
      <c r="L1071">
        <v>1</v>
      </c>
      <c r="M1071">
        <v>0</v>
      </c>
      <c r="N1071">
        <v>25</v>
      </c>
      <c r="O1071">
        <v>5000</v>
      </c>
      <c r="P1071">
        <v>2</v>
      </c>
      <c r="Q1071">
        <v>4</v>
      </c>
      <c r="R1071">
        <v>5</v>
      </c>
      <c r="S1071">
        <v>5</v>
      </c>
      <c r="T1071" s="123">
        <f t="shared" si="82"/>
        <v>0</v>
      </c>
      <c r="U1071">
        <f t="shared" si="83"/>
        <v>0</v>
      </c>
      <c r="V1071">
        <f t="shared" si="84"/>
        <v>1</v>
      </c>
      <c r="W1071">
        <f t="shared" si="85"/>
        <v>1</v>
      </c>
      <c r="X1071">
        <f t="shared" si="86"/>
        <v>1</v>
      </c>
    </row>
    <row r="1072" spans="1:24">
      <c r="A1072" t="s">
        <v>240</v>
      </c>
      <c r="B1072">
        <v>6</v>
      </c>
      <c r="C1072">
        <v>1</v>
      </c>
      <c r="D1072">
        <v>98.509763617677294</v>
      </c>
      <c r="E1072">
        <v>54.188078108941419</v>
      </c>
      <c r="F1072">
        <v>59.095580678314477</v>
      </c>
      <c r="G1072">
        <v>5.5626927029804696</v>
      </c>
      <c r="H1072">
        <v>98.522610483042143</v>
      </c>
      <c r="I1072">
        <v>0</v>
      </c>
      <c r="J1072">
        <v>0</v>
      </c>
      <c r="K1072">
        <v>1</v>
      </c>
      <c r="L1072">
        <v>1</v>
      </c>
      <c r="M1072">
        <v>0</v>
      </c>
      <c r="N1072">
        <v>25</v>
      </c>
      <c r="O1072">
        <v>5000</v>
      </c>
      <c r="P1072">
        <v>2</v>
      </c>
      <c r="Q1072">
        <v>4</v>
      </c>
      <c r="R1072">
        <v>5</v>
      </c>
      <c r="S1072">
        <v>5</v>
      </c>
      <c r="T1072" s="123">
        <f t="shared" si="82"/>
        <v>0</v>
      </c>
      <c r="U1072">
        <f t="shared" si="83"/>
        <v>0</v>
      </c>
      <c r="V1072">
        <f t="shared" si="84"/>
        <v>1</v>
      </c>
      <c r="W1072">
        <f t="shared" si="85"/>
        <v>1</v>
      </c>
      <c r="X1072">
        <f t="shared" si="86"/>
        <v>1</v>
      </c>
    </row>
    <row r="1073" spans="1:24">
      <c r="A1073" t="s">
        <v>240</v>
      </c>
      <c r="B1073">
        <v>7</v>
      </c>
      <c r="C1073">
        <v>1</v>
      </c>
      <c r="D1073">
        <v>8.6073997944501546</v>
      </c>
      <c r="E1073">
        <v>92.548818088386426</v>
      </c>
      <c r="F1073">
        <v>98.49691675231243</v>
      </c>
      <c r="G1073">
        <v>3.7641315519013339</v>
      </c>
      <c r="H1073">
        <v>86.998972250770805</v>
      </c>
      <c r="I1073">
        <v>0</v>
      </c>
      <c r="J1073">
        <v>1</v>
      </c>
      <c r="K1073">
        <v>0</v>
      </c>
      <c r="L1073">
        <v>1</v>
      </c>
      <c r="M1073">
        <v>0</v>
      </c>
      <c r="N1073">
        <v>25</v>
      </c>
      <c r="O1073">
        <v>5000</v>
      </c>
      <c r="P1073">
        <v>2</v>
      </c>
      <c r="Q1073">
        <v>4</v>
      </c>
      <c r="R1073">
        <v>5</v>
      </c>
      <c r="S1073">
        <v>5</v>
      </c>
      <c r="T1073" s="123">
        <f t="shared" si="82"/>
        <v>0</v>
      </c>
      <c r="U1073">
        <f t="shared" si="83"/>
        <v>0</v>
      </c>
      <c r="V1073">
        <f t="shared" si="84"/>
        <v>1</v>
      </c>
      <c r="W1073">
        <f t="shared" si="85"/>
        <v>1</v>
      </c>
      <c r="X1073">
        <f t="shared" si="86"/>
        <v>1</v>
      </c>
    </row>
    <row r="1074" spans="1:24">
      <c r="A1074" t="s">
        <v>241</v>
      </c>
      <c r="B1074">
        <v>1</v>
      </c>
      <c r="C1074">
        <v>1</v>
      </c>
      <c r="D1074">
        <v>93.027888446215144</v>
      </c>
      <c r="E1074">
        <v>50</v>
      </c>
      <c r="F1074">
        <v>84.550686144311655</v>
      </c>
      <c r="G1074">
        <v>93.193891102257638</v>
      </c>
      <c r="H1074">
        <v>5.555555555555558</v>
      </c>
      <c r="I1074">
        <v>1</v>
      </c>
      <c r="J1074">
        <v>0</v>
      </c>
      <c r="K1074">
        <v>1</v>
      </c>
      <c r="L1074">
        <v>1</v>
      </c>
      <c r="M1074">
        <v>0</v>
      </c>
      <c r="N1074">
        <v>29</v>
      </c>
      <c r="O1074">
        <v>70000</v>
      </c>
      <c r="P1074">
        <v>2</v>
      </c>
      <c r="Q1074">
        <v>2</v>
      </c>
      <c r="R1074">
        <v>2</v>
      </c>
      <c r="S1074">
        <v>2</v>
      </c>
      <c r="T1074" s="123">
        <f t="shared" si="82"/>
        <v>0</v>
      </c>
      <c r="U1074">
        <f t="shared" si="83"/>
        <v>0</v>
      </c>
      <c r="V1074">
        <f t="shared" si="84"/>
        <v>0</v>
      </c>
      <c r="W1074">
        <f t="shared" si="85"/>
        <v>0</v>
      </c>
      <c r="X1074">
        <f t="shared" si="86"/>
        <v>0</v>
      </c>
    </row>
    <row r="1075" spans="1:24">
      <c r="A1075" t="s">
        <v>241</v>
      </c>
      <c r="B1075">
        <v>2</v>
      </c>
      <c r="C1075">
        <v>1</v>
      </c>
      <c r="D1075">
        <v>93.581230633023466</v>
      </c>
      <c r="E1075">
        <v>95.185922974767607</v>
      </c>
      <c r="F1075">
        <v>95.562195661797261</v>
      </c>
      <c r="G1075">
        <v>6.6179725542275358</v>
      </c>
      <c r="H1075">
        <v>6.8061088977423632</v>
      </c>
      <c r="I1075">
        <v>0</v>
      </c>
      <c r="J1075">
        <v>0</v>
      </c>
      <c r="K1075">
        <v>1</v>
      </c>
      <c r="L1075">
        <v>1</v>
      </c>
      <c r="M1075">
        <v>0</v>
      </c>
      <c r="N1075">
        <v>29</v>
      </c>
      <c r="O1075">
        <v>70000</v>
      </c>
      <c r="P1075">
        <v>2</v>
      </c>
      <c r="Q1075">
        <v>2</v>
      </c>
      <c r="R1075">
        <v>2</v>
      </c>
      <c r="S1075">
        <v>2</v>
      </c>
      <c r="T1075" s="123">
        <f t="shared" si="82"/>
        <v>0</v>
      </c>
      <c r="U1075">
        <f t="shared" si="83"/>
        <v>0</v>
      </c>
      <c r="V1075">
        <f t="shared" si="84"/>
        <v>0</v>
      </c>
      <c r="W1075">
        <f t="shared" si="85"/>
        <v>0</v>
      </c>
      <c r="X1075">
        <f t="shared" si="86"/>
        <v>0</v>
      </c>
    </row>
    <row r="1076" spans="1:24" hidden="1">
      <c r="A1076" t="s">
        <v>241</v>
      </c>
      <c r="B1076">
        <v>3</v>
      </c>
      <c r="C1076">
        <v>1</v>
      </c>
      <c r="D1076">
        <v>6.0203629924745483</v>
      </c>
      <c r="E1076">
        <v>5.5444887118193904</v>
      </c>
      <c r="F1076">
        <v>8.9973439575033236</v>
      </c>
      <c r="G1076">
        <v>2.8109783089862779</v>
      </c>
      <c r="H1076">
        <v>2.401505090748119</v>
      </c>
      <c r="I1076">
        <v>0</v>
      </c>
      <c r="J1076">
        <v>0</v>
      </c>
      <c r="K1076">
        <v>0</v>
      </c>
      <c r="L1076">
        <v>1</v>
      </c>
      <c r="M1076">
        <v>0</v>
      </c>
      <c r="N1076">
        <v>29</v>
      </c>
      <c r="O1076">
        <v>70000</v>
      </c>
      <c r="P1076">
        <v>2</v>
      </c>
      <c r="Q1076">
        <v>2</v>
      </c>
      <c r="R1076">
        <v>2</v>
      </c>
      <c r="S1076">
        <v>2</v>
      </c>
      <c r="T1076" s="123">
        <f t="shared" si="82"/>
        <v>1</v>
      </c>
      <c r="U1076">
        <f t="shared" si="83"/>
        <v>0</v>
      </c>
      <c r="V1076">
        <f t="shared" si="84"/>
        <v>0</v>
      </c>
      <c r="W1076">
        <f t="shared" si="85"/>
        <v>0</v>
      </c>
      <c r="X1076">
        <f t="shared" si="86"/>
        <v>0</v>
      </c>
    </row>
    <row r="1077" spans="1:24">
      <c r="A1077" t="s">
        <v>241</v>
      </c>
      <c r="B1077">
        <v>4</v>
      </c>
      <c r="C1077">
        <v>1</v>
      </c>
      <c r="D1077">
        <v>91.899070385126166</v>
      </c>
      <c r="E1077">
        <v>95.772465692784408</v>
      </c>
      <c r="F1077">
        <v>88.800354138999566</v>
      </c>
      <c r="G1077">
        <v>18.6033643204958</v>
      </c>
      <c r="H1077">
        <v>8.1230633023461731</v>
      </c>
      <c r="I1077">
        <v>0</v>
      </c>
      <c r="J1077">
        <v>0</v>
      </c>
      <c r="K1077">
        <v>1</v>
      </c>
      <c r="L1077">
        <v>1</v>
      </c>
      <c r="M1077">
        <v>0</v>
      </c>
      <c r="N1077">
        <v>29</v>
      </c>
      <c r="O1077">
        <v>70000</v>
      </c>
      <c r="P1077">
        <v>2</v>
      </c>
      <c r="Q1077">
        <v>2</v>
      </c>
      <c r="R1077">
        <v>2</v>
      </c>
      <c r="S1077">
        <v>2</v>
      </c>
      <c r="T1077" s="123">
        <f t="shared" si="82"/>
        <v>0</v>
      </c>
      <c r="U1077">
        <f t="shared" si="83"/>
        <v>0</v>
      </c>
      <c r="V1077">
        <f t="shared" si="84"/>
        <v>0</v>
      </c>
      <c r="W1077">
        <f t="shared" si="85"/>
        <v>0</v>
      </c>
      <c r="X1077">
        <f t="shared" si="86"/>
        <v>0</v>
      </c>
    </row>
    <row r="1078" spans="1:24" hidden="1">
      <c r="A1078" t="s">
        <v>241</v>
      </c>
      <c r="B1078">
        <v>5</v>
      </c>
      <c r="C1078">
        <v>1</v>
      </c>
      <c r="D1078">
        <v>1.8260292164674621</v>
      </c>
      <c r="E1078">
        <v>0</v>
      </c>
      <c r="F1078">
        <v>1.648959716688803</v>
      </c>
      <c r="G1078">
        <v>2.224435590969454</v>
      </c>
      <c r="H1078">
        <v>2.2133687472331021E-2</v>
      </c>
      <c r="I1078">
        <v>0</v>
      </c>
      <c r="J1078">
        <v>0</v>
      </c>
      <c r="K1078">
        <v>0</v>
      </c>
      <c r="L1078">
        <v>1</v>
      </c>
      <c r="M1078">
        <v>0</v>
      </c>
      <c r="N1078">
        <v>29</v>
      </c>
      <c r="O1078">
        <v>70000</v>
      </c>
      <c r="P1078">
        <v>2</v>
      </c>
      <c r="Q1078">
        <v>2</v>
      </c>
      <c r="R1078">
        <v>2</v>
      </c>
      <c r="S1078">
        <v>2</v>
      </c>
      <c r="T1078" s="123">
        <f t="shared" si="82"/>
        <v>1</v>
      </c>
      <c r="U1078">
        <f t="shared" si="83"/>
        <v>0</v>
      </c>
      <c r="V1078">
        <f t="shared" si="84"/>
        <v>0</v>
      </c>
      <c r="W1078">
        <f t="shared" si="85"/>
        <v>0</v>
      </c>
      <c r="X1078">
        <f t="shared" si="86"/>
        <v>0</v>
      </c>
    </row>
    <row r="1079" spans="1:24" hidden="1">
      <c r="A1079" t="s">
        <v>241</v>
      </c>
      <c r="B1079">
        <v>6</v>
      </c>
      <c r="C1079">
        <v>1</v>
      </c>
      <c r="D1079">
        <v>0.39840637450199168</v>
      </c>
      <c r="E1079">
        <v>0.90748118636564956</v>
      </c>
      <c r="F1079">
        <v>0.18813634351482761</v>
      </c>
      <c r="G1079">
        <v>0.90748118636564956</v>
      </c>
      <c r="H1079">
        <v>1.0734838424081461</v>
      </c>
      <c r="I1079">
        <v>0</v>
      </c>
      <c r="J1079">
        <v>0</v>
      </c>
      <c r="K1079">
        <v>0</v>
      </c>
      <c r="L1079">
        <v>1</v>
      </c>
      <c r="M1079">
        <v>0</v>
      </c>
      <c r="N1079">
        <v>29</v>
      </c>
      <c r="O1079">
        <v>70000</v>
      </c>
      <c r="P1079">
        <v>2</v>
      </c>
      <c r="Q1079">
        <v>2</v>
      </c>
      <c r="R1079">
        <v>2</v>
      </c>
      <c r="S1079">
        <v>2</v>
      </c>
      <c r="T1079" s="123">
        <f t="shared" si="82"/>
        <v>1</v>
      </c>
      <c r="U1079">
        <f t="shared" si="83"/>
        <v>0</v>
      </c>
      <c r="V1079">
        <f t="shared" si="84"/>
        <v>0</v>
      </c>
      <c r="W1079">
        <f t="shared" si="85"/>
        <v>0</v>
      </c>
      <c r="X1079">
        <f t="shared" si="86"/>
        <v>0</v>
      </c>
    </row>
    <row r="1080" spans="1:24" hidden="1">
      <c r="A1080" t="s">
        <v>241</v>
      </c>
      <c r="B1080">
        <v>7</v>
      </c>
      <c r="C1080">
        <v>1</v>
      </c>
      <c r="D1080">
        <v>0.2102700309871641</v>
      </c>
      <c r="E1080">
        <v>0</v>
      </c>
      <c r="F1080">
        <v>6.7950420540061964</v>
      </c>
      <c r="G1080">
        <v>0.92961487383798058</v>
      </c>
      <c r="H1080">
        <v>0.18813634351482761</v>
      </c>
      <c r="I1080">
        <v>0</v>
      </c>
      <c r="J1080">
        <v>1</v>
      </c>
      <c r="K1080">
        <v>0</v>
      </c>
      <c r="L1080">
        <v>1</v>
      </c>
      <c r="M1080">
        <v>0</v>
      </c>
      <c r="N1080">
        <v>29</v>
      </c>
      <c r="O1080">
        <v>70000</v>
      </c>
      <c r="P1080">
        <v>2</v>
      </c>
      <c r="Q1080">
        <v>2</v>
      </c>
      <c r="R1080">
        <v>2</v>
      </c>
      <c r="S1080">
        <v>2</v>
      </c>
      <c r="T1080" s="123">
        <f t="shared" si="82"/>
        <v>1</v>
      </c>
      <c r="U1080">
        <f t="shared" si="83"/>
        <v>0</v>
      </c>
      <c r="V1080">
        <f t="shared" si="84"/>
        <v>0</v>
      </c>
      <c r="W1080">
        <f t="shared" si="85"/>
        <v>0</v>
      </c>
      <c r="X1080">
        <f t="shared" si="86"/>
        <v>0</v>
      </c>
    </row>
    <row r="1081" spans="1:24">
      <c r="A1081" t="s">
        <v>242</v>
      </c>
      <c r="B1081">
        <v>1</v>
      </c>
      <c r="C1081">
        <v>1</v>
      </c>
      <c r="D1081">
        <v>94.513900312551399</v>
      </c>
      <c r="E1081">
        <v>96.586609639743386</v>
      </c>
      <c r="F1081">
        <v>97.524263859187371</v>
      </c>
      <c r="G1081">
        <v>8.3648626418818868</v>
      </c>
      <c r="H1081">
        <v>6.7198552393485764</v>
      </c>
      <c r="I1081">
        <v>1</v>
      </c>
      <c r="J1081">
        <v>0</v>
      </c>
      <c r="K1081">
        <v>1</v>
      </c>
      <c r="L1081">
        <v>1</v>
      </c>
      <c r="M1081">
        <v>1</v>
      </c>
      <c r="N1081">
        <v>18</v>
      </c>
      <c r="O1081">
        <v>22000</v>
      </c>
      <c r="P1081">
        <v>1</v>
      </c>
      <c r="Q1081">
        <v>2</v>
      </c>
      <c r="R1081">
        <v>3</v>
      </c>
      <c r="S1081">
        <v>4</v>
      </c>
      <c r="T1081" s="123">
        <f t="shared" si="82"/>
        <v>0</v>
      </c>
      <c r="U1081">
        <f t="shared" si="83"/>
        <v>0</v>
      </c>
      <c r="V1081">
        <f t="shared" si="84"/>
        <v>0</v>
      </c>
      <c r="W1081">
        <f t="shared" si="85"/>
        <v>0</v>
      </c>
      <c r="X1081">
        <f t="shared" si="86"/>
        <v>1</v>
      </c>
    </row>
    <row r="1082" spans="1:24">
      <c r="A1082" t="s">
        <v>242</v>
      </c>
      <c r="B1082">
        <v>2</v>
      </c>
      <c r="C1082">
        <v>1</v>
      </c>
      <c r="D1082">
        <v>94.38229972034874</v>
      </c>
      <c r="E1082">
        <v>96.586609639743386</v>
      </c>
      <c r="F1082">
        <v>88.073696331633485</v>
      </c>
      <c r="G1082">
        <v>2.2043099193946372</v>
      </c>
      <c r="H1082">
        <v>5.7739759828919208</v>
      </c>
      <c r="I1082">
        <v>0</v>
      </c>
      <c r="J1082">
        <v>0</v>
      </c>
      <c r="K1082">
        <v>1</v>
      </c>
      <c r="L1082">
        <v>1</v>
      </c>
      <c r="M1082">
        <v>1</v>
      </c>
      <c r="N1082">
        <v>18</v>
      </c>
      <c r="O1082">
        <v>22000</v>
      </c>
      <c r="P1082">
        <v>1</v>
      </c>
      <c r="Q1082">
        <v>2</v>
      </c>
      <c r="R1082">
        <v>3</v>
      </c>
      <c r="S1082">
        <v>4</v>
      </c>
      <c r="T1082" s="123">
        <f t="shared" si="82"/>
        <v>0</v>
      </c>
      <c r="U1082">
        <f t="shared" si="83"/>
        <v>0</v>
      </c>
      <c r="V1082">
        <f t="shared" si="84"/>
        <v>0</v>
      </c>
      <c r="W1082">
        <f t="shared" si="85"/>
        <v>0</v>
      </c>
      <c r="X1082">
        <f t="shared" si="86"/>
        <v>1</v>
      </c>
    </row>
    <row r="1083" spans="1:24">
      <c r="A1083" t="s">
        <v>242</v>
      </c>
      <c r="B1083">
        <v>3</v>
      </c>
      <c r="C1083">
        <v>1</v>
      </c>
      <c r="D1083">
        <v>96.298733344300047</v>
      </c>
      <c r="E1083">
        <v>89.578878104951471</v>
      </c>
      <c r="F1083">
        <v>7.4025333113999006</v>
      </c>
      <c r="G1083">
        <v>9.467017601579208</v>
      </c>
      <c r="H1083">
        <v>7.6739595328178982</v>
      </c>
      <c r="I1083">
        <v>0</v>
      </c>
      <c r="J1083">
        <v>0</v>
      </c>
      <c r="K1083">
        <v>1</v>
      </c>
      <c r="L1083">
        <v>1</v>
      </c>
      <c r="M1083">
        <v>1</v>
      </c>
      <c r="N1083">
        <v>18</v>
      </c>
      <c r="O1083">
        <v>22000</v>
      </c>
      <c r="P1083">
        <v>1</v>
      </c>
      <c r="Q1083">
        <v>2</v>
      </c>
      <c r="R1083">
        <v>3</v>
      </c>
      <c r="S1083">
        <v>4</v>
      </c>
      <c r="T1083" s="123">
        <f t="shared" si="82"/>
        <v>0</v>
      </c>
      <c r="U1083">
        <f t="shared" si="83"/>
        <v>0</v>
      </c>
      <c r="V1083">
        <f t="shared" si="84"/>
        <v>0</v>
      </c>
      <c r="W1083">
        <f t="shared" si="85"/>
        <v>0</v>
      </c>
      <c r="X1083">
        <f t="shared" si="86"/>
        <v>1</v>
      </c>
    </row>
    <row r="1084" spans="1:24" hidden="1">
      <c r="A1084" t="s">
        <v>242</v>
      </c>
      <c r="B1084">
        <v>4</v>
      </c>
      <c r="C1084">
        <v>1</v>
      </c>
      <c r="D1084">
        <v>9.5903931567692062</v>
      </c>
      <c r="E1084">
        <v>13.990787958545811</v>
      </c>
      <c r="F1084">
        <v>6.1605527224872496</v>
      </c>
      <c r="G1084">
        <v>2.327685474584634</v>
      </c>
      <c r="H1084">
        <v>2.2043099193946372</v>
      </c>
      <c r="I1084">
        <v>0</v>
      </c>
      <c r="J1084">
        <v>0</v>
      </c>
      <c r="K1084">
        <v>0</v>
      </c>
      <c r="L1084">
        <v>1</v>
      </c>
      <c r="M1084">
        <v>1</v>
      </c>
      <c r="N1084">
        <v>18</v>
      </c>
      <c r="O1084">
        <v>22000</v>
      </c>
      <c r="P1084">
        <v>1</v>
      </c>
      <c r="Q1084">
        <v>2</v>
      </c>
      <c r="R1084">
        <v>3</v>
      </c>
      <c r="S1084">
        <v>4</v>
      </c>
      <c r="T1084" s="123">
        <f t="shared" si="82"/>
        <v>1</v>
      </c>
      <c r="U1084">
        <f t="shared" si="83"/>
        <v>0</v>
      </c>
      <c r="V1084">
        <f t="shared" si="84"/>
        <v>0</v>
      </c>
      <c r="W1084">
        <f t="shared" si="85"/>
        <v>0</v>
      </c>
      <c r="X1084">
        <f t="shared" si="86"/>
        <v>1</v>
      </c>
    </row>
    <row r="1085" spans="1:24" hidden="1">
      <c r="A1085" t="s">
        <v>242</v>
      </c>
      <c r="B1085">
        <v>5</v>
      </c>
      <c r="C1085">
        <v>1</v>
      </c>
      <c r="D1085">
        <v>3.7012666556999529</v>
      </c>
      <c r="E1085">
        <v>4.6635959861819396</v>
      </c>
      <c r="F1085">
        <v>3.569666063497285</v>
      </c>
      <c r="G1085">
        <v>2.8787629544332951</v>
      </c>
      <c r="H1085">
        <v>6.1687777594999158</v>
      </c>
      <c r="I1085">
        <v>0</v>
      </c>
      <c r="J1085">
        <v>0</v>
      </c>
      <c r="K1085">
        <v>0</v>
      </c>
      <c r="L1085">
        <v>1</v>
      </c>
      <c r="M1085">
        <v>1</v>
      </c>
      <c r="N1085">
        <v>18</v>
      </c>
      <c r="O1085">
        <v>22000</v>
      </c>
      <c r="P1085">
        <v>1</v>
      </c>
      <c r="Q1085">
        <v>2</v>
      </c>
      <c r="R1085">
        <v>3</v>
      </c>
      <c r="S1085">
        <v>4</v>
      </c>
      <c r="T1085" s="123">
        <f t="shared" si="82"/>
        <v>1</v>
      </c>
      <c r="U1085">
        <f t="shared" si="83"/>
        <v>0</v>
      </c>
      <c r="V1085">
        <f t="shared" si="84"/>
        <v>0</v>
      </c>
      <c r="W1085">
        <f t="shared" si="85"/>
        <v>0</v>
      </c>
      <c r="X1085">
        <f t="shared" si="86"/>
        <v>1</v>
      </c>
    </row>
    <row r="1086" spans="1:24">
      <c r="A1086" t="s">
        <v>242</v>
      </c>
      <c r="B1086">
        <v>6</v>
      </c>
      <c r="C1086">
        <v>1</v>
      </c>
      <c r="D1086">
        <v>87.172413793103459</v>
      </c>
      <c r="E1086">
        <v>50</v>
      </c>
      <c r="F1086">
        <v>11.72413793103448</v>
      </c>
      <c r="G1086">
        <v>20.63218390804597</v>
      </c>
      <c r="H1086">
        <v>13.04597701149425</v>
      </c>
      <c r="I1086">
        <v>0</v>
      </c>
      <c r="J1086">
        <v>0</v>
      </c>
      <c r="K1086">
        <v>1</v>
      </c>
      <c r="L1086">
        <v>1</v>
      </c>
      <c r="M1086">
        <v>1</v>
      </c>
      <c r="N1086">
        <v>18</v>
      </c>
      <c r="O1086">
        <v>22000</v>
      </c>
      <c r="P1086">
        <v>1</v>
      </c>
      <c r="Q1086">
        <v>2</v>
      </c>
      <c r="R1086">
        <v>3</v>
      </c>
      <c r="S1086">
        <v>4</v>
      </c>
      <c r="T1086" s="123">
        <f t="shared" si="82"/>
        <v>0</v>
      </c>
      <c r="U1086">
        <f t="shared" si="83"/>
        <v>0</v>
      </c>
      <c r="V1086">
        <f t="shared" si="84"/>
        <v>0</v>
      </c>
      <c r="W1086">
        <f t="shared" si="85"/>
        <v>0</v>
      </c>
      <c r="X1086">
        <f t="shared" si="86"/>
        <v>1</v>
      </c>
    </row>
    <row r="1087" spans="1:24">
      <c r="A1087" t="s">
        <v>242</v>
      </c>
      <c r="B1087">
        <v>7</v>
      </c>
      <c r="C1087">
        <v>1</v>
      </c>
      <c r="D1087">
        <v>28.172413793103441</v>
      </c>
      <c r="E1087">
        <v>28.172413793103441</v>
      </c>
      <c r="F1087">
        <v>5.9310344827586237</v>
      </c>
      <c r="G1087">
        <v>3.2528735632183889</v>
      </c>
      <c r="H1087">
        <v>0</v>
      </c>
      <c r="I1087">
        <v>0</v>
      </c>
      <c r="J1087">
        <v>1</v>
      </c>
      <c r="K1087">
        <v>0</v>
      </c>
      <c r="L1087">
        <v>1</v>
      </c>
      <c r="M1087">
        <v>1</v>
      </c>
      <c r="N1087">
        <v>18</v>
      </c>
      <c r="O1087">
        <v>22000</v>
      </c>
      <c r="P1087">
        <v>1</v>
      </c>
      <c r="Q1087">
        <v>2</v>
      </c>
      <c r="R1087">
        <v>3</v>
      </c>
      <c r="S1087">
        <v>4</v>
      </c>
      <c r="T1087" s="123">
        <f t="shared" si="82"/>
        <v>0</v>
      </c>
      <c r="U1087">
        <f t="shared" si="83"/>
        <v>0</v>
      </c>
      <c r="V1087">
        <f t="shared" si="84"/>
        <v>0</v>
      </c>
      <c r="W1087">
        <f t="shared" si="85"/>
        <v>0</v>
      </c>
      <c r="X1087">
        <f t="shared" si="86"/>
        <v>1</v>
      </c>
    </row>
    <row r="1088" spans="1:24">
      <c r="A1088" t="s">
        <v>243</v>
      </c>
      <c r="B1088">
        <v>1</v>
      </c>
      <c r="C1088">
        <v>1</v>
      </c>
      <c r="D1088">
        <v>50</v>
      </c>
      <c r="E1088">
        <v>86.789946873722926</v>
      </c>
      <c r="F1088">
        <v>73.477727829995914</v>
      </c>
      <c r="G1088">
        <v>15.927666530445441</v>
      </c>
      <c r="H1088">
        <v>15.927666530445441</v>
      </c>
      <c r="I1088">
        <v>1</v>
      </c>
      <c r="J1088">
        <v>0</v>
      </c>
      <c r="K1088">
        <v>1</v>
      </c>
      <c r="L1088">
        <v>1</v>
      </c>
      <c r="M1088">
        <v>0</v>
      </c>
      <c r="N1088">
        <v>25</v>
      </c>
      <c r="O1088">
        <v>67000</v>
      </c>
      <c r="P1088">
        <v>3</v>
      </c>
      <c r="Q1088">
        <v>2</v>
      </c>
      <c r="R1088">
        <v>4</v>
      </c>
      <c r="S1088">
        <v>4</v>
      </c>
      <c r="T1088" s="123">
        <f t="shared" si="82"/>
        <v>0</v>
      </c>
      <c r="U1088">
        <f t="shared" si="83"/>
        <v>0</v>
      </c>
      <c r="V1088">
        <f t="shared" si="84"/>
        <v>0</v>
      </c>
      <c r="W1088">
        <f t="shared" si="85"/>
        <v>1</v>
      </c>
      <c r="X1088">
        <f t="shared" si="86"/>
        <v>1</v>
      </c>
    </row>
    <row r="1089" spans="1:24" hidden="1">
      <c r="A1089" t="s">
        <v>243</v>
      </c>
      <c r="B1089">
        <v>2</v>
      </c>
      <c r="C1089">
        <v>1</v>
      </c>
      <c r="D1089">
        <v>89.446260727421333</v>
      </c>
      <c r="E1089">
        <v>13.08745402533715</v>
      </c>
      <c r="F1089">
        <v>10.8295872496935</v>
      </c>
      <c r="G1089">
        <v>19.166326113608498</v>
      </c>
      <c r="H1089">
        <v>6.4058030241111563</v>
      </c>
      <c r="I1089">
        <v>0</v>
      </c>
      <c r="J1089">
        <v>0</v>
      </c>
      <c r="K1089">
        <v>1</v>
      </c>
      <c r="L1089">
        <v>1</v>
      </c>
      <c r="M1089">
        <v>0</v>
      </c>
      <c r="N1089">
        <v>25</v>
      </c>
      <c r="O1089">
        <v>67000</v>
      </c>
      <c r="P1089">
        <v>3</v>
      </c>
      <c r="Q1089">
        <v>2</v>
      </c>
      <c r="R1089">
        <v>4</v>
      </c>
      <c r="S1089">
        <v>4</v>
      </c>
      <c r="T1089" s="123">
        <f t="shared" si="82"/>
        <v>1</v>
      </c>
      <c r="U1089">
        <f t="shared" si="83"/>
        <v>0</v>
      </c>
      <c r="V1089">
        <f t="shared" si="84"/>
        <v>0</v>
      </c>
      <c r="W1089">
        <f t="shared" si="85"/>
        <v>1</v>
      </c>
      <c r="X1089">
        <f t="shared" si="86"/>
        <v>1</v>
      </c>
    </row>
    <row r="1090" spans="1:24">
      <c r="A1090" t="s">
        <v>243</v>
      </c>
      <c r="B1090">
        <v>3</v>
      </c>
      <c r="C1090">
        <v>1</v>
      </c>
      <c r="D1090">
        <v>79.280751941152431</v>
      </c>
      <c r="E1090">
        <v>8.0302411115651839</v>
      </c>
      <c r="F1090">
        <v>89.854924397221097</v>
      </c>
      <c r="G1090">
        <v>73.222313036371062</v>
      </c>
      <c r="H1090">
        <v>87.331426236207605</v>
      </c>
      <c r="I1090">
        <v>0</v>
      </c>
      <c r="J1090">
        <v>0</v>
      </c>
      <c r="K1090">
        <v>1</v>
      </c>
      <c r="L1090">
        <v>1</v>
      </c>
      <c r="M1090">
        <v>0</v>
      </c>
      <c r="N1090">
        <v>25</v>
      </c>
      <c r="O1090">
        <v>67000</v>
      </c>
      <c r="P1090">
        <v>3</v>
      </c>
      <c r="Q1090">
        <v>2</v>
      </c>
      <c r="R1090">
        <v>4</v>
      </c>
      <c r="S1090">
        <v>4</v>
      </c>
      <c r="T1090" s="123">
        <f t="shared" si="82"/>
        <v>0</v>
      </c>
      <c r="U1090">
        <f t="shared" si="83"/>
        <v>0</v>
      </c>
      <c r="V1090">
        <f t="shared" si="84"/>
        <v>0</v>
      </c>
      <c r="W1090">
        <f t="shared" si="85"/>
        <v>1</v>
      </c>
      <c r="X1090">
        <f t="shared" si="86"/>
        <v>1</v>
      </c>
    </row>
    <row r="1091" spans="1:24">
      <c r="A1091" t="s">
        <v>243</v>
      </c>
      <c r="B1091">
        <v>4</v>
      </c>
      <c r="C1091">
        <v>1</v>
      </c>
      <c r="D1091">
        <v>96.342460155292201</v>
      </c>
      <c r="E1091">
        <v>4.3931344503473637</v>
      </c>
      <c r="F1091">
        <v>96.117695136902341</v>
      </c>
      <c r="G1091">
        <v>96.659174499387007</v>
      </c>
      <c r="H1091">
        <v>5.9154066203514493</v>
      </c>
      <c r="I1091">
        <v>0</v>
      </c>
      <c r="J1091">
        <v>0</v>
      </c>
      <c r="K1091">
        <v>1</v>
      </c>
      <c r="L1091">
        <v>1</v>
      </c>
      <c r="M1091">
        <v>0</v>
      </c>
      <c r="N1091">
        <v>25</v>
      </c>
      <c r="O1091">
        <v>67000</v>
      </c>
      <c r="P1091">
        <v>3</v>
      </c>
      <c r="Q1091">
        <v>2</v>
      </c>
      <c r="R1091">
        <v>4</v>
      </c>
      <c r="S1091">
        <v>4</v>
      </c>
      <c r="T1091" s="123">
        <f t="shared" si="82"/>
        <v>0</v>
      </c>
      <c r="U1091">
        <f t="shared" si="83"/>
        <v>0</v>
      </c>
      <c r="V1091">
        <f t="shared" si="84"/>
        <v>0</v>
      </c>
      <c r="W1091">
        <f t="shared" si="85"/>
        <v>1</v>
      </c>
      <c r="X1091">
        <f t="shared" si="86"/>
        <v>1</v>
      </c>
    </row>
    <row r="1092" spans="1:24">
      <c r="A1092" t="s">
        <v>243</v>
      </c>
      <c r="B1092">
        <v>5</v>
      </c>
      <c r="C1092">
        <v>1</v>
      </c>
      <c r="D1092">
        <v>0</v>
      </c>
      <c r="E1092">
        <v>95.24928483857785</v>
      </c>
      <c r="F1092">
        <v>0.76595744680851285</v>
      </c>
      <c r="G1092">
        <v>95.198201879852888</v>
      </c>
      <c r="H1092">
        <v>2.117021276595743</v>
      </c>
      <c r="I1092">
        <v>0</v>
      </c>
      <c r="J1092">
        <v>0</v>
      </c>
      <c r="K1092">
        <v>0</v>
      </c>
      <c r="L1092">
        <v>1</v>
      </c>
      <c r="M1092">
        <v>0</v>
      </c>
      <c r="N1092">
        <v>25</v>
      </c>
      <c r="O1092">
        <v>67000</v>
      </c>
      <c r="P1092">
        <v>3</v>
      </c>
      <c r="Q1092">
        <v>2</v>
      </c>
      <c r="R1092">
        <v>4</v>
      </c>
      <c r="S1092">
        <v>4</v>
      </c>
      <c r="T1092" s="123">
        <f t="shared" ref="T1092:T1155" si="87">IF(OR(IF(AVERAGE(E1092:F1092)-G1092&gt;(10),1,0),IF(AVERAGE(E1092:F1092)-G1092&lt;(-10),1,0)),0,1)</f>
        <v>0</v>
      </c>
      <c r="U1092">
        <f t="shared" ref="U1092:U1155" si="88">IF(P1092&gt;3,1,0)</f>
        <v>0</v>
      </c>
      <c r="V1092">
        <f t="shared" ref="V1092:V1155" si="89">IF(Q1092&gt;3,1,0)</f>
        <v>0</v>
      </c>
      <c r="W1092">
        <f t="shared" ref="W1092:W1155" si="90">IF(R1092&gt;3,1,0)</f>
        <v>1</v>
      </c>
      <c r="X1092">
        <f t="shared" ref="X1092:X1155" si="91">IF(S1092&gt;3,1,0)</f>
        <v>1</v>
      </c>
    </row>
    <row r="1093" spans="1:24">
      <c r="A1093" t="s">
        <v>243</v>
      </c>
      <c r="B1093">
        <v>6</v>
      </c>
      <c r="C1093">
        <v>1</v>
      </c>
      <c r="D1093">
        <v>1.425531914893619</v>
      </c>
      <c r="E1093">
        <v>0.8191489361702109</v>
      </c>
      <c r="F1093">
        <v>2.2765957446808538</v>
      </c>
      <c r="G1093">
        <v>97.372340425531917</v>
      </c>
      <c r="H1093">
        <v>98.638297872340416</v>
      </c>
      <c r="I1093">
        <v>0</v>
      </c>
      <c r="J1093">
        <v>0</v>
      </c>
      <c r="K1093">
        <v>0</v>
      </c>
      <c r="L1093">
        <v>1</v>
      </c>
      <c r="M1093">
        <v>0</v>
      </c>
      <c r="N1093">
        <v>25</v>
      </c>
      <c r="O1093">
        <v>67000</v>
      </c>
      <c r="P1093">
        <v>3</v>
      </c>
      <c r="Q1093">
        <v>2</v>
      </c>
      <c r="R1093">
        <v>4</v>
      </c>
      <c r="S1093">
        <v>4</v>
      </c>
      <c r="T1093" s="123">
        <f t="shared" si="87"/>
        <v>0</v>
      </c>
      <c r="U1093">
        <f t="shared" si="88"/>
        <v>0</v>
      </c>
      <c r="V1093">
        <f t="shared" si="89"/>
        <v>0</v>
      </c>
      <c r="W1093">
        <f t="shared" si="90"/>
        <v>1</v>
      </c>
      <c r="X1093">
        <f t="shared" si="91"/>
        <v>1</v>
      </c>
    </row>
    <row r="1094" spans="1:24">
      <c r="A1094" t="s">
        <v>243</v>
      </c>
      <c r="B1094">
        <v>7</v>
      </c>
      <c r="C1094">
        <v>1</v>
      </c>
      <c r="D1094">
        <v>1.404255319148934</v>
      </c>
      <c r="E1094">
        <v>1.5106382978723409</v>
      </c>
      <c r="F1094">
        <v>97.287234042553195</v>
      </c>
      <c r="G1094">
        <v>1.1595744680851059</v>
      </c>
      <c r="H1094">
        <v>98.840425531914903</v>
      </c>
      <c r="I1094">
        <v>0</v>
      </c>
      <c r="J1094">
        <v>1</v>
      </c>
      <c r="K1094">
        <v>0</v>
      </c>
      <c r="L1094">
        <v>1</v>
      </c>
      <c r="M1094">
        <v>0</v>
      </c>
      <c r="N1094">
        <v>25</v>
      </c>
      <c r="O1094">
        <v>67000</v>
      </c>
      <c r="P1094">
        <v>3</v>
      </c>
      <c r="Q1094">
        <v>2</v>
      </c>
      <c r="R1094">
        <v>4</v>
      </c>
      <c r="S1094">
        <v>4</v>
      </c>
      <c r="T1094" s="123">
        <f t="shared" si="87"/>
        <v>0</v>
      </c>
      <c r="U1094">
        <f t="shared" si="88"/>
        <v>0</v>
      </c>
      <c r="V1094">
        <f t="shared" si="89"/>
        <v>0</v>
      </c>
      <c r="W1094">
        <f t="shared" si="90"/>
        <v>1</v>
      </c>
      <c r="X1094">
        <f t="shared" si="91"/>
        <v>1</v>
      </c>
    </row>
    <row r="1095" spans="1:24">
      <c r="A1095" t="s">
        <v>244</v>
      </c>
      <c r="B1095">
        <v>1</v>
      </c>
      <c r="C1095">
        <v>1</v>
      </c>
      <c r="D1095">
        <v>84.927124066832562</v>
      </c>
      <c r="E1095">
        <v>89.370778528261638</v>
      </c>
      <c r="F1095">
        <v>95.47635975826519</v>
      </c>
      <c r="G1095">
        <v>12.29559189477426</v>
      </c>
      <c r="H1095">
        <v>14.628510487024529</v>
      </c>
      <c r="I1095">
        <v>1</v>
      </c>
      <c r="J1095">
        <v>0</v>
      </c>
      <c r="K1095">
        <v>1</v>
      </c>
      <c r="L1095">
        <v>1</v>
      </c>
      <c r="M1095">
        <v>0</v>
      </c>
      <c r="N1095">
        <v>60</v>
      </c>
      <c r="O1095">
        <v>5000</v>
      </c>
      <c r="P1095">
        <v>1</v>
      </c>
      <c r="Q1095">
        <v>1</v>
      </c>
      <c r="R1095">
        <v>1</v>
      </c>
      <c r="S1095">
        <v>1</v>
      </c>
      <c r="T1095" s="123">
        <f t="shared" si="87"/>
        <v>0</v>
      </c>
      <c r="U1095">
        <f t="shared" si="88"/>
        <v>0</v>
      </c>
      <c r="V1095">
        <f t="shared" si="89"/>
        <v>0</v>
      </c>
      <c r="W1095">
        <f t="shared" si="90"/>
        <v>0</v>
      </c>
      <c r="X1095">
        <f t="shared" si="91"/>
        <v>0</v>
      </c>
    </row>
    <row r="1096" spans="1:24">
      <c r="A1096" t="s">
        <v>244</v>
      </c>
      <c r="B1096">
        <v>2</v>
      </c>
      <c r="C1096">
        <v>1</v>
      </c>
      <c r="D1096">
        <v>32.996928477402371</v>
      </c>
      <c r="E1096">
        <v>55.550680122860911</v>
      </c>
      <c r="F1096">
        <v>71.281263712154455</v>
      </c>
      <c r="G1096">
        <v>91.684949539271614</v>
      </c>
      <c r="H1096">
        <v>50</v>
      </c>
      <c r="I1096">
        <v>0</v>
      </c>
      <c r="J1096">
        <v>0</v>
      </c>
      <c r="K1096">
        <v>0</v>
      </c>
      <c r="L1096">
        <v>1</v>
      </c>
      <c r="M1096">
        <v>0</v>
      </c>
      <c r="N1096">
        <v>60</v>
      </c>
      <c r="O1096">
        <v>5000</v>
      </c>
      <c r="P1096">
        <v>1</v>
      </c>
      <c r="Q1096">
        <v>1</v>
      </c>
      <c r="R1096">
        <v>1</v>
      </c>
      <c r="S1096">
        <v>1</v>
      </c>
      <c r="T1096" s="123">
        <f t="shared" si="87"/>
        <v>0</v>
      </c>
      <c r="U1096">
        <f t="shared" si="88"/>
        <v>0</v>
      </c>
      <c r="V1096">
        <f t="shared" si="89"/>
        <v>0</v>
      </c>
      <c r="W1096">
        <f t="shared" si="90"/>
        <v>0</v>
      </c>
      <c r="X1096">
        <f t="shared" si="91"/>
        <v>0</v>
      </c>
    </row>
    <row r="1097" spans="1:24" hidden="1">
      <c r="A1097" t="s">
        <v>244</v>
      </c>
      <c r="B1097">
        <v>3</v>
      </c>
      <c r="C1097">
        <v>1</v>
      </c>
      <c r="D1097">
        <v>29.267222465993861</v>
      </c>
      <c r="E1097">
        <v>50</v>
      </c>
      <c r="F1097">
        <v>13.61342694164107</v>
      </c>
      <c r="G1097">
        <v>28.894251864853</v>
      </c>
      <c r="H1097">
        <v>50</v>
      </c>
      <c r="I1097">
        <v>0</v>
      </c>
      <c r="J1097">
        <v>0</v>
      </c>
      <c r="K1097">
        <v>0</v>
      </c>
      <c r="L1097">
        <v>1</v>
      </c>
      <c r="M1097">
        <v>0</v>
      </c>
      <c r="N1097">
        <v>60</v>
      </c>
      <c r="O1097">
        <v>5000</v>
      </c>
      <c r="P1097">
        <v>1</v>
      </c>
      <c r="Q1097">
        <v>1</v>
      </c>
      <c r="R1097">
        <v>1</v>
      </c>
      <c r="S1097">
        <v>1</v>
      </c>
      <c r="T1097" s="123">
        <f t="shared" si="87"/>
        <v>1</v>
      </c>
      <c r="U1097">
        <f t="shared" si="88"/>
        <v>0</v>
      </c>
      <c r="V1097">
        <f t="shared" si="89"/>
        <v>0</v>
      </c>
      <c r="W1097">
        <f t="shared" si="90"/>
        <v>0</v>
      </c>
      <c r="X1097">
        <f t="shared" si="91"/>
        <v>0</v>
      </c>
    </row>
    <row r="1098" spans="1:24">
      <c r="A1098" t="s">
        <v>244</v>
      </c>
      <c r="B1098">
        <v>4</v>
      </c>
      <c r="C1098">
        <v>1</v>
      </c>
      <c r="D1098">
        <v>5.5835892935498013</v>
      </c>
      <c r="E1098">
        <v>2.6766125493637549</v>
      </c>
      <c r="F1098">
        <v>42.913558578323823</v>
      </c>
      <c r="G1098">
        <v>5.2983764809126814</v>
      </c>
      <c r="H1098">
        <v>4.8157086441421697</v>
      </c>
      <c r="I1098">
        <v>0</v>
      </c>
      <c r="J1098">
        <v>0</v>
      </c>
      <c r="K1098">
        <v>0</v>
      </c>
      <c r="L1098">
        <v>1</v>
      </c>
      <c r="M1098">
        <v>0</v>
      </c>
      <c r="N1098">
        <v>60</v>
      </c>
      <c r="O1098">
        <v>5000</v>
      </c>
      <c r="P1098">
        <v>1</v>
      </c>
      <c r="Q1098">
        <v>1</v>
      </c>
      <c r="R1098">
        <v>1</v>
      </c>
      <c r="S1098">
        <v>1</v>
      </c>
      <c r="T1098" s="123">
        <f t="shared" si="87"/>
        <v>0</v>
      </c>
      <c r="U1098">
        <f t="shared" si="88"/>
        <v>0</v>
      </c>
      <c r="V1098">
        <f t="shared" si="89"/>
        <v>0</v>
      </c>
      <c r="W1098">
        <f t="shared" si="90"/>
        <v>0</v>
      </c>
      <c r="X1098">
        <f t="shared" si="91"/>
        <v>0</v>
      </c>
    </row>
    <row r="1099" spans="1:24" hidden="1">
      <c r="A1099" t="s">
        <v>244</v>
      </c>
      <c r="B1099">
        <v>5</v>
      </c>
      <c r="C1099">
        <v>1</v>
      </c>
      <c r="D1099">
        <v>0</v>
      </c>
      <c r="E1099">
        <v>0.84466871434840107</v>
      </c>
      <c r="F1099">
        <v>8.4905660377358476</v>
      </c>
      <c r="G1099">
        <v>2.358490566037736</v>
      </c>
      <c r="H1099">
        <v>0</v>
      </c>
      <c r="I1099">
        <v>0</v>
      </c>
      <c r="J1099">
        <v>0</v>
      </c>
      <c r="K1099">
        <v>0</v>
      </c>
      <c r="L1099">
        <v>1</v>
      </c>
      <c r="M1099">
        <v>0</v>
      </c>
      <c r="N1099">
        <v>60</v>
      </c>
      <c r="O1099">
        <v>5000</v>
      </c>
      <c r="P1099">
        <v>1</v>
      </c>
      <c r="Q1099">
        <v>1</v>
      </c>
      <c r="R1099">
        <v>1</v>
      </c>
      <c r="S1099">
        <v>1</v>
      </c>
      <c r="T1099" s="123">
        <f t="shared" si="87"/>
        <v>1</v>
      </c>
      <c r="U1099">
        <f t="shared" si="88"/>
        <v>0</v>
      </c>
      <c r="V1099">
        <f t="shared" si="89"/>
        <v>0</v>
      </c>
      <c r="W1099">
        <f t="shared" si="90"/>
        <v>0</v>
      </c>
      <c r="X1099">
        <f t="shared" si="91"/>
        <v>0</v>
      </c>
    </row>
    <row r="1100" spans="1:24">
      <c r="A1100" t="s">
        <v>244</v>
      </c>
      <c r="B1100">
        <v>6</v>
      </c>
      <c r="C1100">
        <v>1</v>
      </c>
      <c r="D1100">
        <v>1.744186046511625</v>
      </c>
      <c r="E1100">
        <v>2.095217200526545</v>
      </c>
      <c r="F1100">
        <v>46.895568231680564</v>
      </c>
      <c r="G1100">
        <v>5.1996489688459828</v>
      </c>
      <c r="H1100">
        <v>4.0478279947345319</v>
      </c>
      <c r="I1100">
        <v>0</v>
      </c>
      <c r="J1100">
        <v>0</v>
      </c>
      <c r="K1100">
        <v>0</v>
      </c>
      <c r="L1100">
        <v>1</v>
      </c>
      <c r="M1100">
        <v>0</v>
      </c>
      <c r="N1100">
        <v>60</v>
      </c>
      <c r="O1100">
        <v>5000</v>
      </c>
      <c r="P1100">
        <v>1</v>
      </c>
      <c r="Q1100">
        <v>1</v>
      </c>
      <c r="R1100">
        <v>1</v>
      </c>
      <c r="S1100">
        <v>1</v>
      </c>
      <c r="T1100" s="123">
        <f t="shared" si="87"/>
        <v>0</v>
      </c>
      <c r="U1100">
        <f t="shared" si="88"/>
        <v>0</v>
      </c>
      <c r="V1100">
        <f t="shared" si="89"/>
        <v>0</v>
      </c>
      <c r="W1100">
        <f t="shared" si="90"/>
        <v>0</v>
      </c>
      <c r="X1100">
        <f t="shared" si="91"/>
        <v>0</v>
      </c>
    </row>
    <row r="1101" spans="1:24" hidden="1">
      <c r="A1101" t="s">
        <v>244</v>
      </c>
      <c r="B1101">
        <v>7</v>
      </c>
      <c r="C1101">
        <v>1</v>
      </c>
      <c r="D1101">
        <v>2.4901272487933279</v>
      </c>
      <c r="E1101">
        <v>5.7481351469942936</v>
      </c>
      <c r="F1101">
        <v>32.459412022817027</v>
      </c>
      <c r="G1101">
        <v>11.90215006581834</v>
      </c>
      <c r="H1101">
        <v>5.3641948222904814</v>
      </c>
      <c r="I1101">
        <v>0</v>
      </c>
      <c r="J1101">
        <v>1</v>
      </c>
      <c r="K1101">
        <v>0</v>
      </c>
      <c r="L1101">
        <v>1</v>
      </c>
      <c r="M1101">
        <v>0</v>
      </c>
      <c r="N1101">
        <v>60</v>
      </c>
      <c r="O1101">
        <v>5000</v>
      </c>
      <c r="P1101">
        <v>1</v>
      </c>
      <c r="Q1101">
        <v>1</v>
      </c>
      <c r="R1101">
        <v>1</v>
      </c>
      <c r="S1101">
        <v>1</v>
      </c>
      <c r="T1101" s="123">
        <f t="shared" si="87"/>
        <v>1</v>
      </c>
      <c r="U1101">
        <f t="shared" si="88"/>
        <v>0</v>
      </c>
      <c r="V1101">
        <f t="shared" si="89"/>
        <v>0</v>
      </c>
      <c r="W1101">
        <f t="shared" si="90"/>
        <v>0</v>
      </c>
      <c r="X1101">
        <f t="shared" si="91"/>
        <v>0</v>
      </c>
    </row>
    <row r="1102" spans="1:24">
      <c r="A1102" t="s">
        <v>245</v>
      </c>
      <c r="B1102">
        <v>1</v>
      </c>
      <c r="C1102">
        <v>1</v>
      </c>
      <c r="D1102">
        <v>100</v>
      </c>
      <c r="E1102">
        <v>95.030303030303031</v>
      </c>
      <c r="F1102">
        <v>0.65151515151515293</v>
      </c>
      <c r="G1102">
        <v>9.0909090909091494E-2</v>
      </c>
      <c r="H1102">
        <v>100</v>
      </c>
      <c r="I1102">
        <v>1</v>
      </c>
      <c r="J1102">
        <v>0</v>
      </c>
      <c r="K1102">
        <v>1</v>
      </c>
      <c r="L1102">
        <v>1</v>
      </c>
      <c r="M1102">
        <v>1</v>
      </c>
      <c r="N1102">
        <v>37</v>
      </c>
      <c r="O1102">
        <v>120000</v>
      </c>
      <c r="P1102">
        <v>4</v>
      </c>
      <c r="Q1102">
        <v>2</v>
      </c>
      <c r="R1102">
        <v>5</v>
      </c>
      <c r="S1102">
        <v>4</v>
      </c>
      <c r="T1102" s="123">
        <f t="shared" si="87"/>
        <v>0</v>
      </c>
      <c r="U1102">
        <f t="shared" si="88"/>
        <v>1</v>
      </c>
      <c r="V1102">
        <f t="shared" si="89"/>
        <v>0</v>
      </c>
      <c r="W1102">
        <f t="shared" si="90"/>
        <v>1</v>
      </c>
      <c r="X1102">
        <f t="shared" si="91"/>
        <v>1</v>
      </c>
    </row>
    <row r="1103" spans="1:24">
      <c r="A1103" t="s">
        <v>245</v>
      </c>
      <c r="B1103">
        <v>2</v>
      </c>
      <c r="C1103">
        <v>1</v>
      </c>
      <c r="D1103">
        <v>100</v>
      </c>
      <c r="E1103">
        <v>0.95454545454545237</v>
      </c>
      <c r="F1103">
        <v>100</v>
      </c>
      <c r="G1103">
        <v>100</v>
      </c>
      <c r="H1103">
        <v>95.606060606060609</v>
      </c>
      <c r="I1103">
        <v>0</v>
      </c>
      <c r="J1103">
        <v>0</v>
      </c>
      <c r="K1103">
        <v>1</v>
      </c>
      <c r="L1103">
        <v>1</v>
      </c>
      <c r="M1103">
        <v>1</v>
      </c>
      <c r="N1103">
        <v>37</v>
      </c>
      <c r="O1103">
        <v>120000</v>
      </c>
      <c r="P1103">
        <v>4</v>
      </c>
      <c r="Q1103">
        <v>2</v>
      </c>
      <c r="R1103">
        <v>5</v>
      </c>
      <c r="S1103">
        <v>4</v>
      </c>
      <c r="T1103" s="123">
        <f t="shared" si="87"/>
        <v>0</v>
      </c>
      <c r="U1103">
        <f t="shared" si="88"/>
        <v>1</v>
      </c>
      <c r="V1103">
        <f t="shared" si="89"/>
        <v>0</v>
      </c>
      <c r="W1103">
        <f t="shared" si="90"/>
        <v>1</v>
      </c>
      <c r="X1103">
        <f t="shared" si="91"/>
        <v>1</v>
      </c>
    </row>
    <row r="1104" spans="1:24">
      <c r="A1104" t="s">
        <v>245</v>
      </c>
      <c r="B1104">
        <v>3</v>
      </c>
      <c r="C1104">
        <v>1</v>
      </c>
      <c r="D1104">
        <v>96.181818181818173</v>
      </c>
      <c r="E1104">
        <v>95.575757575757578</v>
      </c>
      <c r="F1104">
        <v>100</v>
      </c>
      <c r="G1104">
        <v>0</v>
      </c>
      <c r="H1104">
        <v>100</v>
      </c>
      <c r="I1104">
        <v>0</v>
      </c>
      <c r="J1104">
        <v>0</v>
      </c>
      <c r="K1104">
        <v>1</v>
      </c>
      <c r="L1104">
        <v>1</v>
      </c>
      <c r="M1104">
        <v>1</v>
      </c>
      <c r="N1104">
        <v>37</v>
      </c>
      <c r="O1104">
        <v>120000</v>
      </c>
      <c r="P1104">
        <v>4</v>
      </c>
      <c r="Q1104">
        <v>2</v>
      </c>
      <c r="R1104">
        <v>5</v>
      </c>
      <c r="S1104">
        <v>4</v>
      </c>
      <c r="T1104" s="123">
        <f t="shared" si="87"/>
        <v>0</v>
      </c>
      <c r="U1104">
        <f t="shared" si="88"/>
        <v>1</v>
      </c>
      <c r="V1104">
        <f t="shared" si="89"/>
        <v>0</v>
      </c>
      <c r="W1104">
        <f t="shared" si="90"/>
        <v>1</v>
      </c>
      <c r="X1104">
        <f t="shared" si="91"/>
        <v>1</v>
      </c>
    </row>
    <row r="1105" spans="1:24">
      <c r="A1105" t="s">
        <v>245</v>
      </c>
      <c r="B1105">
        <v>4</v>
      </c>
      <c r="C1105">
        <v>1</v>
      </c>
      <c r="D1105">
        <v>2.106060606060606</v>
      </c>
      <c r="E1105">
        <v>97.287878787878796</v>
      </c>
      <c r="F1105">
        <v>2.666666666666667</v>
      </c>
      <c r="G1105">
        <v>98.484848484848484</v>
      </c>
      <c r="H1105">
        <v>96.439393939393938</v>
      </c>
      <c r="I1105">
        <v>0</v>
      </c>
      <c r="J1105">
        <v>0</v>
      </c>
      <c r="K1105">
        <v>0</v>
      </c>
      <c r="L1105">
        <v>1</v>
      </c>
      <c r="M1105">
        <v>1</v>
      </c>
      <c r="N1105">
        <v>37</v>
      </c>
      <c r="O1105">
        <v>120000</v>
      </c>
      <c r="P1105">
        <v>4</v>
      </c>
      <c r="Q1105">
        <v>2</v>
      </c>
      <c r="R1105">
        <v>5</v>
      </c>
      <c r="S1105">
        <v>4</v>
      </c>
      <c r="T1105" s="123">
        <f t="shared" si="87"/>
        <v>0</v>
      </c>
      <c r="U1105">
        <f t="shared" si="88"/>
        <v>1</v>
      </c>
      <c r="V1105">
        <f t="shared" si="89"/>
        <v>0</v>
      </c>
      <c r="W1105">
        <f t="shared" si="90"/>
        <v>1</v>
      </c>
      <c r="X1105">
        <f t="shared" si="91"/>
        <v>1</v>
      </c>
    </row>
    <row r="1106" spans="1:24">
      <c r="A1106" t="s">
        <v>245</v>
      </c>
      <c r="B1106">
        <v>5</v>
      </c>
      <c r="C1106">
        <v>1</v>
      </c>
      <c r="D1106">
        <v>100</v>
      </c>
      <c r="E1106">
        <v>0.96969696969697039</v>
      </c>
      <c r="F1106">
        <v>100</v>
      </c>
      <c r="G1106">
        <v>97.606060606060609</v>
      </c>
      <c r="H1106">
        <v>100</v>
      </c>
      <c r="I1106">
        <v>0</v>
      </c>
      <c r="J1106">
        <v>0</v>
      </c>
      <c r="K1106">
        <v>1</v>
      </c>
      <c r="L1106">
        <v>1</v>
      </c>
      <c r="M1106">
        <v>1</v>
      </c>
      <c r="N1106">
        <v>37</v>
      </c>
      <c r="O1106">
        <v>120000</v>
      </c>
      <c r="P1106">
        <v>4</v>
      </c>
      <c r="Q1106">
        <v>2</v>
      </c>
      <c r="R1106">
        <v>5</v>
      </c>
      <c r="S1106">
        <v>4</v>
      </c>
      <c r="T1106" s="123">
        <f t="shared" si="87"/>
        <v>0</v>
      </c>
      <c r="U1106">
        <f t="shared" si="88"/>
        <v>1</v>
      </c>
      <c r="V1106">
        <f t="shared" si="89"/>
        <v>0</v>
      </c>
      <c r="W1106">
        <f t="shared" si="90"/>
        <v>1</v>
      </c>
      <c r="X1106">
        <f t="shared" si="91"/>
        <v>1</v>
      </c>
    </row>
    <row r="1107" spans="1:24">
      <c r="A1107" t="s">
        <v>245</v>
      </c>
      <c r="B1107">
        <v>6</v>
      </c>
      <c r="C1107">
        <v>1</v>
      </c>
      <c r="D1107">
        <v>100</v>
      </c>
      <c r="E1107">
        <v>1.5454545454545441</v>
      </c>
      <c r="F1107">
        <v>0</v>
      </c>
      <c r="G1107">
        <v>96.484848484848484</v>
      </c>
      <c r="H1107">
        <v>100</v>
      </c>
      <c r="I1107">
        <v>0</v>
      </c>
      <c r="J1107">
        <v>0</v>
      </c>
      <c r="K1107">
        <v>1</v>
      </c>
      <c r="L1107">
        <v>1</v>
      </c>
      <c r="M1107">
        <v>1</v>
      </c>
      <c r="N1107">
        <v>37</v>
      </c>
      <c r="O1107">
        <v>120000</v>
      </c>
      <c r="P1107">
        <v>4</v>
      </c>
      <c r="Q1107">
        <v>2</v>
      </c>
      <c r="R1107">
        <v>5</v>
      </c>
      <c r="S1107">
        <v>4</v>
      </c>
      <c r="T1107" s="123">
        <f t="shared" si="87"/>
        <v>0</v>
      </c>
      <c r="U1107">
        <f t="shared" si="88"/>
        <v>1</v>
      </c>
      <c r="V1107">
        <f t="shared" si="89"/>
        <v>0</v>
      </c>
      <c r="W1107">
        <f t="shared" si="90"/>
        <v>1</v>
      </c>
      <c r="X1107">
        <f t="shared" si="91"/>
        <v>1</v>
      </c>
    </row>
    <row r="1108" spans="1:24" hidden="1">
      <c r="A1108" t="s">
        <v>245</v>
      </c>
      <c r="B1108">
        <v>7</v>
      </c>
      <c r="C1108">
        <v>1</v>
      </c>
      <c r="D1108">
        <v>50</v>
      </c>
      <c r="E1108">
        <v>0</v>
      </c>
      <c r="F1108">
        <v>7.2575757575757569</v>
      </c>
      <c r="G1108">
        <v>0</v>
      </c>
      <c r="H1108">
        <v>100</v>
      </c>
      <c r="I1108">
        <v>0</v>
      </c>
      <c r="J1108">
        <v>1</v>
      </c>
      <c r="K1108">
        <v>1</v>
      </c>
      <c r="L1108">
        <v>1</v>
      </c>
      <c r="M1108">
        <v>1</v>
      </c>
      <c r="N1108">
        <v>37</v>
      </c>
      <c r="O1108">
        <v>120000</v>
      </c>
      <c r="P1108">
        <v>4</v>
      </c>
      <c r="Q1108">
        <v>2</v>
      </c>
      <c r="R1108">
        <v>5</v>
      </c>
      <c r="S1108">
        <v>4</v>
      </c>
      <c r="T1108" s="123">
        <f t="shared" si="87"/>
        <v>1</v>
      </c>
      <c r="U1108">
        <f t="shared" si="88"/>
        <v>1</v>
      </c>
      <c r="V1108">
        <f t="shared" si="89"/>
        <v>0</v>
      </c>
      <c r="W1108">
        <f t="shared" si="90"/>
        <v>1</v>
      </c>
      <c r="X1108">
        <f t="shared" si="91"/>
        <v>1</v>
      </c>
    </row>
    <row r="1109" spans="1:24">
      <c r="A1109" t="s">
        <v>246</v>
      </c>
      <c r="B1109">
        <v>1</v>
      </c>
      <c r="C1109">
        <v>1</v>
      </c>
      <c r="D1109">
        <v>100</v>
      </c>
      <c r="E1109">
        <v>100</v>
      </c>
      <c r="F1109">
        <v>0</v>
      </c>
      <c r="G1109">
        <v>100</v>
      </c>
      <c r="H1109">
        <v>100</v>
      </c>
      <c r="I1109">
        <v>1</v>
      </c>
      <c r="J1109">
        <v>0</v>
      </c>
      <c r="K1109">
        <v>1</v>
      </c>
      <c r="L1109">
        <v>1</v>
      </c>
      <c r="M1109">
        <v>1</v>
      </c>
      <c r="N1109">
        <v>44</v>
      </c>
      <c r="O1109">
        <v>178000</v>
      </c>
      <c r="P1109">
        <v>4</v>
      </c>
      <c r="Q1109">
        <v>5</v>
      </c>
      <c r="R1109">
        <v>5</v>
      </c>
      <c r="S1109">
        <v>4</v>
      </c>
      <c r="T1109" s="123">
        <f t="shared" si="87"/>
        <v>0</v>
      </c>
      <c r="U1109">
        <f t="shared" si="88"/>
        <v>1</v>
      </c>
      <c r="V1109">
        <f t="shared" si="89"/>
        <v>1</v>
      </c>
      <c r="W1109">
        <f t="shared" si="90"/>
        <v>1</v>
      </c>
      <c r="X1109">
        <f t="shared" si="91"/>
        <v>1</v>
      </c>
    </row>
    <row r="1110" spans="1:24" hidden="1">
      <c r="A1110" t="s">
        <v>246</v>
      </c>
      <c r="B1110">
        <v>2</v>
      </c>
      <c r="C1110">
        <v>1</v>
      </c>
      <c r="D1110">
        <v>100</v>
      </c>
      <c r="E1110">
        <v>100</v>
      </c>
      <c r="F1110">
        <v>100</v>
      </c>
      <c r="G1110">
        <v>100</v>
      </c>
      <c r="H1110">
        <v>0</v>
      </c>
      <c r="I1110">
        <v>0</v>
      </c>
      <c r="J1110">
        <v>0</v>
      </c>
      <c r="K1110">
        <v>1</v>
      </c>
      <c r="L1110">
        <v>1</v>
      </c>
      <c r="M1110">
        <v>1</v>
      </c>
      <c r="N1110">
        <v>44</v>
      </c>
      <c r="O1110">
        <v>178000</v>
      </c>
      <c r="P1110">
        <v>4</v>
      </c>
      <c r="Q1110">
        <v>5</v>
      </c>
      <c r="R1110">
        <v>5</v>
      </c>
      <c r="S1110">
        <v>4</v>
      </c>
      <c r="T1110" s="123">
        <f t="shared" si="87"/>
        <v>1</v>
      </c>
      <c r="U1110">
        <f t="shared" si="88"/>
        <v>1</v>
      </c>
      <c r="V1110">
        <f t="shared" si="89"/>
        <v>1</v>
      </c>
      <c r="W1110">
        <f t="shared" si="90"/>
        <v>1</v>
      </c>
      <c r="X1110">
        <f t="shared" si="91"/>
        <v>1</v>
      </c>
    </row>
    <row r="1111" spans="1:24">
      <c r="A1111" t="s">
        <v>246</v>
      </c>
      <c r="B1111">
        <v>3</v>
      </c>
      <c r="C1111">
        <v>1</v>
      </c>
      <c r="D1111">
        <v>0.34904013961605812</v>
      </c>
      <c r="E1111">
        <v>100</v>
      </c>
      <c r="F1111">
        <v>0</v>
      </c>
      <c r="G1111">
        <v>100</v>
      </c>
      <c r="H1111">
        <v>0</v>
      </c>
      <c r="I1111">
        <v>0</v>
      </c>
      <c r="J1111">
        <v>0</v>
      </c>
      <c r="K1111">
        <v>0</v>
      </c>
      <c r="L1111">
        <v>1</v>
      </c>
      <c r="M1111">
        <v>1</v>
      </c>
      <c r="N1111">
        <v>44</v>
      </c>
      <c r="O1111">
        <v>178000</v>
      </c>
      <c r="P1111">
        <v>4</v>
      </c>
      <c r="Q1111">
        <v>5</v>
      </c>
      <c r="R1111">
        <v>5</v>
      </c>
      <c r="S1111">
        <v>4</v>
      </c>
      <c r="T1111" s="123">
        <f t="shared" si="87"/>
        <v>0</v>
      </c>
      <c r="U1111">
        <f t="shared" si="88"/>
        <v>1</v>
      </c>
      <c r="V1111">
        <f t="shared" si="89"/>
        <v>1</v>
      </c>
      <c r="W1111">
        <f t="shared" si="90"/>
        <v>1</v>
      </c>
      <c r="X1111">
        <f t="shared" si="91"/>
        <v>1</v>
      </c>
    </row>
    <row r="1112" spans="1:24">
      <c r="A1112" t="s">
        <v>246</v>
      </c>
      <c r="B1112">
        <v>4</v>
      </c>
      <c r="C1112">
        <v>1</v>
      </c>
      <c r="D1112">
        <v>100</v>
      </c>
      <c r="E1112">
        <v>0</v>
      </c>
      <c r="F1112">
        <v>100</v>
      </c>
      <c r="G1112">
        <v>0</v>
      </c>
      <c r="H1112">
        <v>100</v>
      </c>
      <c r="I1112">
        <v>0</v>
      </c>
      <c r="J1112">
        <v>0</v>
      </c>
      <c r="K1112">
        <v>1</v>
      </c>
      <c r="L1112">
        <v>1</v>
      </c>
      <c r="M1112">
        <v>1</v>
      </c>
      <c r="N1112">
        <v>44</v>
      </c>
      <c r="O1112">
        <v>178000</v>
      </c>
      <c r="P1112">
        <v>4</v>
      </c>
      <c r="Q1112">
        <v>5</v>
      </c>
      <c r="R1112">
        <v>5</v>
      </c>
      <c r="S1112">
        <v>4</v>
      </c>
      <c r="T1112" s="123">
        <f t="shared" si="87"/>
        <v>0</v>
      </c>
      <c r="U1112">
        <f t="shared" si="88"/>
        <v>1</v>
      </c>
      <c r="V1112">
        <f t="shared" si="89"/>
        <v>1</v>
      </c>
      <c r="W1112">
        <f t="shared" si="90"/>
        <v>1</v>
      </c>
      <c r="X1112">
        <f t="shared" si="91"/>
        <v>1</v>
      </c>
    </row>
    <row r="1113" spans="1:24">
      <c r="A1113" t="s">
        <v>246</v>
      </c>
      <c r="B1113">
        <v>5</v>
      </c>
      <c r="C1113">
        <v>1</v>
      </c>
      <c r="D1113">
        <v>0</v>
      </c>
      <c r="E1113">
        <v>100</v>
      </c>
      <c r="F1113">
        <v>0</v>
      </c>
      <c r="G1113">
        <v>0</v>
      </c>
      <c r="H1113">
        <v>100</v>
      </c>
      <c r="I1113">
        <v>0</v>
      </c>
      <c r="J1113">
        <v>0</v>
      </c>
      <c r="K1113">
        <v>0</v>
      </c>
      <c r="L1113">
        <v>1</v>
      </c>
      <c r="M1113">
        <v>1</v>
      </c>
      <c r="N1113">
        <v>44</v>
      </c>
      <c r="O1113">
        <v>178000</v>
      </c>
      <c r="P1113">
        <v>4</v>
      </c>
      <c r="Q1113">
        <v>5</v>
      </c>
      <c r="R1113">
        <v>5</v>
      </c>
      <c r="S1113">
        <v>4</v>
      </c>
      <c r="T1113" s="123">
        <f t="shared" si="87"/>
        <v>0</v>
      </c>
      <c r="U1113">
        <f t="shared" si="88"/>
        <v>1</v>
      </c>
      <c r="V1113">
        <f t="shared" si="89"/>
        <v>1</v>
      </c>
      <c r="W1113">
        <f t="shared" si="90"/>
        <v>1</v>
      </c>
      <c r="X1113">
        <f t="shared" si="91"/>
        <v>1</v>
      </c>
    </row>
    <row r="1114" spans="1:24">
      <c r="A1114" t="s">
        <v>246</v>
      </c>
      <c r="B1114">
        <v>6</v>
      </c>
      <c r="C1114">
        <v>1</v>
      </c>
      <c r="D1114">
        <v>50</v>
      </c>
      <c r="E1114">
        <v>0</v>
      </c>
      <c r="F1114">
        <v>72.905759162303667</v>
      </c>
      <c r="G1114">
        <v>100</v>
      </c>
      <c r="H1114">
        <v>0</v>
      </c>
      <c r="I1114">
        <v>0</v>
      </c>
      <c r="J1114">
        <v>0</v>
      </c>
      <c r="K1114">
        <v>1</v>
      </c>
      <c r="L1114">
        <v>1</v>
      </c>
      <c r="M1114">
        <v>1</v>
      </c>
      <c r="N1114">
        <v>44</v>
      </c>
      <c r="O1114">
        <v>178000</v>
      </c>
      <c r="P1114">
        <v>4</v>
      </c>
      <c r="Q1114">
        <v>5</v>
      </c>
      <c r="R1114">
        <v>5</v>
      </c>
      <c r="S1114">
        <v>4</v>
      </c>
      <c r="T1114" s="123">
        <f t="shared" si="87"/>
        <v>0</v>
      </c>
      <c r="U1114">
        <f t="shared" si="88"/>
        <v>1</v>
      </c>
      <c r="V1114">
        <f t="shared" si="89"/>
        <v>1</v>
      </c>
      <c r="W1114">
        <f t="shared" si="90"/>
        <v>1</v>
      </c>
      <c r="X1114">
        <f t="shared" si="91"/>
        <v>1</v>
      </c>
    </row>
    <row r="1115" spans="1:24" hidden="1">
      <c r="A1115" t="s">
        <v>246</v>
      </c>
      <c r="B1115">
        <v>7</v>
      </c>
      <c r="C1115">
        <v>1</v>
      </c>
      <c r="D1115">
        <v>0</v>
      </c>
      <c r="E1115">
        <v>100</v>
      </c>
      <c r="F1115">
        <v>100</v>
      </c>
      <c r="G1115">
        <v>100</v>
      </c>
      <c r="H1115">
        <v>100</v>
      </c>
      <c r="I1115">
        <v>0</v>
      </c>
      <c r="J1115">
        <v>1</v>
      </c>
      <c r="K1115">
        <v>0</v>
      </c>
      <c r="L1115">
        <v>1</v>
      </c>
      <c r="M1115">
        <v>1</v>
      </c>
      <c r="N1115">
        <v>44</v>
      </c>
      <c r="O1115">
        <v>178000</v>
      </c>
      <c r="P1115">
        <v>4</v>
      </c>
      <c r="Q1115">
        <v>5</v>
      </c>
      <c r="R1115">
        <v>5</v>
      </c>
      <c r="S1115">
        <v>4</v>
      </c>
      <c r="T1115" s="123">
        <f t="shared" si="87"/>
        <v>1</v>
      </c>
      <c r="U1115">
        <f t="shared" si="88"/>
        <v>1</v>
      </c>
      <c r="V1115">
        <f t="shared" si="89"/>
        <v>1</v>
      </c>
      <c r="W1115">
        <f t="shared" si="90"/>
        <v>1</v>
      </c>
      <c r="X1115">
        <f t="shared" si="91"/>
        <v>1</v>
      </c>
    </row>
    <row r="1116" spans="1:24">
      <c r="A1116" t="s">
        <v>247</v>
      </c>
      <c r="B1116">
        <v>1</v>
      </c>
      <c r="C1116">
        <v>1</v>
      </c>
      <c r="D1116">
        <v>100</v>
      </c>
      <c r="E1116">
        <v>50</v>
      </c>
      <c r="F1116">
        <v>70.879869245437206</v>
      </c>
      <c r="G1116">
        <v>0</v>
      </c>
      <c r="H1116">
        <v>0</v>
      </c>
      <c r="I1116">
        <v>1</v>
      </c>
      <c r="J1116">
        <v>0</v>
      </c>
      <c r="K1116">
        <v>1</v>
      </c>
      <c r="L1116">
        <v>1</v>
      </c>
      <c r="M1116">
        <v>0</v>
      </c>
      <c r="N1116">
        <v>34</v>
      </c>
      <c r="O1116">
        <v>120000</v>
      </c>
      <c r="P1116">
        <v>3</v>
      </c>
      <c r="Q1116">
        <v>2</v>
      </c>
      <c r="R1116">
        <v>5</v>
      </c>
      <c r="S1116">
        <v>4</v>
      </c>
      <c r="T1116" s="123">
        <f t="shared" si="87"/>
        <v>0</v>
      </c>
      <c r="U1116">
        <f t="shared" si="88"/>
        <v>0</v>
      </c>
      <c r="V1116">
        <f t="shared" si="89"/>
        <v>0</v>
      </c>
      <c r="W1116">
        <f t="shared" si="90"/>
        <v>1</v>
      </c>
      <c r="X1116">
        <f t="shared" si="91"/>
        <v>1</v>
      </c>
    </row>
    <row r="1117" spans="1:24">
      <c r="A1117" t="s">
        <v>247</v>
      </c>
      <c r="B1117">
        <v>2</v>
      </c>
      <c r="C1117">
        <v>1</v>
      </c>
      <c r="D1117">
        <v>100</v>
      </c>
      <c r="E1117">
        <v>100</v>
      </c>
      <c r="F1117">
        <v>100</v>
      </c>
      <c r="G1117">
        <v>0</v>
      </c>
      <c r="H1117">
        <v>100</v>
      </c>
      <c r="I1117">
        <v>0</v>
      </c>
      <c r="J1117">
        <v>0</v>
      </c>
      <c r="K1117">
        <v>1</v>
      </c>
      <c r="L1117">
        <v>1</v>
      </c>
      <c r="M1117">
        <v>0</v>
      </c>
      <c r="N1117">
        <v>34</v>
      </c>
      <c r="O1117">
        <v>120000</v>
      </c>
      <c r="P1117">
        <v>3</v>
      </c>
      <c r="Q1117">
        <v>2</v>
      </c>
      <c r="R1117">
        <v>5</v>
      </c>
      <c r="S1117">
        <v>4</v>
      </c>
      <c r="T1117" s="123">
        <f t="shared" si="87"/>
        <v>0</v>
      </c>
      <c r="U1117">
        <f t="shared" si="88"/>
        <v>0</v>
      </c>
      <c r="V1117">
        <f t="shared" si="89"/>
        <v>0</v>
      </c>
      <c r="W1117">
        <f t="shared" si="90"/>
        <v>1</v>
      </c>
      <c r="X1117">
        <f t="shared" si="91"/>
        <v>1</v>
      </c>
    </row>
    <row r="1118" spans="1:24" hidden="1">
      <c r="A1118" t="s">
        <v>247</v>
      </c>
      <c r="B1118">
        <v>3</v>
      </c>
      <c r="C1118">
        <v>1</v>
      </c>
      <c r="D1118">
        <v>0</v>
      </c>
      <c r="E1118">
        <v>100</v>
      </c>
      <c r="F1118">
        <v>100</v>
      </c>
      <c r="G1118">
        <v>100</v>
      </c>
      <c r="H1118">
        <v>100</v>
      </c>
      <c r="I1118">
        <v>0</v>
      </c>
      <c r="J1118">
        <v>0</v>
      </c>
      <c r="K1118">
        <v>0</v>
      </c>
      <c r="L1118">
        <v>1</v>
      </c>
      <c r="M1118">
        <v>0</v>
      </c>
      <c r="N1118">
        <v>34</v>
      </c>
      <c r="O1118">
        <v>120000</v>
      </c>
      <c r="P1118">
        <v>3</v>
      </c>
      <c r="Q1118">
        <v>2</v>
      </c>
      <c r="R1118">
        <v>5</v>
      </c>
      <c r="S1118">
        <v>4</v>
      </c>
      <c r="T1118" s="123">
        <f t="shared" si="87"/>
        <v>1</v>
      </c>
      <c r="U1118">
        <f t="shared" si="88"/>
        <v>0</v>
      </c>
      <c r="V1118">
        <f t="shared" si="89"/>
        <v>0</v>
      </c>
      <c r="W1118">
        <f t="shared" si="90"/>
        <v>1</v>
      </c>
      <c r="X1118">
        <f t="shared" si="91"/>
        <v>1</v>
      </c>
    </row>
    <row r="1119" spans="1:24">
      <c r="A1119" t="s">
        <v>247</v>
      </c>
      <c r="B1119">
        <v>4</v>
      </c>
      <c r="C1119">
        <v>1</v>
      </c>
      <c r="D1119">
        <v>100</v>
      </c>
      <c r="E1119">
        <v>0</v>
      </c>
      <c r="F1119">
        <v>0</v>
      </c>
      <c r="G1119">
        <v>100</v>
      </c>
      <c r="H1119">
        <v>0</v>
      </c>
      <c r="I1119">
        <v>0</v>
      </c>
      <c r="J1119">
        <v>0</v>
      </c>
      <c r="K1119">
        <v>1</v>
      </c>
      <c r="L1119">
        <v>1</v>
      </c>
      <c r="M1119">
        <v>0</v>
      </c>
      <c r="N1119">
        <v>34</v>
      </c>
      <c r="O1119">
        <v>120000</v>
      </c>
      <c r="P1119">
        <v>3</v>
      </c>
      <c r="Q1119">
        <v>2</v>
      </c>
      <c r="R1119">
        <v>5</v>
      </c>
      <c r="S1119">
        <v>4</v>
      </c>
      <c r="T1119" s="123">
        <f t="shared" si="87"/>
        <v>0</v>
      </c>
      <c r="U1119">
        <f t="shared" si="88"/>
        <v>0</v>
      </c>
      <c r="V1119">
        <f t="shared" si="89"/>
        <v>0</v>
      </c>
      <c r="W1119">
        <f t="shared" si="90"/>
        <v>1</v>
      </c>
      <c r="X1119">
        <f t="shared" si="91"/>
        <v>1</v>
      </c>
    </row>
    <row r="1120" spans="1:24" hidden="1">
      <c r="A1120" t="s">
        <v>247</v>
      </c>
      <c r="B1120">
        <v>5</v>
      </c>
      <c r="C1120">
        <v>1</v>
      </c>
      <c r="D1120">
        <v>100</v>
      </c>
      <c r="E1120">
        <v>0.58737151248164365</v>
      </c>
      <c r="F1120">
        <v>0</v>
      </c>
      <c r="G1120">
        <v>0</v>
      </c>
      <c r="H1120">
        <v>100</v>
      </c>
      <c r="I1120">
        <v>0</v>
      </c>
      <c r="J1120">
        <v>0</v>
      </c>
      <c r="K1120">
        <v>1</v>
      </c>
      <c r="L1120">
        <v>1</v>
      </c>
      <c r="M1120">
        <v>0</v>
      </c>
      <c r="N1120">
        <v>34</v>
      </c>
      <c r="O1120">
        <v>120000</v>
      </c>
      <c r="P1120">
        <v>3</v>
      </c>
      <c r="Q1120">
        <v>2</v>
      </c>
      <c r="R1120">
        <v>5</v>
      </c>
      <c r="S1120">
        <v>4</v>
      </c>
      <c r="T1120" s="123">
        <f t="shared" si="87"/>
        <v>1</v>
      </c>
      <c r="U1120">
        <f t="shared" si="88"/>
        <v>0</v>
      </c>
      <c r="V1120">
        <f t="shared" si="89"/>
        <v>0</v>
      </c>
      <c r="W1120">
        <f t="shared" si="90"/>
        <v>1</v>
      </c>
      <c r="X1120">
        <f t="shared" si="91"/>
        <v>1</v>
      </c>
    </row>
    <row r="1121" spans="1:24" hidden="1">
      <c r="A1121" t="s">
        <v>247</v>
      </c>
      <c r="B1121">
        <v>6</v>
      </c>
      <c r="C1121">
        <v>1</v>
      </c>
      <c r="D1121">
        <v>0</v>
      </c>
      <c r="E1121">
        <v>100</v>
      </c>
      <c r="F1121">
        <v>100</v>
      </c>
      <c r="G1121">
        <v>100</v>
      </c>
      <c r="H1121">
        <v>100</v>
      </c>
      <c r="I1121">
        <v>0</v>
      </c>
      <c r="J1121">
        <v>0</v>
      </c>
      <c r="K1121">
        <v>0</v>
      </c>
      <c r="L1121">
        <v>1</v>
      </c>
      <c r="M1121">
        <v>0</v>
      </c>
      <c r="N1121">
        <v>34</v>
      </c>
      <c r="O1121">
        <v>120000</v>
      </c>
      <c r="P1121">
        <v>3</v>
      </c>
      <c r="Q1121">
        <v>2</v>
      </c>
      <c r="R1121">
        <v>5</v>
      </c>
      <c r="S1121">
        <v>4</v>
      </c>
      <c r="T1121" s="123">
        <f t="shared" si="87"/>
        <v>1</v>
      </c>
      <c r="U1121">
        <f t="shared" si="88"/>
        <v>0</v>
      </c>
      <c r="V1121">
        <f t="shared" si="89"/>
        <v>0</v>
      </c>
      <c r="W1121">
        <f t="shared" si="90"/>
        <v>1</v>
      </c>
      <c r="X1121">
        <f t="shared" si="91"/>
        <v>1</v>
      </c>
    </row>
    <row r="1122" spans="1:24">
      <c r="A1122" t="s">
        <v>247</v>
      </c>
      <c r="B1122">
        <v>7</v>
      </c>
      <c r="C1122">
        <v>1</v>
      </c>
      <c r="D1122">
        <v>0</v>
      </c>
      <c r="E1122">
        <v>100</v>
      </c>
      <c r="F1122">
        <v>0</v>
      </c>
      <c r="G1122">
        <v>100</v>
      </c>
      <c r="H1122">
        <v>100</v>
      </c>
      <c r="I1122">
        <v>0</v>
      </c>
      <c r="J1122">
        <v>1</v>
      </c>
      <c r="K1122">
        <v>0</v>
      </c>
      <c r="L1122">
        <v>1</v>
      </c>
      <c r="M1122">
        <v>0</v>
      </c>
      <c r="N1122">
        <v>34</v>
      </c>
      <c r="O1122">
        <v>120000</v>
      </c>
      <c r="P1122">
        <v>3</v>
      </c>
      <c r="Q1122">
        <v>2</v>
      </c>
      <c r="R1122">
        <v>5</v>
      </c>
      <c r="S1122">
        <v>4</v>
      </c>
      <c r="T1122" s="123">
        <f t="shared" si="87"/>
        <v>0</v>
      </c>
      <c r="U1122">
        <f t="shared" si="88"/>
        <v>0</v>
      </c>
      <c r="V1122">
        <f t="shared" si="89"/>
        <v>0</v>
      </c>
      <c r="W1122">
        <f t="shared" si="90"/>
        <v>1</v>
      </c>
      <c r="X1122">
        <f t="shared" si="91"/>
        <v>1</v>
      </c>
    </row>
    <row r="1123" spans="1:24">
      <c r="A1123" t="s">
        <v>248</v>
      </c>
      <c r="B1123">
        <v>1</v>
      </c>
      <c r="C1123">
        <v>1</v>
      </c>
      <c r="D1123">
        <v>100</v>
      </c>
      <c r="E1123">
        <v>100</v>
      </c>
      <c r="F1123">
        <v>0</v>
      </c>
      <c r="G1123">
        <v>100</v>
      </c>
      <c r="H1123">
        <v>100</v>
      </c>
      <c r="I1123">
        <v>1</v>
      </c>
      <c r="J1123">
        <v>0</v>
      </c>
      <c r="K1123">
        <v>1</v>
      </c>
      <c r="L1123">
        <v>1</v>
      </c>
      <c r="M1123">
        <v>1</v>
      </c>
      <c r="N1123">
        <v>37</v>
      </c>
      <c r="O1123">
        <v>150000</v>
      </c>
      <c r="P1123">
        <v>4</v>
      </c>
      <c r="Q1123">
        <v>4</v>
      </c>
      <c r="R1123">
        <v>5</v>
      </c>
      <c r="S1123">
        <v>4</v>
      </c>
      <c r="T1123" s="123">
        <f t="shared" si="87"/>
        <v>0</v>
      </c>
      <c r="U1123">
        <f t="shared" si="88"/>
        <v>1</v>
      </c>
      <c r="V1123">
        <f t="shared" si="89"/>
        <v>1</v>
      </c>
      <c r="W1123">
        <f t="shared" si="90"/>
        <v>1</v>
      </c>
      <c r="X1123">
        <f t="shared" si="91"/>
        <v>1</v>
      </c>
    </row>
    <row r="1124" spans="1:24">
      <c r="A1124" t="s">
        <v>248</v>
      </c>
      <c r="B1124">
        <v>2</v>
      </c>
      <c r="C1124">
        <v>1</v>
      </c>
      <c r="D1124">
        <v>100</v>
      </c>
      <c r="E1124">
        <v>0</v>
      </c>
      <c r="F1124">
        <v>100</v>
      </c>
      <c r="G1124">
        <v>0</v>
      </c>
      <c r="H1124">
        <v>0</v>
      </c>
      <c r="I1124">
        <v>0</v>
      </c>
      <c r="J1124">
        <v>0</v>
      </c>
      <c r="K1124">
        <v>1</v>
      </c>
      <c r="L1124">
        <v>1</v>
      </c>
      <c r="M1124">
        <v>1</v>
      </c>
      <c r="N1124">
        <v>37</v>
      </c>
      <c r="O1124">
        <v>150000</v>
      </c>
      <c r="P1124">
        <v>4</v>
      </c>
      <c r="Q1124">
        <v>4</v>
      </c>
      <c r="R1124">
        <v>5</v>
      </c>
      <c r="S1124">
        <v>4</v>
      </c>
      <c r="T1124" s="123">
        <f t="shared" si="87"/>
        <v>0</v>
      </c>
      <c r="U1124">
        <f t="shared" si="88"/>
        <v>1</v>
      </c>
      <c r="V1124">
        <f t="shared" si="89"/>
        <v>1</v>
      </c>
      <c r="W1124">
        <f t="shared" si="90"/>
        <v>1</v>
      </c>
      <c r="X1124">
        <f t="shared" si="91"/>
        <v>1</v>
      </c>
    </row>
    <row r="1125" spans="1:24" hidden="1">
      <c r="A1125" t="s">
        <v>248</v>
      </c>
      <c r="B1125">
        <v>3</v>
      </c>
      <c r="C1125">
        <v>1</v>
      </c>
      <c r="D1125">
        <v>0</v>
      </c>
      <c r="E1125">
        <v>100</v>
      </c>
      <c r="F1125">
        <v>100</v>
      </c>
      <c r="G1125">
        <v>100</v>
      </c>
      <c r="H1125">
        <v>100</v>
      </c>
      <c r="I1125">
        <v>0</v>
      </c>
      <c r="J1125">
        <v>0</v>
      </c>
      <c r="K1125">
        <v>0</v>
      </c>
      <c r="L1125">
        <v>1</v>
      </c>
      <c r="M1125">
        <v>1</v>
      </c>
      <c r="N1125">
        <v>37</v>
      </c>
      <c r="O1125">
        <v>150000</v>
      </c>
      <c r="P1125">
        <v>4</v>
      </c>
      <c r="Q1125">
        <v>4</v>
      </c>
      <c r="R1125">
        <v>5</v>
      </c>
      <c r="S1125">
        <v>4</v>
      </c>
      <c r="T1125" s="123">
        <f t="shared" si="87"/>
        <v>1</v>
      </c>
      <c r="U1125">
        <f t="shared" si="88"/>
        <v>1</v>
      </c>
      <c r="V1125">
        <f t="shared" si="89"/>
        <v>1</v>
      </c>
      <c r="W1125">
        <f t="shared" si="90"/>
        <v>1</v>
      </c>
      <c r="X1125">
        <f t="shared" si="91"/>
        <v>1</v>
      </c>
    </row>
    <row r="1126" spans="1:24">
      <c r="A1126" t="s">
        <v>248</v>
      </c>
      <c r="B1126">
        <v>4</v>
      </c>
      <c r="C1126">
        <v>1</v>
      </c>
      <c r="D1126">
        <v>50</v>
      </c>
      <c r="E1126">
        <v>73.40425531914893</v>
      </c>
      <c r="F1126">
        <v>0</v>
      </c>
      <c r="G1126">
        <v>100</v>
      </c>
      <c r="H1126">
        <v>0</v>
      </c>
      <c r="I1126">
        <v>0</v>
      </c>
      <c r="J1126">
        <v>0</v>
      </c>
      <c r="K1126">
        <v>1</v>
      </c>
      <c r="L1126">
        <v>1</v>
      </c>
      <c r="M1126">
        <v>1</v>
      </c>
      <c r="N1126">
        <v>37</v>
      </c>
      <c r="O1126">
        <v>150000</v>
      </c>
      <c r="P1126">
        <v>4</v>
      </c>
      <c r="Q1126">
        <v>4</v>
      </c>
      <c r="R1126">
        <v>5</v>
      </c>
      <c r="S1126">
        <v>4</v>
      </c>
      <c r="T1126" s="123">
        <f t="shared" si="87"/>
        <v>0</v>
      </c>
      <c r="U1126">
        <f t="shared" si="88"/>
        <v>1</v>
      </c>
      <c r="V1126">
        <f t="shared" si="89"/>
        <v>1</v>
      </c>
      <c r="W1126">
        <f t="shared" si="90"/>
        <v>1</v>
      </c>
      <c r="X1126">
        <f t="shared" si="91"/>
        <v>1</v>
      </c>
    </row>
    <row r="1127" spans="1:24">
      <c r="A1127" t="s">
        <v>248</v>
      </c>
      <c r="B1127">
        <v>5</v>
      </c>
      <c r="C1127">
        <v>1</v>
      </c>
      <c r="D1127">
        <v>100</v>
      </c>
      <c r="E1127">
        <v>0</v>
      </c>
      <c r="F1127">
        <v>100</v>
      </c>
      <c r="G1127">
        <v>100</v>
      </c>
      <c r="H1127">
        <v>100</v>
      </c>
      <c r="I1127">
        <v>0</v>
      </c>
      <c r="J1127">
        <v>0</v>
      </c>
      <c r="K1127">
        <v>1</v>
      </c>
      <c r="L1127">
        <v>1</v>
      </c>
      <c r="M1127">
        <v>1</v>
      </c>
      <c r="N1127">
        <v>37</v>
      </c>
      <c r="O1127">
        <v>150000</v>
      </c>
      <c r="P1127">
        <v>4</v>
      </c>
      <c r="Q1127">
        <v>4</v>
      </c>
      <c r="R1127">
        <v>5</v>
      </c>
      <c r="S1127">
        <v>4</v>
      </c>
      <c r="T1127" s="123">
        <f t="shared" si="87"/>
        <v>0</v>
      </c>
      <c r="U1127">
        <f t="shared" si="88"/>
        <v>1</v>
      </c>
      <c r="V1127">
        <f t="shared" si="89"/>
        <v>1</v>
      </c>
      <c r="W1127">
        <f t="shared" si="90"/>
        <v>1</v>
      </c>
      <c r="X1127">
        <f t="shared" si="91"/>
        <v>1</v>
      </c>
    </row>
    <row r="1128" spans="1:24">
      <c r="A1128" t="s">
        <v>248</v>
      </c>
      <c r="B1128">
        <v>6</v>
      </c>
      <c r="C1128">
        <v>1</v>
      </c>
      <c r="D1128">
        <v>0</v>
      </c>
      <c r="E1128">
        <v>100</v>
      </c>
      <c r="F1128">
        <v>0</v>
      </c>
      <c r="G1128">
        <v>100</v>
      </c>
      <c r="H1128">
        <v>0.27314548591144128</v>
      </c>
      <c r="I1128">
        <v>0</v>
      </c>
      <c r="J1128">
        <v>0</v>
      </c>
      <c r="K1128">
        <v>0</v>
      </c>
      <c r="L1128">
        <v>1</v>
      </c>
      <c r="M1128">
        <v>1</v>
      </c>
      <c r="N1128">
        <v>37</v>
      </c>
      <c r="O1128">
        <v>150000</v>
      </c>
      <c r="P1128">
        <v>4</v>
      </c>
      <c r="Q1128">
        <v>4</v>
      </c>
      <c r="R1128">
        <v>5</v>
      </c>
      <c r="S1128">
        <v>4</v>
      </c>
      <c r="T1128" s="123">
        <f t="shared" si="87"/>
        <v>0</v>
      </c>
      <c r="U1128">
        <f t="shared" si="88"/>
        <v>1</v>
      </c>
      <c r="V1128">
        <f t="shared" si="89"/>
        <v>1</v>
      </c>
      <c r="W1128">
        <f t="shared" si="90"/>
        <v>1</v>
      </c>
      <c r="X1128">
        <f t="shared" si="91"/>
        <v>1</v>
      </c>
    </row>
    <row r="1129" spans="1:24" hidden="1">
      <c r="A1129" t="s">
        <v>248</v>
      </c>
      <c r="B1129">
        <v>7</v>
      </c>
      <c r="C1129">
        <v>1</v>
      </c>
      <c r="D1129">
        <v>0</v>
      </c>
      <c r="E1129">
        <v>100</v>
      </c>
      <c r="F1129">
        <v>100</v>
      </c>
      <c r="G1129">
        <v>100</v>
      </c>
      <c r="H1129">
        <v>0</v>
      </c>
      <c r="I1129">
        <v>0</v>
      </c>
      <c r="J1129">
        <v>1</v>
      </c>
      <c r="K1129">
        <v>0</v>
      </c>
      <c r="L1129">
        <v>1</v>
      </c>
      <c r="M1129">
        <v>1</v>
      </c>
      <c r="N1129">
        <v>37</v>
      </c>
      <c r="O1129">
        <v>150000</v>
      </c>
      <c r="P1129">
        <v>4</v>
      </c>
      <c r="Q1129">
        <v>4</v>
      </c>
      <c r="R1129">
        <v>5</v>
      </c>
      <c r="S1129">
        <v>4</v>
      </c>
      <c r="T1129" s="123">
        <f t="shared" si="87"/>
        <v>1</v>
      </c>
      <c r="U1129">
        <f t="shared" si="88"/>
        <v>1</v>
      </c>
      <c r="V1129">
        <f t="shared" si="89"/>
        <v>1</v>
      </c>
      <c r="W1129">
        <f t="shared" si="90"/>
        <v>1</v>
      </c>
      <c r="X1129">
        <f t="shared" si="91"/>
        <v>1</v>
      </c>
    </row>
    <row r="1130" spans="1:24">
      <c r="A1130" t="s">
        <v>249</v>
      </c>
      <c r="B1130">
        <v>1</v>
      </c>
      <c r="C1130">
        <v>1</v>
      </c>
      <c r="D1130">
        <v>100</v>
      </c>
      <c r="E1130">
        <v>0</v>
      </c>
      <c r="F1130">
        <v>100</v>
      </c>
      <c r="G1130">
        <v>0</v>
      </c>
      <c r="H1130">
        <v>100</v>
      </c>
      <c r="I1130">
        <v>1</v>
      </c>
      <c r="J1130">
        <v>0</v>
      </c>
      <c r="K1130">
        <v>1</v>
      </c>
      <c r="L1130">
        <v>1</v>
      </c>
      <c r="M1130">
        <v>1</v>
      </c>
      <c r="N1130">
        <v>38</v>
      </c>
      <c r="O1130">
        <v>70000</v>
      </c>
      <c r="P1130">
        <v>4</v>
      </c>
      <c r="Q1130">
        <v>4</v>
      </c>
      <c r="R1130">
        <v>5</v>
      </c>
      <c r="S1130">
        <v>4</v>
      </c>
      <c r="T1130" s="123">
        <f t="shared" si="87"/>
        <v>0</v>
      </c>
      <c r="U1130">
        <f t="shared" si="88"/>
        <v>1</v>
      </c>
      <c r="V1130">
        <f t="shared" si="89"/>
        <v>1</v>
      </c>
      <c r="W1130">
        <f t="shared" si="90"/>
        <v>1</v>
      </c>
      <c r="X1130">
        <f t="shared" si="91"/>
        <v>1</v>
      </c>
    </row>
    <row r="1131" spans="1:24">
      <c r="A1131" t="s">
        <v>249</v>
      </c>
      <c r="B1131">
        <v>2</v>
      </c>
      <c r="C1131">
        <v>1</v>
      </c>
      <c r="D1131">
        <v>0</v>
      </c>
      <c r="E1131">
        <v>100</v>
      </c>
      <c r="F1131">
        <v>100</v>
      </c>
      <c r="G1131">
        <v>0.37185354691075528</v>
      </c>
      <c r="H1131">
        <v>0</v>
      </c>
      <c r="I1131">
        <v>0</v>
      </c>
      <c r="J1131">
        <v>0</v>
      </c>
      <c r="K1131">
        <v>0</v>
      </c>
      <c r="L1131">
        <v>1</v>
      </c>
      <c r="M1131">
        <v>1</v>
      </c>
      <c r="N1131">
        <v>38</v>
      </c>
      <c r="O1131">
        <v>70000</v>
      </c>
      <c r="P1131">
        <v>4</v>
      </c>
      <c r="Q1131">
        <v>4</v>
      </c>
      <c r="R1131">
        <v>5</v>
      </c>
      <c r="S1131">
        <v>4</v>
      </c>
      <c r="T1131" s="123">
        <f t="shared" si="87"/>
        <v>0</v>
      </c>
      <c r="U1131">
        <f t="shared" si="88"/>
        <v>1</v>
      </c>
      <c r="V1131">
        <f t="shared" si="89"/>
        <v>1</v>
      </c>
      <c r="W1131">
        <f t="shared" si="90"/>
        <v>1</v>
      </c>
      <c r="X1131">
        <f t="shared" si="91"/>
        <v>1</v>
      </c>
    </row>
    <row r="1132" spans="1:24" hidden="1">
      <c r="A1132" t="s">
        <v>249</v>
      </c>
      <c r="B1132">
        <v>3</v>
      </c>
      <c r="C1132">
        <v>1</v>
      </c>
      <c r="D1132">
        <v>0</v>
      </c>
      <c r="E1132">
        <v>100</v>
      </c>
      <c r="F1132">
        <v>100</v>
      </c>
      <c r="G1132">
        <v>100</v>
      </c>
      <c r="H1132">
        <v>100</v>
      </c>
      <c r="I1132">
        <v>0</v>
      </c>
      <c r="J1132">
        <v>0</v>
      </c>
      <c r="K1132">
        <v>0</v>
      </c>
      <c r="L1132">
        <v>1</v>
      </c>
      <c r="M1132">
        <v>1</v>
      </c>
      <c r="N1132">
        <v>38</v>
      </c>
      <c r="O1132">
        <v>70000</v>
      </c>
      <c r="P1132">
        <v>4</v>
      </c>
      <c r="Q1132">
        <v>4</v>
      </c>
      <c r="R1132">
        <v>5</v>
      </c>
      <c r="S1132">
        <v>4</v>
      </c>
      <c r="T1132" s="123">
        <f t="shared" si="87"/>
        <v>1</v>
      </c>
      <c r="U1132">
        <f t="shared" si="88"/>
        <v>1</v>
      </c>
      <c r="V1132">
        <f t="shared" si="89"/>
        <v>1</v>
      </c>
      <c r="W1132">
        <f t="shared" si="90"/>
        <v>1</v>
      </c>
      <c r="X1132">
        <f t="shared" si="91"/>
        <v>1</v>
      </c>
    </row>
    <row r="1133" spans="1:24">
      <c r="A1133" t="s">
        <v>249</v>
      </c>
      <c r="B1133">
        <v>4</v>
      </c>
      <c r="C1133">
        <v>1</v>
      </c>
      <c r="D1133">
        <v>100</v>
      </c>
      <c r="E1133">
        <v>100</v>
      </c>
      <c r="F1133">
        <v>0</v>
      </c>
      <c r="G1133">
        <v>100</v>
      </c>
      <c r="H1133">
        <v>100</v>
      </c>
      <c r="I1133">
        <v>0</v>
      </c>
      <c r="J1133">
        <v>0</v>
      </c>
      <c r="K1133">
        <v>1</v>
      </c>
      <c r="L1133">
        <v>1</v>
      </c>
      <c r="M1133">
        <v>1</v>
      </c>
      <c r="N1133">
        <v>38</v>
      </c>
      <c r="O1133">
        <v>70000</v>
      </c>
      <c r="P1133">
        <v>4</v>
      </c>
      <c r="Q1133">
        <v>4</v>
      </c>
      <c r="R1133">
        <v>5</v>
      </c>
      <c r="S1133">
        <v>4</v>
      </c>
      <c r="T1133" s="123">
        <f t="shared" si="87"/>
        <v>0</v>
      </c>
      <c r="U1133">
        <f t="shared" si="88"/>
        <v>1</v>
      </c>
      <c r="V1133">
        <f t="shared" si="89"/>
        <v>1</v>
      </c>
      <c r="W1133">
        <f t="shared" si="90"/>
        <v>1</v>
      </c>
      <c r="X1133">
        <f t="shared" si="91"/>
        <v>1</v>
      </c>
    </row>
    <row r="1134" spans="1:24">
      <c r="A1134" t="s">
        <v>249</v>
      </c>
      <c r="B1134">
        <v>5</v>
      </c>
      <c r="C1134">
        <v>1</v>
      </c>
      <c r="D1134">
        <v>0</v>
      </c>
      <c r="E1134">
        <v>50</v>
      </c>
      <c r="F1134">
        <v>100</v>
      </c>
      <c r="G1134">
        <v>0</v>
      </c>
      <c r="H1134">
        <v>73.78432494279177</v>
      </c>
      <c r="I1134">
        <v>0</v>
      </c>
      <c r="J1134">
        <v>0</v>
      </c>
      <c r="K1134">
        <v>0</v>
      </c>
      <c r="L1134">
        <v>1</v>
      </c>
      <c r="M1134">
        <v>1</v>
      </c>
      <c r="N1134">
        <v>38</v>
      </c>
      <c r="O1134">
        <v>70000</v>
      </c>
      <c r="P1134">
        <v>4</v>
      </c>
      <c r="Q1134">
        <v>4</v>
      </c>
      <c r="R1134">
        <v>5</v>
      </c>
      <c r="S1134">
        <v>4</v>
      </c>
      <c r="T1134" s="123">
        <f t="shared" si="87"/>
        <v>0</v>
      </c>
      <c r="U1134">
        <f t="shared" si="88"/>
        <v>1</v>
      </c>
      <c r="V1134">
        <f t="shared" si="89"/>
        <v>1</v>
      </c>
      <c r="W1134">
        <f t="shared" si="90"/>
        <v>1</v>
      </c>
      <c r="X1134">
        <f t="shared" si="91"/>
        <v>1</v>
      </c>
    </row>
    <row r="1135" spans="1:24">
      <c r="A1135" t="s">
        <v>249</v>
      </c>
      <c r="B1135">
        <v>6</v>
      </c>
      <c r="C1135">
        <v>1</v>
      </c>
      <c r="D1135">
        <v>100</v>
      </c>
      <c r="E1135">
        <v>100</v>
      </c>
      <c r="F1135">
        <v>100</v>
      </c>
      <c r="G1135">
        <v>0</v>
      </c>
      <c r="H1135">
        <v>100</v>
      </c>
      <c r="I1135">
        <v>0</v>
      </c>
      <c r="J1135">
        <v>0</v>
      </c>
      <c r="K1135">
        <v>1</v>
      </c>
      <c r="L1135">
        <v>1</v>
      </c>
      <c r="M1135">
        <v>1</v>
      </c>
      <c r="N1135">
        <v>38</v>
      </c>
      <c r="O1135">
        <v>70000</v>
      </c>
      <c r="P1135">
        <v>4</v>
      </c>
      <c r="Q1135">
        <v>4</v>
      </c>
      <c r="R1135">
        <v>5</v>
      </c>
      <c r="S1135">
        <v>4</v>
      </c>
      <c r="T1135" s="123">
        <f t="shared" si="87"/>
        <v>0</v>
      </c>
      <c r="U1135">
        <f t="shared" si="88"/>
        <v>1</v>
      </c>
      <c r="V1135">
        <f t="shared" si="89"/>
        <v>1</v>
      </c>
      <c r="W1135">
        <f t="shared" si="90"/>
        <v>1</v>
      </c>
      <c r="X1135">
        <f t="shared" si="91"/>
        <v>1</v>
      </c>
    </row>
    <row r="1136" spans="1:24">
      <c r="A1136" t="s">
        <v>249</v>
      </c>
      <c r="B1136">
        <v>7</v>
      </c>
      <c r="C1136">
        <v>1</v>
      </c>
      <c r="D1136">
        <v>100</v>
      </c>
      <c r="E1136">
        <v>0</v>
      </c>
      <c r="F1136">
        <v>100</v>
      </c>
      <c r="G1136">
        <v>0</v>
      </c>
      <c r="H1136">
        <v>0</v>
      </c>
      <c r="I1136">
        <v>0</v>
      </c>
      <c r="J1136">
        <v>1</v>
      </c>
      <c r="K1136">
        <v>1</v>
      </c>
      <c r="L1136">
        <v>1</v>
      </c>
      <c r="M1136">
        <v>1</v>
      </c>
      <c r="N1136">
        <v>38</v>
      </c>
      <c r="O1136">
        <v>70000</v>
      </c>
      <c r="P1136">
        <v>4</v>
      </c>
      <c r="Q1136">
        <v>4</v>
      </c>
      <c r="R1136">
        <v>5</v>
      </c>
      <c r="S1136">
        <v>4</v>
      </c>
      <c r="T1136" s="123">
        <f t="shared" si="87"/>
        <v>0</v>
      </c>
      <c r="U1136">
        <f t="shared" si="88"/>
        <v>1</v>
      </c>
      <c r="V1136">
        <f t="shared" si="89"/>
        <v>1</v>
      </c>
      <c r="W1136">
        <f t="shared" si="90"/>
        <v>1</v>
      </c>
      <c r="X1136">
        <f t="shared" si="91"/>
        <v>1</v>
      </c>
    </row>
    <row r="1137" spans="1:24">
      <c r="A1137" t="s">
        <v>250</v>
      </c>
      <c r="B1137">
        <v>1</v>
      </c>
      <c r="C1137">
        <v>1</v>
      </c>
      <c r="D1137">
        <v>100</v>
      </c>
      <c r="E1137">
        <v>0</v>
      </c>
      <c r="F1137">
        <v>100</v>
      </c>
      <c r="G1137">
        <v>0</v>
      </c>
      <c r="H1137">
        <v>100</v>
      </c>
      <c r="I1137">
        <v>1</v>
      </c>
      <c r="J1137">
        <v>0</v>
      </c>
      <c r="K1137">
        <v>1</v>
      </c>
      <c r="L1137">
        <v>1</v>
      </c>
      <c r="M1137">
        <v>1</v>
      </c>
      <c r="N1137">
        <v>41</v>
      </c>
      <c r="O1137">
        <v>125000</v>
      </c>
      <c r="P1137">
        <v>5</v>
      </c>
      <c r="Q1137">
        <v>4</v>
      </c>
      <c r="R1137">
        <v>5</v>
      </c>
      <c r="S1137">
        <v>4</v>
      </c>
      <c r="T1137" s="123">
        <f t="shared" si="87"/>
        <v>0</v>
      </c>
      <c r="U1137">
        <f t="shared" si="88"/>
        <v>1</v>
      </c>
      <c r="V1137">
        <f t="shared" si="89"/>
        <v>1</v>
      </c>
      <c r="W1137">
        <f t="shared" si="90"/>
        <v>1</v>
      </c>
      <c r="X1137">
        <f t="shared" si="91"/>
        <v>1</v>
      </c>
    </row>
    <row r="1138" spans="1:24" hidden="1">
      <c r="A1138" t="s">
        <v>250</v>
      </c>
      <c r="B1138">
        <v>2</v>
      </c>
      <c r="C1138">
        <v>1</v>
      </c>
      <c r="D1138">
        <v>100</v>
      </c>
      <c r="E1138">
        <v>100</v>
      </c>
      <c r="F1138">
        <v>100</v>
      </c>
      <c r="G1138">
        <v>100</v>
      </c>
      <c r="H1138">
        <v>0</v>
      </c>
      <c r="I1138">
        <v>0</v>
      </c>
      <c r="J1138">
        <v>0</v>
      </c>
      <c r="K1138">
        <v>1</v>
      </c>
      <c r="L1138">
        <v>1</v>
      </c>
      <c r="M1138">
        <v>1</v>
      </c>
      <c r="N1138">
        <v>41</v>
      </c>
      <c r="O1138">
        <v>125000</v>
      </c>
      <c r="P1138">
        <v>5</v>
      </c>
      <c r="Q1138">
        <v>4</v>
      </c>
      <c r="R1138">
        <v>5</v>
      </c>
      <c r="S1138">
        <v>4</v>
      </c>
      <c r="T1138" s="123">
        <f t="shared" si="87"/>
        <v>1</v>
      </c>
      <c r="U1138">
        <f t="shared" si="88"/>
        <v>1</v>
      </c>
      <c r="V1138">
        <f t="shared" si="89"/>
        <v>1</v>
      </c>
      <c r="W1138">
        <f t="shared" si="90"/>
        <v>1</v>
      </c>
      <c r="X1138">
        <f t="shared" si="91"/>
        <v>1</v>
      </c>
    </row>
    <row r="1139" spans="1:24">
      <c r="A1139" t="s">
        <v>250</v>
      </c>
      <c r="B1139">
        <v>3</v>
      </c>
      <c r="C1139">
        <v>1</v>
      </c>
      <c r="D1139">
        <v>73.07692307692308</v>
      </c>
      <c r="E1139">
        <v>0</v>
      </c>
      <c r="F1139">
        <v>100</v>
      </c>
      <c r="G1139">
        <v>0</v>
      </c>
      <c r="H1139">
        <v>50</v>
      </c>
      <c r="I1139">
        <v>0</v>
      </c>
      <c r="J1139">
        <v>0</v>
      </c>
      <c r="K1139">
        <v>1</v>
      </c>
      <c r="L1139">
        <v>1</v>
      </c>
      <c r="M1139">
        <v>1</v>
      </c>
      <c r="N1139">
        <v>41</v>
      </c>
      <c r="O1139">
        <v>125000</v>
      </c>
      <c r="P1139">
        <v>5</v>
      </c>
      <c r="Q1139">
        <v>4</v>
      </c>
      <c r="R1139">
        <v>5</v>
      </c>
      <c r="S1139">
        <v>4</v>
      </c>
      <c r="T1139" s="123">
        <f t="shared" si="87"/>
        <v>0</v>
      </c>
      <c r="U1139">
        <f t="shared" si="88"/>
        <v>1</v>
      </c>
      <c r="V1139">
        <f t="shared" si="89"/>
        <v>1</v>
      </c>
      <c r="W1139">
        <f t="shared" si="90"/>
        <v>1</v>
      </c>
      <c r="X1139">
        <f t="shared" si="91"/>
        <v>1</v>
      </c>
    </row>
    <row r="1140" spans="1:24">
      <c r="A1140" t="s">
        <v>250</v>
      </c>
      <c r="B1140">
        <v>4</v>
      </c>
      <c r="C1140">
        <v>1</v>
      </c>
      <c r="D1140">
        <v>100</v>
      </c>
      <c r="E1140">
        <v>100</v>
      </c>
      <c r="F1140">
        <v>0</v>
      </c>
      <c r="G1140">
        <v>100</v>
      </c>
      <c r="H1140">
        <v>100</v>
      </c>
      <c r="I1140">
        <v>0</v>
      </c>
      <c r="J1140">
        <v>0</v>
      </c>
      <c r="K1140">
        <v>1</v>
      </c>
      <c r="L1140">
        <v>1</v>
      </c>
      <c r="M1140">
        <v>1</v>
      </c>
      <c r="N1140">
        <v>41</v>
      </c>
      <c r="O1140">
        <v>125000</v>
      </c>
      <c r="P1140">
        <v>5</v>
      </c>
      <c r="Q1140">
        <v>4</v>
      </c>
      <c r="R1140">
        <v>5</v>
      </c>
      <c r="S1140">
        <v>4</v>
      </c>
      <c r="T1140" s="123">
        <f t="shared" si="87"/>
        <v>0</v>
      </c>
      <c r="U1140">
        <f t="shared" si="88"/>
        <v>1</v>
      </c>
      <c r="V1140">
        <f t="shared" si="89"/>
        <v>1</v>
      </c>
      <c r="W1140">
        <f t="shared" si="90"/>
        <v>1</v>
      </c>
      <c r="X1140">
        <f t="shared" si="91"/>
        <v>1</v>
      </c>
    </row>
    <row r="1141" spans="1:24">
      <c r="A1141" t="s">
        <v>250</v>
      </c>
      <c r="B1141">
        <v>5</v>
      </c>
      <c r="C1141">
        <v>1</v>
      </c>
      <c r="D1141">
        <v>0</v>
      </c>
      <c r="E1141">
        <v>0</v>
      </c>
      <c r="F1141">
        <v>0</v>
      </c>
      <c r="G1141">
        <v>100</v>
      </c>
      <c r="H1141">
        <v>100</v>
      </c>
      <c r="I1141">
        <v>0</v>
      </c>
      <c r="J1141">
        <v>0</v>
      </c>
      <c r="K1141">
        <v>0</v>
      </c>
      <c r="L1141">
        <v>1</v>
      </c>
      <c r="M1141">
        <v>1</v>
      </c>
      <c r="N1141">
        <v>41</v>
      </c>
      <c r="O1141">
        <v>125000</v>
      </c>
      <c r="P1141">
        <v>5</v>
      </c>
      <c r="Q1141">
        <v>4</v>
      </c>
      <c r="R1141">
        <v>5</v>
      </c>
      <c r="S1141">
        <v>4</v>
      </c>
      <c r="T1141" s="123">
        <f t="shared" si="87"/>
        <v>0</v>
      </c>
      <c r="U1141">
        <f t="shared" si="88"/>
        <v>1</v>
      </c>
      <c r="V1141">
        <f t="shared" si="89"/>
        <v>1</v>
      </c>
      <c r="W1141">
        <f t="shared" si="90"/>
        <v>1</v>
      </c>
      <c r="X1141">
        <f t="shared" si="91"/>
        <v>1</v>
      </c>
    </row>
    <row r="1142" spans="1:24">
      <c r="A1142" t="s">
        <v>250</v>
      </c>
      <c r="B1142">
        <v>6</v>
      </c>
      <c r="C1142">
        <v>1</v>
      </c>
      <c r="D1142">
        <v>100</v>
      </c>
      <c r="E1142">
        <v>0</v>
      </c>
      <c r="F1142">
        <v>100</v>
      </c>
      <c r="G1142">
        <v>100</v>
      </c>
      <c r="H1142">
        <v>100</v>
      </c>
      <c r="I1142">
        <v>0</v>
      </c>
      <c r="J1142">
        <v>0</v>
      </c>
      <c r="K1142">
        <v>1</v>
      </c>
      <c r="L1142">
        <v>1</v>
      </c>
      <c r="M1142">
        <v>1</v>
      </c>
      <c r="N1142">
        <v>41</v>
      </c>
      <c r="O1142">
        <v>125000</v>
      </c>
      <c r="P1142">
        <v>5</v>
      </c>
      <c r="Q1142">
        <v>4</v>
      </c>
      <c r="R1142">
        <v>5</v>
      </c>
      <c r="S1142">
        <v>4</v>
      </c>
      <c r="T1142" s="123">
        <f t="shared" si="87"/>
        <v>0</v>
      </c>
      <c r="U1142">
        <f t="shared" si="88"/>
        <v>1</v>
      </c>
      <c r="V1142">
        <f t="shared" si="89"/>
        <v>1</v>
      </c>
      <c r="W1142">
        <f t="shared" si="90"/>
        <v>1</v>
      </c>
      <c r="X1142">
        <f t="shared" si="91"/>
        <v>1</v>
      </c>
    </row>
    <row r="1143" spans="1:24">
      <c r="A1143" t="s">
        <v>250</v>
      </c>
      <c r="B1143">
        <v>7</v>
      </c>
      <c r="C1143">
        <v>1</v>
      </c>
      <c r="D1143">
        <v>0</v>
      </c>
      <c r="E1143">
        <v>100</v>
      </c>
      <c r="F1143">
        <v>0.30137772675086222</v>
      </c>
      <c r="G1143">
        <v>0</v>
      </c>
      <c r="H1143">
        <v>100</v>
      </c>
      <c r="I1143">
        <v>0</v>
      </c>
      <c r="J1143">
        <v>1</v>
      </c>
      <c r="K1143">
        <v>0</v>
      </c>
      <c r="L1143">
        <v>1</v>
      </c>
      <c r="M1143">
        <v>1</v>
      </c>
      <c r="N1143">
        <v>41</v>
      </c>
      <c r="O1143">
        <v>125000</v>
      </c>
      <c r="P1143">
        <v>5</v>
      </c>
      <c r="Q1143">
        <v>4</v>
      </c>
      <c r="R1143">
        <v>5</v>
      </c>
      <c r="S1143">
        <v>4</v>
      </c>
      <c r="T1143" s="123">
        <f t="shared" si="87"/>
        <v>0</v>
      </c>
      <c r="U1143">
        <f t="shared" si="88"/>
        <v>1</v>
      </c>
      <c r="V1143">
        <f t="shared" si="89"/>
        <v>1</v>
      </c>
      <c r="W1143">
        <f t="shared" si="90"/>
        <v>1</v>
      </c>
      <c r="X1143">
        <f t="shared" si="91"/>
        <v>1</v>
      </c>
    </row>
    <row r="1144" spans="1:24">
      <c r="A1144" t="s">
        <v>251</v>
      </c>
      <c r="B1144">
        <v>1</v>
      </c>
      <c r="C1144">
        <v>1</v>
      </c>
      <c r="D1144">
        <v>100</v>
      </c>
      <c r="E1144">
        <v>0</v>
      </c>
      <c r="F1144">
        <v>0</v>
      </c>
      <c r="G1144">
        <v>100</v>
      </c>
      <c r="H1144">
        <v>0</v>
      </c>
      <c r="I1144">
        <v>1</v>
      </c>
      <c r="J1144">
        <v>0</v>
      </c>
      <c r="K1144">
        <v>1</v>
      </c>
      <c r="L1144">
        <v>1</v>
      </c>
      <c r="M1144">
        <v>1</v>
      </c>
      <c r="N1144">
        <v>43</v>
      </c>
      <c r="O1144">
        <v>125000</v>
      </c>
      <c r="P1144">
        <v>5</v>
      </c>
      <c r="Q1144">
        <v>5</v>
      </c>
      <c r="R1144">
        <v>5</v>
      </c>
      <c r="S1144">
        <v>4</v>
      </c>
      <c r="T1144" s="123">
        <f t="shared" si="87"/>
        <v>0</v>
      </c>
      <c r="U1144">
        <f t="shared" si="88"/>
        <v>1</v>
      </c>
      <c r="V1144">
        <f t="shared" si="89"/>
        <v>1</v>
      </c>
      <c r="W1144">
        <f t="shared" si="90"/>
        <v>1</v>
      </c>
      <c r="X1144">
        <f t="shared" si="91"/>
        <v>1</v>
      </c>
    </row>
    <row r="1145" spans="1:24" hidden="1">
      <c r="A1145" t="s">
        <v>251</v>
      </c>
      <c r="B1145">
        <v>2</v>
      </c>
      <c r="C1145">
        <v>1</v>
      </c>
      <c r="D1145">
        <v>100</v>
      </c>
      <c r="E1145">
        <v>0</v>
      </c>
      <c r="F1145">
        <v>0.27448714244437961</v>
      </c>
      <c r="G1145">
        <v>0</v>
      </c>
      <c r="H1145">
        <v>100</v>
      </c>
      <c r="I1145">
        <v>0</v>
      </c>
      <c r="J1145">
        <v>0</v>
      </c>
      <c r="K1145">
        <v>1</v>
      </c>
      <c r="L1145">
        <v>1</v>
      </c>
      <c r="M1145">
        <v>1</v>
      </c>
      <c r="N1145">
        <v>43</v>
      </c>
      <c r="O1145">
        <v>125000</v>
      </c>
      <c r="P1145">
        <v>5</v>
      </c>
      <c r="Q1145">
        <v>5</v>
      </c>
      <c r="R1145">
        <v>5</v>
      </c>
      <c r="S1145">
        <v>4</v>
      </c>
      <c r="T1145" s="123">
        <f t="shared" si="87"/>
        <v>1</v>
      </c>
      <c r="U1145">
        <f t="shared" si="88"/>
        <v>1</v>
      </c>
      <c r="V1145">
        <f t="shared" si="89"/>
        <v>1</v>
      </c>
      <c r="W1145">
        <f t="shared" si="90"/>
        <v>1</v>
      </c>
      <c r="X1145">
        <f t="shared" si="91"/>
        <v>1</v>
      </c>
    </row>
    <row r="1146" spans="1:24" hidden="1">
      <c r="A1146" t="s">
        <v>251</v>
      </c>
      <c r="B1146">
        <v>3</v>
      </c>
      <c r="C1146">
        <v>1</v>
      </c>
      <c r="D1146">
        <v>0</v>
      </c>
      <c r="E1146">
        <v>100</v>
      </c>
      <c r="F1146">
        <v>100</v>
      </c>
      <c r="G1146">
        <v>100</v>
      </c>
      <c r="H1146">
        <v>100</v>
      </c>
      <c r="I1146">
        <v>0</v>
      </c>
      <c r="J1146">
        <v>0</v>
      </c>
      <c r="K1146">
        <v>0</v>
      </c>
      <c r="L1146">
        <v>1</v>
      </c>
      <c r="M1146">
        <v>1</v>
      </c>
      <c r="N1146">
        <v>43</v>
      </c>
      <c r="O1146">
        <v>125000</v>
      </c>
      <c r="P1146">
        <v>5</v>
      </c>
      <c r="Q1146">
        <v>5</v>
      </c>
      <c r="R1146">
        <v>5</v>
      </c>
      <c r="S1146">
        <v>4</v>
      </c>
      <c r="T1146" s="123">
        <f t="shared" si="87"/>
        <v>1</v>
      </c>
      <c r="U1146">
        <f t="shared" si="88"/>
        <v>1</v>
      </c>
      <c r="V1146">
        <f t="shared" si="89"/>
        <v>1</v>
      </c>
      <c r="W1146">
        <f t="shared" si="90"/>
        <v>1</v>
      </c>
      <c r="X1146">
        <f t="shared" si="91"/>
        <v>1</v>
      </c>
    </row>
    <row r="1147" spans="1:24" hidden="1">
      <c r="A1147" t="s">
        <v>251</v>
      </c>
      <c r="B1147">
        <v>4</v>
      </c>
      <c r="C1147">
        <v>1</v>
      </c>
      <c r="D1147">
        <v>0</v>
      </c>
      <c r="E1147">
        <v>100</v>
      </c>
      <c r="F1147">
        <v>100</v>
      </c>
      <c r="G1147">
        <v>100</v>
      </c>
      <c r="H1147">
        <v>100</v>
      </c>
      <c r="I1147">
        <v>0</v>
      </c>
      <c r="J1147">
        <v>0</v>
      </c>
      <c r="K1147">
        <v>0</v>
      </c>
      <c r="L1147">
        <v>1</v>
      </c>
      <c r="M1147">
        <v>1</v>
      </c>
      <c r="N1147">
        <v>43</v>
      </c>
      <c r="O1147">
        <v>125000</v>
      </c>
      <c r="P1147">
        <v>5</v>
      </c>
      <c r="Q1147">
        <v>5</v>
      </c>
      <c r="R1147">
        <v>5</v>
      </c>
      <c r="S1147">
        <v>4</v>
      </c>
      <c r="T1147" s="123">
        <f t="shared" si="87"/>
        <v>1</v>
      </c>
      <c r="U1147">
        <f t="shared" si="88"/>
        <v>1</v>
      </c>
      <c r="V1147">
        <f t="shared" si="89"/>
        <v>1</v>
      </c>
      <c r="W1147">
        <f t="shared" si="90"/>
        <v>1</v>
      </c>
      <c r="X1147">
        <f t="shared" si="91"/>
        <v>1</v>
      </c>
    </row>
    <row r="1148" spans="1:24">
      <c r="A1148" t="s">
        <v>251</v>
      </c>
      <c r="B1148">
        <v>5</v>
      </c>
      <c r="C1148">
        <v>1</v>
      </c>
      <c r="D1148">
        <v>0</v>
      </c>
      <c r="E1148">
        <v>0</v>
      </c>
      <c r="F1148">
        <v>50</v>
      </c>
      <c r="G1148">
        <v>100</v>
      </c>
      <c r="H1148">
        <v>73.028026581912741</v>
      </c>
      <c r="I1148">
        <v>0</v>
      </c>
      <c r="J1148">
        <v>0</v>
      </c>
      <c r="K1148">
        <v>0</v>
      </c>
      <c r="L1148">
        <v>1</v>
      </c>
      <c r="M1148">
        <v>1</v>
      </c>
      <c r="N1148">
        <v>43</v>
      </c>
      <c r="O1148">
        <v>125000</v>
      </c>
      <c r="P1148">
        <v>5</v>
      </c>
      <c r="Q1148">
        <v>5</v>
      </c>
      <c r="R1148">
        <v>5</v>
      </c>
      <c r="S1148">
        <v>4</v>
      </c>
      <c r="T1148" s="123">
        <f t="shared" si="87"/>
        <v>0</v>
      </c>
      <c r="U1148">
        <f t="shared" si="88"/>
        <v>1</v>
      </c>
      <c r="V1148">
        <f t="shared" si="89"/>
        <v>1</v>
      </c>
      <c r="W1148">
        <f t="shared" si="90"/>
        <v>1</v>
      </c>
      <c r="X1148">
        <f t="shared" si="91"/>
        <v>1</v>
      </c>
    </row>
    <row r="1149" spans="1:24" hidden="1">
      <c r="A1149" t="s">
        <v>251</v>
      </c>
      <c r="B1149">
        <v>6</v>
      </c>
      <c r="C1149">
        <v>1</v>
      </c>
      <c r="D1149">
        <v>100</v>
      </c>
      <c r="E1149">
        <v>100</v>
      </c>
      <c r="F1149">
        <v>100</v>
      </c>
      <c r="G1149">
        <v>100</v>
      </c>
      <c r="H1149">
        <v>0</v>
      </c>
      <c r="I1149">
        <v>0</v>
      </c>
      <c r="J1149">
        <v>0</v>
      </c>
      <c r="K1149">
        <v>1</v>
      </c>
      <c r="L1149">
        <v>1</v>
      </c>
      <c r="M1149">
        <v>1</v>
      </c>
      <c r="N1149">
        <v>43</v>
      </c>
      <c r="O1149">
        <v>125000</v>
      </c>
      <c r="P1149">
        <v>5</v>
      </c>
      <c r="Q1149">
        <v>5</v>
      </c>
      <c r="R1149">
        <v>5</v>
      </c>
      <c r="S1149">
        <v>4</v>
      </c>
      <c r="T1149" s="123">
        <f t="shared" si="87"/>
        <v>1</v>
      </c>
      <c r="U1149">
        <f t="shared" si="88"/>
        <v>1</v>
      </c>
      <c r="V1149">
        <f t="shared" si="89"/>
        <v>1</v>
      </c>
      <c r="W1149">
        <f t="shared" si="90"/>
        <v>1</v>
      </c>
      <c r="X1149">
        <f t="shared" si="91"/>
        <v>1</v>
      </c>
    </row>
    <row r="1150" spans="1:24" hidden="1">
      <c r="A1150" t="s">
        <v>251</v>
      </c>
      <c r="B1150">
        <v>7</v>
      </c>
      <c r="C1150">
        <v>1</v>
      </c>
      <c r="D1150">
        <v>0</v>
      </c>
      <c r="E1150">
        <v>100</v>
      </c>
      <c r="F1150">
        <v>100</v>
      </c>
      <c r="G1150">
        <v>100</v>
      </c>
      <c r="H1150">
        <v>0</v>
      </c>
      <c r="I1150">
        <v>0</v>
      </c>
      <c r="J1150">
        <v>1</v>
      </c>
      <c r="K1150">
        <v>0</v>
      </c>
      <c r="L1150">
        <v>1</v>
      </c>
      <c r="M1150">
        <v>1</v>
      </c>
      <c r="N1150">
        <v>43</v>
      </c>
      <c r="O1150">
        <v>125000</v>
      </c>
      <c r="P1150">
        <v>5</v>
      </c>
      <c r="Q1150">
        <v>5</v>
      </c>
      <c r="R1150">
        <v>5</v>
      </c>
      <c r="S1150">
        <v>4</v>
      </c>
      <c r="T1150" s="123">
        <f t="shared" si="87"/>
        <v>1</v>
      </c>
      <c r="U1150">
        <f t="shared" si="88"/>
        <v>1</v>
      </c>
      <c r="V1150">
        <f t="shared" si="89"/>
        <v>1</v>
      </c>
      <c r="W1150">
        <f t="shared" si="90"/>
        <v>1</v>
      </c>
      <c r="X1150">
        <f t="shared" si="91"/>
        <v>1</v>
      </c>
    </row>
    <row r="1151" spans="1:24">
      <c r="A1151" t="s">
        <v>252</v>
      </c>
      <c r="B1151">
        <v>1</v>
      </c>
      <c r="C1151">
        <v>1</v>
      </c>
      <c r="D1151">
        <v>0.64636598678540769</v>
      </c>
      <c r="E1151">
        <v>100</v>
      </c>
      <c r="F1151">
        <v>0</v>
      </c>
      <c r="G1151">
        <v>100</v>
      </c>
      <c r="H1151">
        <v>100</v>
      </c>
      <c r="I1151">
        <v>1</v>
      </c>
      <c r="J1151">
        <v>0</v>
      </c>
      <c r="K1151">
        <v>0</v>
      </c>
      <c r="L1151">
        <v>1</v>
      </c>
      <c r="M1151">
        <v>0</v>
      </c>
      <c r="N1151">
        <v>27</v>
      </c>
      <c r="O1151">
        <v>100000</v>
      </c>
      <c r="P1151">
        <v>5</v>
      </c>
      <c r="Q1151">
        <v>4</v>
      </c>
      <c r="R1151">
        <v>5</v>
      </c>
      <c r="S1151">
        <v>4</v>
      </c>
      <c r="T1151" s="123">
        <f t="shared" si="87"/>
        <v>0</v>
      </c>
      <c r="U1151">
        <f t="shared" si="88"/>
        <v>1</v>
      </c>
      <c r="V1151">
        <f t="shared" si="89"/>
        <v>1</v>
      </c>
      <c r="W1151">
        <f t="shared" si="90"/>
        <v>1</v>
      </c>
      <c r="X1151">
        <f t="shared" si="91"/>
        <v>1</v>
      </c>
    </row>
    <row r="1152" spans="1:24" hidden="1">
      <c r="A1152" t="s">
        <v>252</v>
      </c>
      <c r="B1152">
        <v>2</v>
      </c>
      <c r="C1152">
        <v>1</v>
      </c>
      <c r="D1152">
        <v>100</v>
      </c>
      <c r="E1152">
        <v>0</v>
      </c>
      <c r="F1152">
        <v>0</v>
      </c>
      <c r="G1152">
        <v>0.38781959207124239</v>
      </c>
      <c r="H1152">
        <v>100</v>
      </c>
      <c r="I1152">
        <v>0</v>
      </c>
      <c r="J1152">
        <v>0</v>
      </c>
      <c r="K1152">
        <v>1</v>
      </c>
      <c r="L1152">
        <v>1</v>
      </c>
      <c r="M1152">
        <v>0</v>
      </c>
      <c r="N1152">
        <v>27</v>
      </c>
      <c r="O1152">
        <v>100000</v>
      </c>
      <c r="P1152">
        <v>5</v>
      </c>
      <c r="Q1152">
        <v>4</v>
      </c>
      <c r="R1152">
        <v>5</v>
      </c>
      <c r="S1152">
        <v>4</v>
      </c>
      <c r="T1152" s="123">
        <f t="shared" si="87"/>
        <v>1</v>
      </c>
      <c r="U1152">
        <f t="shared" si="88"/>
        <v>1</v>
      </c>
      <c r="V1152">
        <f t="shared" si="89"/>
        <v>1</v>
      </c>
      <c r="W1152">
        <f t="shared" si="90"/>
        <v>1</v>
      </c>
      <c r="X1152">
        <f t="shared" si="91"/>
        <v>1</v>
      </c>
    </row>
    <row r="1153" spans="1:24">
      <c r="A1153" t="s">
        <v>252</v>
      </c>
      <c r="B1153">
        <v>3</v>
      </c>
      <c r="C1153">
        <v>1</v>
      </c>
      <c r="D1153">
        <v>100</v>
      </c>
      <c r="E1153">
        <v>0</v>
      </c>
      <c r="F1153">
        <v>0</v>
      </c>
      <c r="G1153">
        <v>100</v>
      </c>
      <c r="H1153">
        <v>0</v>
      </c>
      <c r="I1153">
        <v>0</v>
      </c>
      <c r="J1153">
        <v>0</v>
      </c>
      <c r="K1153">
        <v>1</v>
      </c>
      <c r="L1153">
        <v>1</v>
      </c>
      <c r="M1153">
        <v>0</v>
      </c>
      <c r="N1153">
        <v>27</v>
      </c>
      <c r="O1153">
        <v>100000</v>
      </c>
      <c r="P1153">
        <v>5</v>
      </c>
      <c r="Q1153">
        <v>4</v>
      </c>
      <c r="R1153">
        <v>5</v>
      </c>
      <c r="S1153">
        <v>4</v>
      </c>
      <c r="T1153" s="123">
        <f t="shared" si="87"/>
        <v>0</v>
      </c>
      <c r="U1153">
        <f t="shared" si="88"/>
        <v>1</v>
      </c>
      <c r="V1153">
        <f t="shared" si="89"/>
        <v>1</v>
      </c>
      <c r="W1153">
        <f t="shared" si="90"/>
        <v>1</v>
      </c>
      <c r="X1153">
        <f t="shared" si="91"/>
        <v>1</v>
      </c>
    </row>
    <row r="1154" spans="1:24" hidden="1">
      <c r="A1154" t="s">
        <v>252</v>
      </c>
      <c r="B1154">
        <v>4</v>
      </c>
      <c r="C1154">
        <v>1</v>
      </c>
      <c r="D1154">
        <v>0</v>
      </c>
      <c r="E1154">
        <v>100</v>
      </c>
      <c r="F1154">
        <v>100</v>
      </c>
      <c r="G1154">
        <v>100</v>
      </c>
      <c r="H1154">
        <v>100</v>
      </c>
      <c r="I1154">
        <v>0</v>
      </c>
      <c r="J1154">
        <v>0</v>
      </c>
      <c r="K1154">
        <v>0</v>
      </c>
      <c r="L1154">
        <v>1</v>
      </c>
      <c r="M1154">
        <v>0</v>
      </c>
      <c r="N1154">
        <v>27</v>
      </c>
      <c r="O1154">
        <v>100000</v>
      </c>
      <c r="P1154">
        <v>5</v>
      </c>
      <c r="Q1154">
        <v>4</v>
      </c>
      <c r="R1154">
        <v>5</v>
      </c>
      <c r="S1154">
        <v>4</v>
      </c>
      <c r="T1154" s="123">
        <f t="shared" si="87"/>
        <v>1</v>
      </c>
      <c r="U1154">
        <f t="shared" si="88"/>
        <v>1</v>
      </c>
      <c r="V1154">
        <f t="shared" si="89"/>
        <v>1</v>
      </c>
      <c r="W1154">
        <f t="shared" si="90"/>
        <v>1</v>
      </c>
      <c r="X1154">
        <f t="shared" si="91"/>
        <v>1</v>
      </c>
    </row>
    <row r="1155" spans="1:24">
      <c r="A1155" t="s">
        <v>252</v>
      </c>
      <c r="B1155">
        <v>5</v>
      </c>
      <c r="C1155">
        <v>1</v>
      </c>
      <c r="D1155">
        <v>100</v>
      </c>
      <c r="E1155">
        <v>100</v>
      </c>
      <c r="F1155">
        <v>0</v>
      </c>
      <c r="G1155">
        <v>100</v>
      </c>
      <c r="H1155">
        <v>100</v>
      </c>
      <c r="I1155">
        <v>0</v>
      </c>
      <c r="J1155">
        <v>0</v>
      </c>
      <c r="K1155">
        <v>1</v>
      </c>
      <c r="L1155">
        <v>1</v>
      </c>
      <c r="M1155">
        <v>0</v>
      </c>
      <c r="N1155">
        <v>27</v>
      </c>
      <c r="O1155">
        <v>100000</v>
      </c>
      <c r="P1155">
        <v>5</v>
      </c>
      <c r="Q1155">
        <v>4</v>
      </c>
      <c r="R1155">
        <v>5</v>
      </c>
      <c r="S1155">
        <v>4</v>
      </c>
      <c r="T1155" s="123">
        <f t="shared" si="87"/>
        <v>0</v>
      </c>
      <c r="U1155">
        <f t="shared" si="88"/>
        <v>1</v>
      </c>
      <c r="V1155">
        <f t="shared" si="89"/>
        <v>1</v>
      </c>
      <c r="W1155">
        <f t="shared" si="90"/>
        <v>1</v>
      </c>
      <c r="X1155">
        <f t="shared" si="91"/>
        <v>1</v>
      </c>
    </row>
    <row r="1156" spans="1:24">
      <c r="A1156" t="s">
        <v>252</v>
      </c>
      <c r="B1156">
        <v>6</v>
      </c>
      <c r="C1156">
        <v>1</v>
      </c>
      <c r="D1156">
        <v>0</v>
      </c>
      <c r="E1156">
        <v>0</v>
      </c>
      <c r="F1156">
        <v>72.69462798046537</v>
      </c>
      <c r="G1156">
        <v>50</v>
      </c>
      <c r="H1156">
        <v>100</v>
      </c>
      <c r="I1156">
        <v>0</v>
      </c>
      <c r="J1156">
        <v>0</v>
      </c>
      <c r="K1156">
        <v>0</v>
      </c>
      <c r="L1156">
        <v>1</v>
      </c>
      <c r="M1156">
        <v>0</v>
      </c>
      <c r="N1156">
        <v>27</v>
      </c>
      <c r="O1156">
        <v>100000</v>
      </c>
      <c r="P1156">
        <v>5</v>
      </c>
      <c r="Q1156">
        <v>4</v>
      </c>
      <c r="R1156">
        <v>5</v>
      </c>
      <c r="S1156">
        <v>4</v>
      </c>
      <c r="T1156" s="123">
        <f t="shared" ref="T1156:T1219" si="92">IF(OR(IF(AVERAGE(E1156:F1156)-G1156&gt;(10),1,0),IF(AVERAGE(E1156:F1156)-G1156&lt;(-10),1,0)),0,1)</f>
        <v>0</v>
      </c>
      <c r="U1156">
        <f t="shared" ref="U1156:U1219" si="93">IF(P1156&gt;3,1,0)</f>
        <v>1</v>
      </c>
      <c r="V1156">
        <f t="shared" ref="V1156:V1219" si="94">IF(Q1156&gt;3,1,0)</f>
        <v>1</v>
      </c>
      <c r="W1156">
        <f t="shared" ref="W1156:W1219" si="95">IF(R1156&gt;3,1,0)</f>
        <v>1</v>
      </c>
      <c r="X1156">
        <f t="shared" ref="X1156:X1219" si="96">IF(S1156&gt;3,1,0)</f>
        <v>1</v>
      </c>
    </row>
    <row r="1157" spans="1:24">
      <c r="A1157" t="s">
        <v>252</v>
      </c>
      <c r="B1157">
        <v>7</v>
      </c>
      <c r="C1157">
        <v>1</v>
      </c>
      <c r="D1157">
        <v>100</v>
      </c>
      <c r="E1157">
        <v>100</v>
      </c>
      <c r="F1157">
        <v>0</v>
      </c>
      <c r="G1157">
        <v>100</v>
      </c>
      <c r="H1157">
        <v>100</v>
      </c>
      <c r="I1157">
        <v>0</v>
      </c>
      <c r="J1157">
        <v>1</v>
      </c>
      <c r="K1157">
        <v>1</v>
      </c>
      <c r="L1157">
        <v>1</v>
      </c>
      <c r="M1157">
        <v>0</v>
      </c>
      <c r="N1157">
        <v>27</v>
      </c>
      <c r="O1157">
        <v>100000</v>
      </c>
      <c r="P1157">
        <v>5</v>
      </c>
      <c r="Q1157">
        <v>4</v>
      </c>
      <c r="R1157">
        <v>5</v>
      </c>
      <c r="S1157">
        <v>4</v>
      </c>
      <c r="T1157" s="123">
        <f t="shared" si="92"/>
        <v>0</v>
      </c>
      <c r="U1157">
        <f t="shared" si="93"/>
        <v>1</v>
      </c>
      <c r="V1157">
        <f t="shared" si="94"/>
        <v>1</v>
      </c>
      <c r="W1157">
        <f t="shared" si="95"/>
        <v>1</v>
      </c>
      <c r="X1157">
        <f t="shared" si="96"/>
        <v>1</v>
      </c>
    </row>
    <row r="1158" spans="1:24">
      <c r="A1158" t="s">
        <v>253</v>
      </c>
      <c r="B1158">
        <v>1</v>
      </c>
      <c r="C1158">
        <v>1</v>
      </c>
      <c r="D1158">
        <v>100</v>
      </c>
      <c r="E1158">
        <v>100</v>
      </c>
      <c r="F1158">
        <v>100</v>
      </c>
      <c r="G1158">
        <v>0</v>
      </c>
      <c r="H1158">
        <v>100</v>
      </c>
      <c r="I1158">
        <v>1</v>
      </c>
      <c r="J1158">
        <v>0</v>
      </c>
      <c r="K1158">
        <v>1</v>
      </c>
      <c r="L1158">
        <v>1</v>
      </c>
      <c r="M1158">
        <v>1</v>
      </c>
      <c r="N1158">
        <v>36</v>
      </c>
      <c r="O1158">
        <v>125000</v>
      </c>
      <c r="P1158">
        <v>4</v>
      </c>
      <c r="Q1158">
        <v>5</v>
      </c>
      <c r="R1158">
        <v>5</v>
      </c>
      <c r="S1158">
        <v>4</v>
      </c>
      <c r="T1158" s="123">
        <f t="shared" si="92"/>
        <v>0</v>
      </c>
      <c r="U1158">
        <f t="shared" si="93"/>
        <v>1</v>
      </c>
      <c r="V1158">
        <f t="shared" si="94"/>
        <v>1</v>
      </c>
      <c r="W1158">
        <f t="shared" si="95"/>
        <v>1</v>
      </c>
      <c r="X1158">
        <f t="shared" si="96"/>
        <v>1</v>
      </c>
    </row>
    <row r="1159" spans="1:24">
      <c r="A1159" t="s">
        <v>253</v>
      </c>
      <c r="B1159">
        <v>2</v>
      </c>
      <c r="C1159">
        <v>1</v>
      </c>
      <c r="D1159">
        <v>73.238831615120276</v>
      </c>
      <c r="E1159">
        <v>50</v>
      </c>
      <c r="F1159">
        <v>0</v>
      </c>
      <c r="G1159">
        <v>0</v>
      </c>
      <c r="H1159">
        <v>100</v>
      </c>
      <c r="I1159">
        <v>0</v>
      </c>
      <c r="J1159">
        <v>0</v>
      </c>
      <c r="K1159">
        <v>1</v>
      </c>
      <c r="L1159">
        <v>1</v>
      </c>
      <c r="M1159">
        <v>1</v>
      </c>
      <c r="N1159">
        <v>36</v>
      </c>
      <c r="O1159">
        <v>125000</v>
      </c>
      <c r="P1159">
        <v>4</v>
      </c>
      <c r="Q1159">
        <v>5</v>
      </c>
      <c r="R1159">
        <v>5</v>
      </c>
      <c r="S1159">
        <v>4</v>
      </c>
      <c r="T1159" s="123">
        <f t="shared" si="92"/>
        <v>0</v>
      </c>
      <c r="U1159">
        <f t="shared" si="93"/>
        <v>1</v>
      </c>
      <c r="V1159">
        <f t="shared" si="94"/>
        <v>1</v>
      </c>
      <c r="W1159">
        <f t="shared" si="95"/>
        <v>1</v>
      </c>
      <c r="X1159">
        <f t="shared" si="96"/>
        <v>1</v>
      </c>
    </row>
    <row r="1160" spans="1:24" hidden="1">
      <c r="A1160" t="s">
        <v>253</v>
      </c>
      <c r="B1160">
        <v>3</v>
      </c>
      <c r="C1160">
        <v>1</v>
      </c>
      <c r="D1160">
        <v>0</v>
      </c>
      <c r="E1160">
        <v>100</v>
      </c>
      <c r="F1160">
        <v>100</v>
      </c>
      <c r="G1160">
        <v>100</v>
      </c>
      <c r="H1160">
        <v>100</v>
      </c>
      <c r="I1160">
        <v>0</v>
      </c>
      <c r="J1160">
        <v>0</v>
      </c>
      <c r="K1160">
        <v>0</v>
      </c>
      <c r="L1160">
        <v>1</v>
      </c>
      <c r="M1160">
        <v>1</v>
      </c>
      <c r="N1160">
        <v>36</v>
      </c>
      <c r="O1160">
        <v>125000</v>
      </c>
      <c r="P1160">
        <v>4</v>
      </c>
      <c r="Q1160">
        <v>5</v>
      </c>
      <c r="R1160">
        <v>5</v>
      </c>
      <c r="S1160">
        <v>4</v>
      </c>
      <c r="T1160" s="123">
        <f t="shared" si="92"/>
        <v>1</v>
      </c>
      <c r="U1160">
        <f t="shared" si="93"/>
        <v>1</v>
      </c>
      <c r="V1160">
        <f t="shared" si="94"/>
        <v>1</v>
      </c>
      <c r="W1160">
        <f t="shared" si="95"/>
        <v>1</v>
      </c>
      <c r="X1160">
        <f t="shared" si="96"/>
        <v>1</v>
      </c>
    </row>
    <row r="1161" spans="1:24" hidden="1">
      <c r="A1161" t="s">
        <v>253</v>
      </c>
      <c r="B1161">
        <v>4</v>
      </c>
      <c r="C1161">
        <v>1</v>
      </c>
      <c r="D1161">
        <v>100</v>
      </c>
      <c r="E1161">
        <v>0</v>
      </c>
      <c r="F1161">
        <v>0</v>
      </c>
      <c r="G1161">
        <v>0</v>
      </c>
      <c r="H1161">
        <v>100</v>
      </c>
      <c r="I1161">
        <v>0</v>
      </c>
      <c r="J1161">
        <v>0</v>
      </c>
      <c r="K1161">
        <v>1</v>
      </c>
      <c r="L1161">
        <v>1</v>
      </c>
      <c r="M1161">
        <v>1</v>
      </c>
      <c r="N1161">
        <v>36</v>
      </c>
      <c r="O1161">
        <v>125000</v>
      </c>
      <c r="P1161">
        <v>4</v>
      </c>
      <c r="Q1161">
        <v>5</v>
      </c>
      <c r="R1161">
        <v>5</v>
      </c>
      <c r="S1161">
        <v>4</v>
      </c>
      <c r="T1161" s="123">
        <f t="shared" si="92"/>
        <v>1</v>
      </c>
      <c r="U1161">
        <f t="shared" si="93"/>
        <v>1</v>
      </c>
      <c r="V1161">
        <f t="shared" si="94"/>
        <v>1</v>
      </c>
      <c r="W1161">
        <f t="shared" si="95"/>
        <v>1</v>
      </c>
      <c r="X1161">
        <f t="shared" si="96"/>
        <v>1</v>
      </c>
    </row>
    <row r="1162" spans="1:24">
      <c r="A1162" t="s">
        <v>253</v>
      </c>
      <c r="B1162">
        <v>5</v>
      </c>
      <c r="C1162">
        <v>1</v>
      </c>
      <c r="D1162">
        <v>0</v>
      </c>
      <c r="E1162">
        <v>100</v>
      </c>
      <c r="F1162">
        <v>100</v>
      </c>
      <c r="G1162">
        <v>0</v>
      </c>
      <c r="H1162">
        <v>100</v>
      </c>
      <c r="I1162">
        <v>0</v>
      </c>
      <c r="J1162">
        <v>0</v>
      </c>
      <c r="K1162">
        <v>0</v>
      </c>
      <c r="L1162">
        <v>1</v>
      </c>
      <c r="M1162">
        <v>1</v>
      </c>
      <c r="N1162">
        <v>36</v>
      </c>
      <c r="O1162">
        <v>125000</v>
      </c>
      <c r="P1162">
        <v>4</v>
      </c>
      <c r="Q1162">
        <v>5</v>
      </c>
      <c r="R1162">
        <v>5</v>
      </c>
      <c r="S1162">
        <v>4</v>
      </c>
      <c r="T1162" s="123">
        <f t="shared" si="92"/>
        <v>0</v>
      </c>
      <c r="U1162">
        <f t="shared" si="93"/>
        <v>1</v>
      </c>
      <c r="V1162">
        <f t="shared" si="94"/>
        <v>1</v>
      </c>
      <c r="W1162">
        <f t="shared" si="95"/>
        <v>1</v>
      </c>
      <c r="X1162">
        <f t="shared" si="96"/>
        <v>1</v>
      </c>
    </row>
    <row r="1163" spans="1:24">
      <c r="A1163" t="s">
        <v>253</v>
      </c>
      <c r="B1163">
        <v>6</v>
      </c>
      <c r="C1163">
        <v>1</v>
      </c>
      <c r="D1163">
        <v>100</v>
      </c>
      <c r="E1163">
        <v>100</v>
      </c>
      <c r="F1163">
        <v>100</v>
      </c>
      <c r="G1163">
        <v>0</v>
      </c>
      <c r="H1163">
        <v>100</v>
      </c>
      <c r="I1163">
        <v>0</v>
      </c>
      <c r="J1163">
        <v>0</v>
      </c>
      <c r="K1163">
        <v>1</v>
      </c>
      <c r="L1163">
        <v>1</v>
      </c>
      <c r="M1163">
        <v>1</v>
      </c>
      <c r="N1163">
        <v>36</v>
      </c>
      <c r="O1163">
        <v>125000</v>
      </c>
      <c r="P1163">
        <v>4</v>
      </c>
      <c r="Q1163">
        <v>5</v>
      </c>
      <c r="R1163">
        <v>5</v>
      </c>
      <c r="S1163">
        <v>4</v>
      </c>
      <c r="T1163" s="123">
        <f t="shared" si="92"/>
        <v>0</v>
      </c>
      <c r="U1163">
        <f t="shared" si="93"/>
        <v>1</v>
      </c>
      <c r="V1163">
        <f t="shared" si="94"/>
        <v>1</v>
      </c>
      <c r="W1163">
        <f t="shared" si="95"/>
        <v>1</v>
      </c>
      <c r="X1163">
        <f t="shared" si="96"/>
        <v>1</v>
      </c>
    </row>
    <row r="1164" spans="1:24">
      <c r="A1164" t="s">
        <v>253</v>
      </c>
      <c r="B1164">
        <v>7</v>
      </c>
      <c r="C1164">
        <v>1</v>
      </c>
      <c r="D1164">
        <v>0</v>
      </c>
      <c r="E1164">
        <v>100</v>
      </c>
      <c r="F1164">
        <v>0.27205040091637928</v>
      </c>
      <c r="G1164">
        <v>0</v>
      </c>
      <c r="H1164">
        <v>100</v>
      </c>
      <c r="I1164">
        <v>0</v>
      </c>
      <c r="J1164">
        <v>1</v>
      </c>
      <c r="K1164">
        <v>0</v>
      </c>
      <c r="L1164">
        <v>1</v>
      </c>
      <c r="M1164">
        <v>1</v>
      </c>
      <c r="N1164">
        <v>36</v>
      </c>
      <c r="O1164">
        <v>125000</v>
      </c>
      <c r="P1164">
        <v>4</v>
      </c>
      <c r="Q1164">
        <v>5</v>
      </c>
      <c r="R1164">
        <v>5</v>
      </c>
      <c r="S1164">
        <v>4</v>
      </c>
      <c r="T1164" s="123">
        <f t="shared" si="92"/>
        <v>0</v>
      </c>
      <c r="U1164">
        <f t="shared" si="93"/>
        <v>1</v>
      </c>
      <c r="V1164">
        <f t="shared" si="94"/>
        <v>1</v>
      </c>
      <c r="W1164">
        <f t="shared" si="95"/>
        <v>1</v>
      </c>
      <c r="X1164">
        <f t="shared" si="96"/>
        <v>1</v>
      </c>
    </row>
    <row r="1165" spans="1:24">
      <c r="A1165" t="s">
        <v>254</v>
      </c>
      <c r="B1165">
        <v>1</v>
      </c>
      <c r="C1165">
        <v>1</v>
      </c>
      <c r="D1165">
        <v>100</v>
      </c>
      <c r="E1165">
        <v>0</v>
      </c>
      <c r="F1165">
        <v>100</v>
      </c>
      <c r="G1165">
        <v>100</v>
      </c>
      <c r="H1165">
        <v>100</v>
      </c>
      <c r="I1165">
        <v>1</v>
      </c>
      <c r="J1165">
        <v>0</v>
      </c>
      <c r="K1165">
        <v>1</v>
      </c>
      <c r="L1165">
        <v>1</v>
      </c>
      <c r="M1165">
        <v>0</v>
      </c>
      <c r="N1165">
        <v>28</v>
      </c>
      <c r="O1165">
        <v>120000</v>
      </c>
      <c r="P1165">
        <v>4</v>
      </c>
      <c r="Q1165">
        <v>3</v>
      </c>
      <c r="R1165">
        <v>5</v>
      </c>
      <c r="S1165">
        <v>4</v>
      </c>
      <c r="T1165" s="123">
        <f t="shared" si="92"/>
        <v>0</v>
      </c>
      <c r="U1165">
        <f t="shared" si="93"/>
        <v>1</v>
      </c>
      <c r="V1165">
        <f t="shared" si="94"/>
        <v>0</v>
      </c>
      <c r="W1165">
        <f t="shared" si="95"/>
        <v>1</v>
      </c>
      <c r="X1165">
        <f t="shared" si="96"/>
        <v>1</v>
      </c>
    </row>
    <row r="1166" spans="1:24">
      <c r="A1166" t="s">
        <v>254</v>
      </c>
      <c r="B1166">
        <v>2</v>
      </c>
      <c r="C1166">
        <v>1</v>
      </c>
      <c r="D1166">
        <v>0</v>
      </c>
      <c r="E1166">
        <v>0</v>
      </c>
      <c r="F1166">
        <v>100</v>
      </c>
      <c r="G1166">
        <v>0</v>
      </c>
      <c r="H1166">
        <v>100</v>
      </c>
      <c r="I1166">
        <v>0</v>
      </c>
      <c r="J1166">
        <v>0</v>
      </c>
      <c r="K1166">
        <v>0</v>
      </c>
      <c r="L1166">
        <v>1</v>
      </c>
      <c r="M1166">
        <v>0</v>
      </c>
      <c r="N1166">
        <v>28</v>
      </c>
      <c r="O1166">
        <v>120000</v>
      </c>
      <c r="P1166">
        <v>4</v>
      </c>
      <c r="Q1166">
        <v>3</v>
      </c>
      <c r="R1166">
        <v>5</v>
      </c>
      <c r="S1166">
        <v>4</v>
      </c>
      <c r="T1166" s="123">
        <f t="shared" si="92"/>
        <v>0</v>
      </c>
      <c r="U1166">
        <f t="shared" si="93"/>
        <v>1</v>
      </c>
      <c r="V1166">
        <f t="shared" si="94"/>
        <v>0</v>
      </c>
      <c r="W1166">
        <f t="shared" si="95"/>
        <v>1</v>
      </c>
      <c r="X1166">
        <f t="shared" si="96"/>
        <v>1</v>
      </c>
    </row>
    <row r="1167" spans="1:24">
      <c r="A1167" t="s">
        <v>254</v>
      </c>
      <c r="B1167">
        <v>3</v>
      </c>
      <c r="C1167">
        <v>1</v>
      </c>
      <c r="D1167">
        <v>100</v>
      </c>
      <c r="E1167">
        <v>100</v>
      </c>
      <c r="F1167">
        <v>0</v>
      </c>
      <c r="G1167">
        <v>100</v>
      </c>
      <c r="H1167">
        <v>0</v>
      </c>
      <c r="I1167">
        <v>0</v>
      </c>
      <c r="J1167">
        <v>0</v>
      </c>
      <c r="K1167">
        <v>1</v>
      </c>
      <c r="L1167">
        <v>1</v>
      </c>
      <c r="M1167">
        <v>0</v>
      </c>
      <c r="N1167">
        <v>28</v>
      </c>
      <c r="O1167">
        <v>120000</v>
      </c>
      <c r="P1167">
        <v>4</v>
      </c>
      <c r="Q1167">
        <v>3</v>
      </c>
      <c r="R1167">
        <v>5</v>
      </c>
      <c r="S1167">
        <v>4</v>
      </c>
      <c r="T1167" s="123">
        <f t="shared" si="92"/>
        <v>0</v>
      </c>
      <c r="U1167">
        <f t="shared" si="93"/>
        <v>1</v>
      </c>
      <c r="V1167">
        <f t="shared" si="94"/>
        <v>0</v>
      </c>
      <c r="W1167">
        <f t="shared" si="95"/>
        <v>1</v>
      </c>
      <c r="X1167">
        <f t="shared" si="96"/>
        <v>1</v>
      </c>
    </row>
    <row r="1168" spans="1:24">
      <c r="A1168" t="s">
        <v>254</v>
      </c>
      <c r="B1168">
        <v>4</v>
      </c>
      <c r="C1168">
        <v>1</v>
      </c>
      <c r="D1168">
        <v>100</v>
      </c>
      <c r="E1168">
        <v>0</v>
      </c>
      <c r="F1168">
        <v>100</v>
      </c>
      <c r="G1168">
        <v>100</v>
      </c>
      <c r="H1168">
        <v>100</v>
      </c>
      <c r="I1168">
        <v>0</v>
      </c>
      <c r="J1168">
        <v>0</v>
      </c>
      <c r="K1168">
        <v>1</v>
      </c>
      <c r="L1168">
        <v>1</v>
      </c>
      <c r="M1168">
        <v>0</v>
      </c>
      <c r="N1168">
        <v>28</v>
      </c>
      <c r="O1168">
        <v>120000</v>
      </c>
      <c r="P1168">
        <v>4</v>
      </c>
      <c r="Q1168">
        <v>3</v>
      </c>
      <c r="R1168">
        <v>5</v>
      </c>
      <c r="S1168">
        <v>4</v>
      </c>
      <c r="T1168" s="123">
        <f t="shared" si="92"/>
        <v>0</v>
      </c>
      <c r="U1168">
        <f t="shared" si="93"/>
        <v>1</v>
      </c>
      <c r="V1168">
        <f t="shared" si="94"/>
        <v>0</v>
      </c>
      <c r="W1168">
        <f t="shared" si="95"/>
        <v>1</v>
      </c>
      <c r="X1168">
        <f t="shared" si="96"/>
        <v>1</v>
      </c>
    </row>
    <row r="1169" spans="1:24">
      <c r="A1169" t="s">
        <v>254</v>
      </c>
      <c r="B1169">
        <v>5</v>
      </c>
      <c r="C1169">
        <v>1</v>
      </c>
      <c r="D1169">
        <v>0</v>
      </c>
      <c r="E1169">
        <v>0</v>
      </c>
      <c r="F1169">
        <v>0</v>
      </c>
      <c r="G1169">
        <v>100</v>
      </c>
      <c r="H1169">
        <v>100</v>
      </c>
      <c r="I1169">
        <v>0</v>
      </c>
      <c r="J1169">
        <v>0</v>
      </c>
      <c r="K1169">
        <v>0</v>
      </c>
      <c r="L1169">
        <v>1</v>
      </c>
      <c r="M1169">
        <v>0</v>
      </c>
      <c r="N1169">
        <v>28</v>
      </c>
      <c r="O1169">
        <v>120000</v>
      </c>
      <c r="P1169">
        <v>4</v>
      </c>
      <c r="Q1169">
        <v>3</v>
      </c>
      <c r="R1169">
        <v>5</v>
      </c>
      <c r="S1169">
        <v>4</v>
      </c>
      <c r="T1169" s="123">
        <f t="shared" si="92"/>
        <v>0</v>
      </c>
      <c r="U1169">
        <f t="shared" si="93"/>
        <v>1</v>
      </c>
      <c r="V1169">
        <f t="shared" si="94"/>
        <v>0</v>
      </c>
      <c r="W1169">
        <f t="shared" si="95"/>
        <v>1</v>
      </c>
      <c r="X1169">
        <f t="shared" si="96"/>
        <v>1</v>
      </c>
    </row>
    <row r="1170" spans="1:24">
      <c r="A1170" t="s">
        <v>254</v>
      </c>
      <c r="B1170">
        <v>6</v>
      </c>
      <c r="C1170">
        <v>1</v>
      </c>
      <c r="D1170">
        <v>99.501799058953779</v>
      </c>
      <c r="E1170">
        <v>100</v>
      </c>
      <c r="F1170">
        <v>100</v>
      </c>
      <c r="G1170">
        <v>0</v>
      </c>
      <c r="H1170">
        <v>100</v>
      </c>
      <c r="I1170">
        <v>0</v>
      </c>
      <c r="J1170">
        <v>0</v>
      </c>
      <c r="K1170">
        <v>1</v>
      </c>
      <c r="L1170">
        <v>1</v>
      </c>
      <c r="M1170">
        <v>0</v>
      </c>
      <c r="N1170">
        <v>28</v>
      </c>
      <c r="O1170">
        <v>120000</v>
      </c>
      <c r="P1170">
        <v>4</v>
      </c>
      <c r="Q1170">
        <v>3</v>
      </c>
      <c r="R1170">
        <v>5</v>
      </c>
      <c r="S1170">
        <v>4</v>
      </c>
      <c r="T1170" s="123">
        <f t="shared" si="92"/>
        <v>0</v>
      </c>
      <c r="U1170">
        <f t="shared" si="93"/>
        <v>1</v>
      </c>
      <c r="V1170">
        <f t="shared" si="94"/>
        <v>0</v>
      </c>
      <c r="W1170">
        <f t="shared" si="95"/>
        <v>1</v>
      </c>
      <c r="X1170">
        <f t="shared" si="96"/>
        <v>1</v>
      </c>
    </row>
    <row r="1171" spans="1:24" hidden="1">
      <c r="A1171" t="s">
        <v>254</v>
      </c>
      <c r="B1171">
        <v>7</v>
      </c>
      <c r="C1171">
        <v>1</v>
      </c>
      <c r="D1171">
        <v>73.941323000276782</v>
      </c>
      <c r="E1171">
        <v>100</v>
      </c>
      <c r="F1171">
        <v>0</v>
      </c>
      <c r="G1171">
        <v>50</v>
      </c>
      <c r="H1171">
        <v>0</v>
      </c>
      <c r="I1171">
        <v>0</v>
      </c>
      <c r="J1171">
        <v>1</v>
      </c>
      <c r="K1171">
        <v>1</v>
      </c>
      <c r="L1171">
        <v>1</v>
      </c>
      <c r="M1171">
        <v>0</v>
      </c>
      <c r="N1171">
        <v>28</v>
      </c>
      <c r="O1171">
        <v>120000</v>
      </c>
      <c r="P1171">
        <v>4</v>
      </c>
      <c r="Q1171">
        <v>3</v>
      </c>
      <c r="R1171">
        <v>5</v>
      </c>
      <c r="S1171">
        <v>4</v>
      </c>
      <c r="T1171" s="123">
        <f t="shared" si="92"/>
        <v>1</v>
      </c>
      <c r="U1171">
        <f t="shared" si="93"/>
        <v>1</v>
      </c>
      <c r="V1171">
        <f t="shared" si="94"/>
        <v>0</v>
      </c>
      <c r="W1171">
        <f t="shared" si="95"/>
        <v>1</v>
      </c>
      <c r="X1171">
        <f t="shared" si="96"/>
        <v>1</v>
      </c>
    </row>
    <row r="1172" spans="1:24" hidden="1">
      <c r="A1172" t="s">
        <v>255</v>
      </c>
      <c r="B1172">
        <v>1</v>
      </c>
      <c r="C1172">
        <v>1</v>
      </c>
      <c r="D1172">
        <v>100</v>
      </c>
      <c r="E1172">
        <v>100</v>
      </c>
      <c r="F1172">
        <v>100</v>
      </c>
      <c r="G1172">
        <v>100</v>
      </c>
      <c r="H1172">
        <v>0</v>
      </c>
      <c r="I1172">
        <v>1</v>
      </c>
      <c r="J1172">
        <v>0</v>
      </c>
      <c r="K1172">
        <v>1</v>
      </c>
      <c r="L1172">
        <v>1</v>
      </c>
      <c r="M1172">
        <v>0</v>
      </c>
      <c r="N1172">
        <v>34</v>
      </c>
      <c r="O1172">
        <v>150000</v>
      </c>
      <c r="P1172">
        <v>5</v>
      </c>
      <c r="Q1172">
        <v>4</v>
      </c>
      <c r="R1172">
        <v>5</v>
      </c>
      <c r="S1172">
        <v>4</v>
      </c>
      <c r="T1172" s="123">
        <f t="shared" si="92"/>
        <v>1</v>
      </c>
      <c r="U1172">
        <f t="shared" si="93"/>
        <v>1</v>
      </c>
      <c r="V1172">
        <f t="shared" si="94"/>
        <v>1</v>
      </c>
      <c r="W1172">
        <f t="shared" si="95"/>
        <v>1</v>
      </c>
      <c r="X1172">
        <f t="shared" si="96"/>
        <v>1</v>
      </c>
    </row>
    <row r="1173" spans="1:24">
      <c r="A1173" t="s">
        <v>255</v>
      </c>
      <c r="B1173">
        <v>2</v>
      </c>
      <c r="C1173">
        <v>1</v>
      </c>
      <c r="D1173">
        <v>100</v>
      </c>
      <c r="E1173">
        <v>100</v>
      </c>
      <c r="F1173">
        <v>100</v>
      </c>
      <c r="G1173">
        <v>0</v>
      </c>
      <c r="H1173">
        <v>100</v>
      </c>
      <c r="I1173">
        <v>0</v>
      </c>
      <c r="J1173">
        <v>0</v>
      </c>
      <c r="K1173">
        <v>1</v>
      </c>
      <c r="L1173">
        <v>1</v>
      </c>
      <c r="M1173">
        <v>0</v>
      </c>
      <c r="N1173">
        <v>34</v>
      </c>
      <c r="O1173">
        <v>150000</v>
      </c>
      <c r="P1173">
        <v>5</v>
      </c>
      <c r="Q1173">
        <v>4</v>
      </c>
      <c r="R1173">
        <v>5</v>
      </c>
      <c r="S1173">
        <v>4</v>
      </c>
      <c r="T1173" s="123">
        <f t="shared" si="92"/>
        <v>0</v>
      </c>
      <c r="U1173">
        <f t="shared" si="93"/>
        <v>1</v>
      </c>
      <c r="V1173">
        <f t="shared" si="94"/>
        <v>1</v>
      </c>
      <c r="W1173">
        <f t="shared" si="95"/>
        <v>1</v>
      </c>
      <c r="X1173">
        <f t="shared" si="96"/>
        <v>1</v>
      </c>
    </row>
    <row r="1174" spans="1:24">
      <c r="A1174" t="s">
        <v>255</v>
      </c>
      <c r="B1174">
        <v>3</v>
      </c>
      <c r="C1174">
        <v>1</v>
      </c>
      <c r="D1174">
        <v>0</v>
      </c>
      <c r="E1174">
        <v>0</v>
      </c>
      <c r="F1174">
        <v>100</v>
      </c>
      <c r="G1174">
        <v>0.2359882005899705</v>
      </c>
      <c r="H1174">
        <v>100</v>
      </c>
      <c r="I1174">
        <v>0</v>
      </c>
      <c r="J1174">
        <v>0</v>
      </c>
      <c r="K1174">
        <v>0</v>
      </c>
      <c r="L1174">
        <v>1</v>
      </c>
      <c r="M1174">
        <v>0</v>
      </c>
      <c r="N1174">
        <v>34</v>
      </c>
      <c r="O1174">
        <v>150000</v>
      </c>
      <c r="P1174">
        <v>5</v>
      </c>
      <c r="Q1174">
        <v>4</v>
      </c>
      <c r="R1174">
        <v>5</v>
      </c>
      <c r="S1174">
        <v>4</v>
      </c>
      <c r="T1174" s="123">
        <f t="shared" si="92"/>
        <v>0</v>
      </c>
      <c r="U1174">
        <f t="shared" si="93"/>
        <v>1</v>
      </c>
      <c r="V1174">
        <f t="shared" si="94"/>
        <v>1</v>
      </c>
      <c r="W1174">
        <f t="shared" si="95"/>
        <v>1</v>
      </c>
      <c r="X1174">
        <f t="shared" si="96"/>
        <v>1</v>
      </c>
    </row>
    <row r="1175" spans="1:24">
      <c r="A1175" t="s">
        <v>255</v>
      </c>
      <c r="B1175">
        <v>4</v>
      </c>
      <c r="C1175">
        <v>1</v>
      </c>
      <c r="D1175">
        <v>0</v>
      </c>
      <c r="E1175">
        <v>100</v>
      </c>
      <c r="F1175">
        <v>100</v>
      </c>
      <c r="G1175">
        <v>0</v>
      </c>
      <c r="H1175">
        <v>0</v>
      </c>
      <c r="I1175">
        <v>0</v>
      </c>
      <c r="J1175">
        <v>0</v>
      </c>
      <c r="K1175">
        <v>0</v>
      </c>
      <c r="L1175">
        <v>1</v>
      </c>
      <c r="M1175">
        <v>0</v>
      </c>
      <c r="N1175">
        <v>34</v>
      </c>
      <c r="O1175">
        <v>150000</v>
      </c>
      <c r="P1175">
        <v>5</v>
      </c>
      <c r="Q1175">
        <v>4</v>
      </c>
      <c r="R1175">
        <v>5</v>
      </c>
      <c r="S1175">
        <v>4</v>
      </c>
      <c r="T1175" s="123">
        <f t="shared" si="92"/>
        <v>0</v>
      </c>
      <c r="U1175">
        <f t="shared" si="93"/>
        <v>1</v>
      </c>
      <c r="V1175">
        <f t="shared" si="94"/>
        <v>1</v>
      </c>
      <c r="W1175">
        <f t="shared" si="95"/>
        <v>1</v>
      </c>
      <c r="X1175">
        <f t="shared" si="96"/>
        <v>1</v>
      </c>
    </row>
    <row r="1176" spans="1:24" hidden="1">
      <c r="A1176" t="s">
        <v>255</v>
      </c>
      <c r="B1176">
        <v>5</v>
      </c>
      <c r="C1176">
        <v>1</v>
      </c>
      <c r="D1176">
        <v>0</v>
      </c>
      <c r="E1176">
        <v>100</v>
      </c>
      <c r="F1176">
        <v>100</v>
      </c>
      <c r="G1176">
        <v>100</v>
      </c>
      <c r="H1176">
        <v>0</v>
      </c>
      <c r="I1176">
        <v>0</v>
      </c>
      <c r="J1176">
        <v>0</v>
      </c>
      <c r="K1176">
        <v>0</v>
      </c>
      <c r="L1176">
        <v>1</v>
      </c>
      <c r="M1176">
        <v>0</v>
      </c>
      <c r="N1176">
        <v>34</v>
      </c>
      <c r="O1176">
        <v>150000</v>
      </c>
      <c r="P1176">
        <v>5</v>
      </c>
      <c r="Q1176">
        <v>4</v>
      </c>
      <c r="R1176">
        <v>5</v>
      </c>
      <c r="S1176">
        <v>4</v>
      </c>
      <c r="T1176" s="123">
        <f t="shared" si="92"/>
        <v>1</v>
      </c>
      <c r="U1176">
        <f t="shared" si="93"/>
        <v>1</v>
      </c>
      <c r="V1176">
        <f t="shared" si="94"/>
        <v>1</v>
      </c>
      <c r="W1176">
        <f t="shared" si="95"/>
        <v>1</v>
      </c>
      <c r="X1176">
        <f t="shared" si="96"/>
        <v>1</v>
      </c>
    </row>
    <row r="1177" spans="1:24">
      <c r="A1177" t="s">
        <v>255</v>
      </c>
      <c r="B1177">
        <v>6</v>
      </c>
      <c r="C1177">
        <v>1</v>
      </c>
      <c r="D1177">
        <v>0</v>
      </c>
      <c r="E1177">
        <v>50</v>
      </c>
      <c r="F1177">
        <v>0</v>
      </c>
      <c r="G1177">
        <v>100</v>
      </c>
      <c r="H1177">
        <v>72.16814159292035</v>
      </c>
      <c r="I1177">
        <v>0</v>
      </c>
      <c r="J1177">
        <v>0</v>
      </c>
      <c r="K1177">
        <v>0</v>
      </c>
      <c r="L1177">
        <v>1</v>
      </c>
      <c r="M1177">
        <v>0</v>
      </c>
      <c r="N1177">
        <v>34</v>
      </c>
      <c r="O1177">
        <v>150000</v>
      </c>
      <c r="P1177">
        <v>5</v>
      </c>
      <c r="Q1177">
        <v>4</v>
      </c>
      <c r="R1177">
        <v>5</v>
      </c>
      <c r="S1177">
        <v>4</v>
      </c>
      <c r="T1177" s="123">
        <f t="shared" si="92"/>
        <v>0</v>
      </c>
      <c r="U1177">
        <f t="shared" si="93"/>
        <v>1</v>
      </c>
      <c r="V1177">
        <f t="shared" si="94"/>
        <v>1</v>
      </c>
      <c r="W1177">
        <f t="shared" si="95"/>
        <v>1</v>
      </c>
      <c r="X1177">
        <f t="shared" si="96"/>
        <v>1</v>
      </c>
    </row>
    <row r="1178" spans="1:24">
      <c r="A1178" t="s">
        <v>255</v>
      </c>
      <c r="B1178">
        <v>7</v>
      </c>
      <c r="C1178">
        <v>1</v>
      </c>
      <c r="D1178">
        <v>100</v>
      </c>
      <c r="E1178">
        <v>100</v>
      </c>
      <c r="F1178">
        <v>0</v>
      </c>
      <c r="G1178">
        <v>100</v>
      </c>
      <c r="H1178">
        <v>100</v>
      </c>
      <c r="I1178">
        <v>0</v>
      </c>
      <c r="J1178">
        <v>1</v>
      </c>
      <c r="K1178">
        <v>1</v>
      </c>
      <c r="L1178">
        <v>1</v>
      </c>
      <c r="M1178">
        <v>0</v>
      </c>
      <c r="N1178">
        <v>34</v>
      </c>
      <c r="O1178">
        <v>150000</v>
      </c>
      <c r="P1178">
        <v>5</v>
      </c>
      <c r="Q1178">
        <v>4</v>
      </c>
      <c r="R1178">
        <v>5</v>
      </c>
      <c r="S1178">
        <v>4</v>
      </c>
      <c r="T1178" s="123">
        <f t="shared" si="92"/>
        <v>0</v>
      </c>
      <c r="U1178">
        <f t="shared" si="93"/>
        <v>1</v>
      </c>
      <c r="V1178">
        <f t="shared" si="94"/>
        <v>1</v>
      </c>
      <c r="W1178">
        <f t="shared" si="95"/>
        <v>1</v>
      </c>
      <c r="X1178">
        <f t="shared" si="96"/>
        <v>1</v>
      </c>
    </row>
    <row r="1179" spans="1:24">
      <c r="A1179" t="s">
        <v>256</v>
      </c>
      <c r="B1179">
        <v>1</v>
      </c>
      <c r="C1179">
        <v>1</v>
      </c>
      <c r="D1179">
        <v>100</v>
      </c>
      <c r="E1179">
        <v>50</v>
      </c>
      <c r="F1179">
        <v>0</v>
      </c>
      <c r="G1179">
        <v>70.952380952380949</v>
      </c>
      <c r="H1179">
        <v>0</v>
      </c>
      <c r="I1179">
        <v>1</v>
      </c>
      <c r="J1179">
        <v>0</v>
      </c>
      <c r="K1179">
        <v>1</v>
      </c>
      <c r="L1179">
        <v>1</v>
      </c>
      <c r="M1179">
        <v>0</v>
      </c>
      <c r="N1179">
        <v>45</v>
      </c>
      <c r="O1179">
        <v>120000</v>
      </c>
      <c r="P1179">
        <v>4</v>
      </c>
      <c r="Q1179">
        <v>4</v>
      </c>
      <c r="R1179">
        <v>5</v>
      </c>
      <c r="S1179">
        <v>4</v>
      </c>
      <c r="T1179" s="123">
        <f t="shared" si="92"/>
        <v>0</v>
      </c>
      <c r="U1179">
        <f t="shared" si="93"/>
        <v>1</v>
      </c>
      <c r="V1179">
        <f t="shared" si="94"/>
        <v>1</v>
      </c>
      <c r="W1179">
        <f t="shared" si="95"/>
        <v>1</v>
      </c>
      <c r="X1179">
        <f t="shared" si="96"/>
        <v>1</v>
      </c>
    </row>
    <row r="1180" spans="1:24" hidden="1">
      <c r="A1180" t="s">
        <v>256</v>
      </c>
      <c r="B1180">
        <v>2</v>
      </c>
      <c r="C1180">
        <v>1</v>
      </c>
      <c r="D1180">
        <v>0</v>
      </c>
      <c r="E1180">
        <v>100</v>
      </c>
      <c r="F1180">
        <v>100</v>
      </c>
      <c r="G1180">
        <v>100</v>
      </c>
      <c r="H1180">
        <v>100</v>
      </c>
      <c r="I1180">
        <v>0</v>
      </c>
      <c r="J1180">
        <v>0</v>
      </c>
      <c r="K1180">
        <v>0</v>
      </c>
      <c r="L1180">
        <v>1</v>
      </c>
      <c r="M1180">
        <v>0</v>
      </c>
      <c r="N1180">
        <v>45</v>
      </c>
      <c r="O1180">
        <v>120000</v>
      </c>
      <c r="P1180">
        <v>4</v>
      </c>
      <c r="Q1180">
        <v>4</v>
      </c>
      <c r="R1180">
        <v>5</v>
      </c>
      <c r="S1180">
        <v>4</v>
      </c>
      <c r="T1180" s="123">
        <f t="shared" si="92"/>
        <v>1</v>
      </c>
      <c r="U1180">
        <f t="shared" si="93"/>
        <v>1</v>
      </c>
      <c r="V1180">
        <f t="shared" si="94"/>
        <v>1</v>
      </c>
      <c r="W1180">
        <f t="shared" si="95"/>
        <v>1</v>
      </c>
      <c r="X1180">
        <f t="shared" si="96"/>
        <v>1</v>
      </c>
    </row>
    <row r="1181" spans="1:24" hidden="1">
      <c r="A1181" t="s">
        <v>256</v>
      </c>
      <c r="B1181">
        <v>3</v>
      </c>
      <c r="C1181">
        <v>1</v>
      </c>
      <c r="D1181">
        <v>0</v>
      </c>
      <c r="E1181">
        <v>100</v>
      </c>
      <c r="F1181">
        <v>100</v>
      </c>
      <c r="G1181">
        <v>100</v>
      </c>
      <c r="H1181">
        <v>100</v>
      </c>
      <c r="I1181">
        <v>0</v>
      </c>
      <c r="J1181">
        <v>0</v>
      </c>
      <c r="K1181">
        <v>0</v>
      </c>
      <c r="L1181">
        <v>1</v>
      </c>
      <c r="M1181">
        <v>0</v>
      </c>
      <c r="N1181">
        <v>45</v>
      </c>
      <c r="O1181">
        <v>120000</v>
      </c>
      <c r="P1181">
        <v>4</v>
      </c>
      <c r="Q1181">
        <v>4</v>
      </c>
      <c r="R1181">
        <v>5</v>
      </c>
      <c r="S1181">
        <v>4</v>
      </c>
      <c r="T1181" s="123">
        <f t="shared" si="92"/>
        <v>1</v>
      </c>
      <c r="U1181">
        <f t="shared" si="93"/>
        <v>1</v>
      </c>
      <c r="V1181">
        <f t="shared" si="94"/>
        <v>1</v>
      </c>
      <c r="W1181">
        <f t="shared" si="95"/>
        <v>1</v>
      </c>
      <c r="X1181">
        <f t="shared" si="96"/>
        <v>1</v>
      </c>
    </row>
    <row r="1182" spans="1:24">
      <c r="A1182" t="s">
        <v>256</v>
      </c>
      <c r="B1182">
        <v>4</v>
      </c>
      <c r="C1182">
        <v>1</v>
      </c>
      <c r="D1182">
        <v>0</v>
      </c>
      <c r="E1182">
        <v>100</v>
      </c>
      <c r="F1182">
        <v>100</v>
      </c>
      <c r="G1182">
        <v>0</v>
      </c>
      <c r="H1182">
        <v>0</v>
      </c>
      <c r="I1182">
        <v>0</v>
      </c>
      <c r="J1182">
        <v>0</v>
      </c>
      <c r="K1182">
        <v>0</v>
      </c>
      <c r="L1182">
        <v>1</v>
      </c>
      <c r="M1182">
        <v>0</v>
      </c>
      <c r="N1182">
        <v>45</v>
      </c>
      <c r="O1182">
        <v>120000</v>
      </c>
      <c r="P1182">
        <v>4</v>
      </c>
      <c r="Q1182">
        <v>4</v>
      </c>
      <c r="R1182">
        <v>5</v>
      </c>
      <c r="S1182">
        <v>4</v>
      </c>
      <c r="T1182" s="123">
        <f t="shared" si="92"/>
        <v>0</v>
      </c>
      <c r="U1182">
        <f t="shared" si="93"/>
        <v>1</v>
      </c>
      <c r="V1182">
        <f t="shared" si="94"/>
        <v>1</v>
      </c>
      <c r="W1182">
        <f t="shared" si="95"/>
        <v>1</v>
      </c>
      <c r="X1182">
        <f t="shared" si="96"/>
        <v>1</v>
      </c>
    </row>
    <row r="1183" spans="1:24">
      <c r="A1183" t="s">
        <v>256</v>
      </c>
      <c r="B1183">
        <v>5</v>
      </c>
      <c r="C1183">
        <v>1</v>
      </c>
      <c r="D1183">
        <v>0.43923865300146142</v>
      </c>
      <c r="E1183">
        <v>0</v>
      </c>
      <c r="F1183">
        <v>100</v>
      </c>
      <c r="G1183">
        <v>0</v>
      </c>
      <c r="H1183">
        <v>100</v>
      </c>
      <c r="I1183">
        <v>0</v>
      </c>
      <c r="J1183">
        <v>0</v>
      </c>
      <c r="K1183">
        <v>0</v>
      </c>
      <c r="L1183">
        <v>1</v>
      </c>
      <c r="M1183">
        <v>0</v>
      </c>
      <c r="N1183">
        <v>45</v>
      </c>
      <c r="O1183">
        <v>120000</v>
      </c>
      <c r="P1183">
        <v>4</v>
      </c>
      <c r="Q1183">
        <v>4</v>
      </c>
      <c r="R1183">
        <v>5</v>
      </c>
      <c r="S1183">
        <v>4</v>
      </c>
      <c r="T1183" s="123">
        <f t="shared" si="92"/>
        <v>0</v>
      </c>
      <c r="U1183">
        <f t="shared" si="93"/>
        <v>1</v>
      </c>
      <c r="V1183">
        <f t="shared" si="94"/>
        <v>1</v>
      </c>
      <c r="W1183">
        <f t="shared" si="95"/>
        <v>1</v>
      </c>
      <c r="X1183">
        <f t="shared" si="96"/>
        <v>1</v>
      </c>
    </row>
    <row r="1184" spans="1:24">
      <c r="A1184" t="s">
        <v>256</v>
      </c>
      <c r="B1184">
        <v>6</v>
      </c>
      <c r="C1184">
        <v>1</v>
      </c>
      <c r="D1184">
        <v>100</v>
      </c>
      <c r="E1184">
        <v>100</v>
      </c>
      <c r="F1184">
        <v>0</v>
      </c>
      <c r="G1184">
        <v>100</v>
      </c>
      <c r="H1184">
        <v>0</v>
      </c>
      <c r="I1184">
        <v>0</v>
      </c>
      <c r="J1184">
        <v>0</v>
      </c>
      <c r="K1184">
        <v>1</v>
      </c>
      <c r="L1184">
        <v>1</v>
      </c>
      <c r="M1184">
        <v>0</v>
      </c>
      <c r="N1184">
        <v>45</v>
      </c>
      <c r="O1184">
        <v>120000</v>
      </c>
      <c r="P1184">
        <v>4</v>
      </c>
      <c r="Q1184">
        <v>4</v>
      </c>
      <c r="R1184">
        <v>5</v>
      </c>
      <c r="S1184">
        <v>4</v>
      </c>
      <c r="T1184" s="123">
        <f t="shared" si="92"/>
        <v>0</v>
      </c>
      <c r="U1184">
        <f t="shared" si="93"/>
        <v>1</v>
      </c>
      <c r="V1184">
        <f t="shared" si="94"/>
        <v>1</v>
      </c>
      <c r="W1184">
        <f t="shared" si="95"/>
        <v>1</v>
      </c>
      <c r="X1184">
        <f t="shared" si="96"/>
        <v>1</v>
      </c>
    </row>
    <row r="1185" spans="1:24" hidden="1">
      <c r="A1185" t="s">
        <v>256</v>
      </c>
      <c r="B1185">
        <v>7</v>
      </c>
      <c r="C1185">
        <v>1</v>
      </c>
      <c r="D1185">
        <v>100</v>
      </c>
      <c r="E1185">
        <v>100</v>
      </c>
      <c r="F1185">
        <v>100</v>
      </c>
      <c r="G1185">
        <v>100</v>
      </c>
      <c r="H1185">
        <v>0</v>
      </c>
      <c r="I1185">
        <v>0</v>
      </c>
      <c r="J1185">
        <v>1</v>
      </c>
      <c r="K1185">
        <v>1</v>
      </c>
      <c r="L1185">
        <v>1</v>
      </c>
      <c r="M1185">
        <v>0</v>
      </c>
      <c r="N1185">
        <v>45</v>
      </c>
      <c r="O1185">
        <v>120000</v>
      </c>
      <c r="P1185">
        <v>4</v>
      </c>
      <c r="Q1185">
        <v>4</v>
      </c>
      <c r="R1185">
        <v>5</v>
      </c>
      <c r="S1185">
        <v>4</v>
      </c>
      <c r="T1185" s="123">
        <f t="shared" si="92"/>
        <v>1</v>
      </c>
      <c r="U1185">
        <f t="shared" si="93"/>
        <v>1</v>
      </c>
      <c r="V1185">
        <f t="shared" si="94"/>
        <v>1</v>
      </c>
      <c r="W1185">
        <f t="shared" si="95"/>
        <v>1</v>
      </c>
      <c r="X1185">
        <f t="shared" si="96"/>
        <v>1</v>
      </c>
    </row>
    <row r="1186" spans="1:24" hidden="1">
      <c r="A1186" t="s">
        <v>257</v>
      </c>
      <c r="B1186">
        <v>1</v>
      </c>
      <c r="C1186">
        <v>1</v>
      </c>
      <c r="D1186">
        <v>0</v>
      </c>
      <c r="E1186">
        <v>50</v>
      </c>
      <c r="F1186">
        <v>100</v>
      </c>
      <c r="G1186">
        <v>70.861739841832559</v>
      </c>
      <c r="H1186">
        <v>0</v>
      </c>
      <c r="I1186">
        <v>1</v>
      </c>
      <c r="J1186">
        <v>0</v>
      </c>
      <c r="K1186">
        <v>0</v>
      </c>
      <c r="L1186">
        <v>1</v>
      </c>
      <c r="M1186">
        <v>0</v>
      </c>
      <c r="N1186">
        <v>36</v>
      </c>
      <c r="O1186">
        <v>150000</v>
      </c>
      <c r="P1186">
        <v>3</v>
      </c>
      <c r="Q1186">
        <v>3</v>
      </c>
      <c r="R1186">
        <v>5</v>
      </c>
      <c r="S1186">
        <v>4</v>
      </c>
      <c r="T1186" s="123">
        <f t="shared" si="92"/>
        <v>1</v>
      </c>
      <c r="U1186">
        <f t="shared" si="93"/>
        <v>0</v>
      </c>
      <c r="V1186">
        <f t="shared" si="94"/>
        <v>0</v>
      </c>
      <c r="W1186">
        <f t="shared" si="95"/>
        <v>1</v>
      </c>
      <c r="X1186">
        <f t="shared" si="96"/>
        <v>1</v>
      </c>
    </row>
    <row r="1187" spans="1:24">
      <c r="A1187" t="s">
        <v>257</v>
      </c>
      <c r="B1187">
        <v>2</v>
      </c>
      <c r="C1187">
        <v>1</v>
      </c>
      <c r="D1187">
        <v>100</v>
      </c>
      <c r="E1187">
        <v>0</v>
      </c>
      <c r="F1187">
        <v>100</v>
      </c>
      <c r="G1187">
        <v>100</v>
      </c>
      <c r="H1187">
        <v>100</v>
      </c>
      <c r="I1187">
        <v>0</v>
      </c>
      <c r="J1187">
        <v>0</v>
      </c>
      <c r="K1187">
        <v>1</v>
      </c>
      <c r="L1187">
        <v>1</v>
      </c>
      <c r="M1187">
        <v>0</v>
      </c>
      <c r="N1187">
        <v>36</v>
      </c>
      <c r="O1187">
        <v>150000</v>
      </c>
      <c r="P1187">
        <v>3</v>
      </c>
      <c r="Q1187">
        <v>3</v>
      </c>
      <c r="R1187">
        <v>5</v>
      </c>
      <c r="S1187">
        <v>4</v>
      </c>
      <c r="T1187" s="123">
        <f t="shared" si="92"/>
        <v>0</v>
      </c>
      <c r="U1187">
        <f t="shared" si="93"/>
        <v>0</v>
      </c>
      <c r="V1187">
        <f t="shared" si="94"/>
        <v>0</v>
      </c>
      <c r="W1187">
        <f t="shared" si="95"/>
        <v>1</v>
      </c>
      <c r="X1187">
        <f t="shared" si="96"/>
        <v>1</v>
      </c>
    </row>
    <row r="1188" spans="1:24">
      <c r="A1188" t="s">
        <v>257</v>
      </c>
      <c r="B1188">
        <v>3</v>
      </c>
      <c r="C1188">
        <v>1</v>
      </c>
      <c r="D1188">
        <v>100</v>
      </c>
      <c r="E1188">
        <v>100</v>
      </c>
      <c r="F1188">
        <v>0</v>
      </c>
      <c r="G1188">
        <v>100</v>
      </c>
      <c r="H1188">
        <v>0</v>
      </c>
      <c r="I1188">
        <v>0</v>
      </c>
      <c r="J1188">
        <v>0</v>
      </c>
      <c r="K1188">
        <v>1</v>
      </c>
      <c r="L1188">
        <v>1</v>
      </c>
      <c r="M1188">
        <v>0</v>
      </c>
      <c r="N1188">
        <v>36</v>
      </c>
      <c r="O1188">
        <v>150000</v>
      </c>
      <c r="P1188">
        <v>3</v>
      </c>
      <c r="Q1188">
        <v>3</v>
      </c>
      <c r="R1188">
        <v>5</v>
      </c>
      <c r="S1188">
        <v>4</v>
      </c>
      <c r="T1188" s="123">
        <f t="shared" si="92"/>
        <v>0</v>
      </c>
      <c r="U1188">
        <f t="shared" si="93"/>
        <v>0</v>
      </c>
      <c r="V1188">
        <f t="shared" si="94"/>
        <v>0</v>
      </c>
      <c r="W1188">
        <f t="shared" si="95"/>
        <v>1</v>
      </c>
      <c r="X1188">
        <f t="shared" si="96"/>
        <v>1</v>
      </c>
    </row>
    <row r="1189" spans="1:24">
      <c r="A1189" t="s">
        <v>257</v>
      </c>
      <c r="B1189">
        <v>4</v>
      </c>
      <c r="C1189">
        <v>1</v>
      </c>
      <c r="D1189">
        <v>100</v>
      </c>
      <c r="E1189">
        <v>100</v>
      </c>
      <c r="F1189">
        <v>100</v>
      </c>
      <c r="G1189">
        <v>0</v>
      </c>
      <c r="H1189">
        <v>100</v>
      </c>
      <c r="I1189">
        <v>0</v>
      </c>
      <c r="J1189">
        <v>0</v>
      </c>
      <c r="K1189">
        <v>1</v>
      </c>
      <c r="L1189">
        <v>1</v>
      </c>
      <c r="M1189">
        <v>0</v>
      </c>
      <c r="N1189">
        <v>36</v>
      </c>
      <c r="O1189">
        <v>150000</v>
      </c>
      <c r="P1189">
        <v>3</v>
      </c>
      <c r="Q1189">
        <v>3</v>
      </c>
      <c r="R1189">
        <v>5</v>
      </c>
      <c r="S1189">
        <v>4</v>
      </c>
      <c r="T1189" s="123">
        <f t="shared" si="92"/>
        <v>0</v>
      </c>
      <c r="U1189">
        <f t="shared" si="93"/>
        <v>0</v>
      </c>
      <c r="V1189">
        <f t="shared" si="94"/>
        <v>0</v>
      </c>
      <c r="W1189">
        <f t="shared" si="95"/>
        <v>1</v>
      </c>
      <c r="X1189">
        <f t="shared" si="96"/>
        <v>1</v>
      </c>
    </row>
    <row r="1190" spans="1:24">
      <c r="A1190" t="s">
        <v>257</v>
      </c>
      <c r="B1190">
        <v>5</v>
      </c>
      <c r="C1190">
        <v>1</v>
      </c>
      <c r="D1190">
        <v>0</v>
      </c>
      <c r="E1190">
        <v>100</v>
      </c>
      <c r="F1190">
        <v>0</v>
      </c>
      <c r="G1190">
        <v>100</v>
      </c>
      <c r="H1190">
        <v>0</v>
      </c>
      <c r="I1190">
        <v>0</v>
      </c>
      <c r="J1190">
        <v>0</v>
      </c>
      <c r="K1190">
        <v>0</v>
      </c>
      <c r="L1190">
        <v>1</v>
      </c>
      <c r="M1190">
        <v>0</v>
      </c>
      <c r="N1190">
        <v>36</v>
      </c>
      <c r="O1190">
        <v>150000</v>
      </c>
      <c r="P1190">
        <v>3</v>
      </c>
      <c r="Q1190">
        <v>3</v>
      </c>
      <c r="R1190">
        <v>5</v>
      </c>
      <c r="S1190">
        <v>4</v>
      </c>
      <c r="T1190" s="123">
        <f t="shared" si="92"/>
        <v>0</v>
      </c>
      <c r="U1190">
        <f t="shared" si="93"/>
        <v>0</v>
      </c>
      <c r="V1190">
        <f t="shared" si="94"/>
        <v>0</v>
      </c>
      <c r="W1190">
        <f t="shared" si="95"/>
        <v>1</v>
      </c>
      <c r="X1190">
        <f t="shared" si="96"/>
        <v>1</v>
      </c>
    </row>
    <row r="1191" spans="1:24" hidden="1">
      <c r="A1191" t="s">
        <v>257</v>
      </c>
      <c r="B1191">
        <v>6</v>
      </c>
      <c r="C1191">
        <v>1</v>
      </c>
      <c r="D1191">
        <v>100</v>
      </c>
      <c r="E1191">
        <v>100</v>
      </c>
      <c r="F1191">
        <v>100</v>
      </c>
      <c r="G1191">
        <v>100</v>
      </c>
      <c r="H1191">
        <v>0</v>
      </c>
      <c r="I1191">
        <v>0</v>
      </c>
      <c r="J1191">
        <v>0</v>
      </c>
      <c r="K1191">
        <v>1</v>
      </c>
      <c r="L1191">
        <v>1</v>
      </c>
      <c r="M1191">
        <v>0</v>
      </c>
      <c r="N1191">
        <v>36</v>
      </c>
      <c r="O1191">
        <v>150000</v>
      </c>
      <c r="P1191">
        <v>3</v>
      </c>
      <c r="Q1191">
        <v>3</v>
      </c>
      <c r="R1191">
        <v>5</v>
      </c>
      <c r="S1191">
        <v>4</v>
      </c>
      <c r="T1191" s="123">
        <f t="shared" si="92"/>
        <v>1</v>
      </c>
      <c r="U1191">
        <f t="shared" si="93"/>
        <v>0</v>
      </c>
      <c r="V1191">
        <f t="shared" si="94"/>
        <v>0</v>
      </c>
      <c r="W1191">
        <f t="shared" si="95"/>
        <v>1</v>
      </c>
      <c r="X1191">
        <f t="shared" si="96"/>
        <v>1</v>
      </c>
    </row>
    <row r="1192" spans="1:24">
      <c r="A1192" t="s">
        <v>257</v>
      </c>
      <c r="B1192">
        <v>7</v>
      </c>
      <c r="C1192">
        <v>1</v>
      </c>
      <c r="D1192">
        <v>100</v>
      </c>
      <c r="E1192">
        <v>0</v>
      </c>
      <c r="F1192">
        <v>100</v>
      </c>
      <c r="G1192">
        <v>0.35200938691698491</v>
      </c>
      <c r="H1192">
        <v>0</v>
      </c>
      <c r="I1192">
        <v>0</v>
      </c>
      <c r="J1192">
        <v>1</v>
      </c>
      <c r="K1192">
        <v>1</v>
      </c>
      <c r="L1192">
        <v>1</v>
      </c>
      <c r="M1192">
        <v>0</v>
      </c>
      <c r="N1192">
        <v>36</v>
      </c>
      <c r="O1192">
        <v>150000</v>
      </c>
      <c r="P1192">
        <v>3</v>
      </c>
      <c r="Q1192">
        <v>3</v>
      </c>
      <c r="R1192">
        <v>5</v>
      </c>
      <c r="S1192">
        <v>4</v>
      </c>
      <c r="T1192" s="123">
        <f t="shared" si="92"/>
        <v>0</v>
      </c>
      <c r="U1192">
        <f t="shared" si="93"/>
        <v>0</v>
      </c>
      <c r="V1192">
        <f t="shared" si="94"/>
        <v>0</v>
      </c>
      <c r="W1192">
        <f t="shared" si="95"/>
        <v>1</v>
      </c>
      <c r="X1192">
        <f t="shared" si="96"/>
        <v>1</v>
      </c>
    </row>
    <row r="1193" spans="1:24">
      <c r="A1193" t="s">
        <v>258</v>
      </c>
      <c r="B1193">
        <v>1</v>
      </c>
      <c r="C1193">
        <v>1</v>
      </c>
      <c r="D1193">
        <v>100</v>
      </c>
      <c r="E1193">
        <v>100</v>
      </c>
      <c r="F1193">
        <v>0</v>
      </c>
      <c r="G1193">
        <v>100</v>
      </c>
      <c r="H1193">
        <v>100</v>
      </c>
      <c r="I1193">
        <v>1</v>
      </c>
      <c r="J1193">
        <v>0</v>
      </c>
      <c r="K1193">
        <v>1</v>
      </c>
      <c r="L1193">
        <v>1</v>
      </c>
      <c r="M1193">
        <v>0</v>
      </c>
      <c r="N1193">
        <v>32</v>
      </c>
      <c r="O1193">
        <v>120000</v>
      </c>
      <c r="P1193">
        <v>2</v>
      </c>
      <c r="Q1193">
        <v>3</v>
      </c>
      <c r="R1193">
        <v>5</v>
      </c>
      <c r="S1193">
        <v>4</v>
      </c>
      <c r="T1193" s="123">
        <f t="shared" si="92"/>
        <v>0</v>
      </c>
      <c r="U1193">
        <f t="shared" si="93"/>
        <v>0</v>
      </c>
      <c r="V1193">
        <f t="shared" si="94"/>
        <v>0</v>
      </c>
      <c r="W1193">
        <f t="shared" si="95"/>
        <v>1</v>
      </c>
      <c r="X1193">
        <f t="shared" si="96"/>
        <v>1</v>
      </c>
    </row>
    <row r="1194" spans="1:24">
      <c r="A1194" t="s">
        <v>258</v>
      </c>
      <c r="B1194">
        <v>2</v>
      </c>
      <c r="C1194">
        <v>1</v>
      </c>
      <c r="D1194">
        <v>100</v>
      </c>
      <c r="E1194">
        <v>100</v>
      </c>
      <c r="F1194">
        <v>0</v>
      </c>
      <c r="G1194">
        <v>100</v>
      </c>
      <c r="H1194">
        <v>100</v>
      </c>
      <c r="I1194">
        <v>0</v>
      </c>
      <c r="J1194">
        <v>0</v>
      </c>
      <c r="K1194">
        <v>1</v>
      </c>
      <c r="L1194">
        <v>1</v>
      </c>
      <c r="M1194">
        <v>0</v>
      </c>
      <c r="N1194">
        <v>32</v>
      </c>
      <c r="O1194">
        <v>120000</v>
      </c>
      <c r="P1194">
        <v>2</v>
      </c>
      <c r="Q1194">
        <v>3</v>
      </c>
      <c r="R1194">
        <v>5</v>
      </c>
      <c r="S1194">
        <v>4</v>
      </c>
      <c r="T1194" s="123">
        <f t="shared" si="92"/>
        <v>0</v>
      </c>
      <c r="U1194">
        <f t="shared" si="93"/>
        <v>0</v>
      </c>
      <c r="V1194">
        <f t="shared" si="94"/>
        <v>0</v>
      </c>
      <c r="W1194">
        <f t="shared" si="95"/>
        <v>1</v>
      </c>
      <c r="X1194">
        <f t="shared" si="96"/>
        <v>1</v>
      </c>
    </row>
    <row r="1195" spans="1:24" hidden="1">
      <c r="A1195" t="s">
        <v>258</v>
      </c>
      <c r="B1195">
        <v>3</v>
      </c>
      <c r="C1195">
        <v>1</v>
      </c>
      <c r="D1195">
        <v>100</v>
      </c>
      <c r="E1195">
        <v>100</v>
      </c>
      <c r="F1195">
        <v>100</v>
      </c>
      <c r="G1195">
        <v>100</v>
      </c>
      <c r="H1195">
        <v>0</v>
      </c>
      <c r="I1195">
        <v>0</v>
      </c>
      <c r="J1195">
        <v>0</v>
      </c>
      <c r="K1195">
        <v>1</v>
      </c>
      <c r="L1195">
        <v>1</v>
      </c>
      <c r="M1195">
        <v>0</v>
      </c>
      <c r="N1195">
        <v>32</v>
      </c>
      <c r="O1195">
        <v>120000</v>
      </c>
      <c r="P1195">
        <v>2</v>
      </c>
      <c r="Q1195">
        <v>3</v>
      </c>
      <c r="R1195">
        <v>5</v>
      </c>
      <c r="S1195">
        <v>4</v>
      </c>
      <c r="T1195" s="123">
        <f t="shared" si="92"/>
        <v>1</v>
      </c>
      <c r="U1195">
        <f t="shared" si="93"/>
        <v>0</v>
      </c>
      <c r="V1195">
        <f t="shared" si="94"/>
        <v>0</v>
      </c>
      <c r="W1195">
        <f t="shared" si="95"/>
        <v>1</v>
      </c>
      <c r="X1195">
        <f t="shared" si="96"/>
        <v>1</v>
      </c>
    </row>
    <row r="1196" spans="1:24" hidden="1">
      <c r="A1196" t="s">
        <v>258</v>
      </c>
      <c r="B1196">
        <v>4</v>
      </c>
      <c r="C1196">
        <v>1</v>
      </c>
      <c r="D1196">
        <v>0</v>
      </c>
      <c r="E1196">
        <v>100</v>
      </c>
      <c r="F1196">
        <v>0</v>
      </c>
      <c r="G1196">
        <v>50</v>
      </c>
      <c r="H1196">
        <v>72.989661114302123</v>
      </c>
      <c r="I1196">
        <v>0</v>
      </c>
      <c r="J1196">
        <v>0</v>
      </c>
      <c r="K1196">
        <v>0</v>
      </c>
      <c r="L1196">
        <v>1</v>
      </c>
      <c r="M1196">
        <v>0</v>
      </c>
      <c r="N1196">
        <v>32</v>
      </c>
      <c r="O1196">
        <v>120000</v>
      </c>
      <c r="P1196">
        <v>2</v>
      </c>
      <c r="Q1196">
        <v>3</v>
      </c>
      <c r="R1196">
        <v>5</v>
      </c>
      <c r="S1196">
        <v>4</v>
      </c>
      <c r="T1196" s="123">
        <f t="shared" si="92"/>
        <v>1</v>
      </c>
      <c r="U1196">
        <f t="shared" si="93"/>
        <v>0</v>
      </c>
      <c r="V1196">
        <f t="shared" si="94"/>
        <v>0</v>
      </c>
      <c r="W1196">
        <f t="shared" si="95"/>
        <v>1</v>
      </c>
      <c r="X1196">
        <f t="shared" si="96"/>
        <v>1</v>
      </c>
    </row>
    <row r="1197" spans="1:24">
      <c r="A1197" t="s">
        <v>258</v>
      </c>
      <c r="B1197">
        <v>5</v>
      </c>
      <c r="C1197">
        <v>1</v>
      </c>
      <c r="D1197">
        <v>100</v>
      </c>
      <c r="E1197">
        <v>0</v>
      </c>
      <c r="F1197">
        <v>0</v>
      </c>
      <c r="G1197">
        <v>100</v>
      </c>
      <c r="H1197">
        <v>0</v>
      </c>
      <c r="I1197">
        <v>0</v>
      </c>
      <c r="J1197">
        <v>0</v>
      </c>
      <c r="K1197">
        <v>1</v>
      </c>
      <c r="L1197">
        <v>1</v>
      </c>
      <c r="M1197">
        <v>0</v>
      </c>
      <c r="N1197">
        <v>32</v>
      </c>
      <c r="O1197">
        <v>120000</v>
      </c>
      <c r="P1197">
        <v>2</v>
      </c>
      <c r="Q1197">
        <v>3</v>
      </c>
      <c r="R1197">
        <v>5</v>
      </c>
      <c r="S1197">
        <v>4</v>
      </c>
      <c r="T1197" s="123">
        <f t="shared" si="92"/>
        <v>0</v>
      </c>
      <c r="U1197">
        <f t="shared" si="93"/>
        <v>0</v>
      </c>
      <c r="V1197">
        <f t="shared" si="94"/>
        <v>0</v>
      </c>
      <c r="W1197">
        <f t="shared" si="95"/>
        <v>1</v>
      </c>
      <c r="X1197">
        <f t="shared" si="96"/>
        <v>1</v>
      </c>
    </row>
    <row r="1198" spans="1:24">
      <c r="A1198" t="s">
        <v>258</v>
      </c>
      <c r="B1198">
        <v>6</v>
      </c>
      <c r="C1198">
        <v>1</v>
      </c>
      <c r="D1198">
        <v>0</v>
      </c>
      <c r="E1198">
        <v>100</v>
      </c>
      <c r="F1198">
        <v>100</v>
      </c>
      <c r="G1198">
        <v>0</v>
      </c>
      <c r="H1198">
        <v>100</v>
      </c>
      <c r="I1198">
        <v>0</v>
      </c>
      <c r="J1198">
        <v>0</v>
      </c>
      <c r="K1198">
        <v>0</v>
      </c>
      <c r="L1198">
        <v>1</v>
      </c>
      <c r="M1198">
        <v>0</v>
      </c>
      <c r="N1198">
        <v>32</v>
      </c>
      <c r="O1198">
        <v>120000</v>
      </c>
      <c r="P1198">
        <v>2</v>
      </c>
      <c r="Q1198">
        <v>3</v>
      </c>
      <c r="R1198">
        <v>5</v>
      </c>
      <c r="S1198">
        <v>4</v>
      </c>
      <c r="T1198" s="123">
        <f t="shared" si="92"/>
        <v>0</v>
      </c>
      <c r="U1198">
        <f t="shared" si="93"/>
        <v>0</v>
      </c>
      <c r="V1198">
        <f t="shared" si="94"/>
        <v>0</v>
      </c>
      <c r="W1198">
        <f t="shared" si="95"/>
        <v>1</v>
      </c>
      <c r="X1198">
        <f t="shared" si="96"/>
        <v>1</v>
      </c>
    </row>
    <row r="1199" spans="1:24">
      <c r="A1199" t="s">
        <v>258</v>
      </c>
      <c r="B1199">
        <v>7</v>
      </c>
      <c r="C1199">
        <v>1</v>
      </c>
      <c r="D1199">
        <v>100</v>
      </c>
      <c r="E1199">
        <v>100</v>
      </c>
      <c r="F1199">
        <v>0</v>
      </c>
      <c r="G1199">
        <v>0.27283170591613781</v>
      </c>
      <c r="H1199">
        <v>0</v>
      </c>
      <c r="I1199">
        <v>0</v>
      </c>
      <c r="J1199">
        <v>1</v>
      </c>
      <c r="K1199">
        <v>1</v>
      </c>
      <c r="L1199">
        <v>1</v>
      </c>
      <c r="M1199">
        <v>0</v>
      </c>
      <c r="N1199">
        <v>32</v>
      </c>
      <c r="O1199">
        <v>120000</v>
      </c>
      <c r="P1199">
        <v>2</v>
      </c>
      <c r="Q1199">
        <v>3</v>
      </c>
      <c r="R1199">
        <v>5</v>
      </c>
      <c r="S1199">
        <v>4</v>
      </c>
      <c r="T1199" s="123">
        <f t="shared" si="92"/>
        <v>0</v>
      </c>
      <c r="U1199">
        <f t="shared" si="93"/>
        <v>0</v>
      </c>
      <c r="V1199">
        <f t="shared" si="94"/>
        <v>0</v>
      </c>
      <c r="W1199">
        <f t="shared" si="95"/>
        <v>1</v>
      </c>
      <c r="X1199">
        <f t="shared" si="96"/>
        <v>1</v>
      </c>
    </row>
    <row r="1200" spans="1:24">
      <c r="A1200" t="s">
        <v>259</v>
      </c>
      <c r="B1200">
        <v>1</v>
      </c>
      <c r="C1200">
        <v>1</v>
      </c>
      <c r="D1200">
        <v>100</v>
      </c>
      <c r="E1200">
        <v>100</v>
      </c>
      <c r="F1200">
        <v>0</v>
      </c>
      <c r="G1200">
        <v>100</v>
      </c>
      <c r="H1200">
        <v>100</v>
      </c>
      <c r="I1200">
        <v>1</v>
      </c>
      <c r="J1200">
        <v>0</v>
      </c>
      <c r="K1200">
        <v>1</v>
      </c>
      <c r="L1200">
        <v>1</v>
      </c>
      <c r="M1200">
        <v>1</v>
      </c>
      <c r="N1200">
        <v>42</v>
      </c>
      <c r="O1200">
        <v>85000</v>
      </c>
      <c r="P1200">
        <v>3</v>
      </c>
      <c r="Q1200">
        <v>2</v>
      </c>
      <c r="R1200">
        <v>5</v>
      </c>
      <c r="S1200">
        <v>4</v>
      </c>
      <c r="T1200" s="123">
        <f t="shared" si="92"/>
        <v>0</v>
      </c>
      <c r="U1200">
        <f t="shared" si="93"/>
        <v>0</v>
      </c>
      <c r="V1200">
        <f t="shared" si="94"/>
        <v>0</v>
      </c>
      <c r="W1200">
        <f t="shared" si="95"/>
        <v>1</v>
      </c>
      <c r="X1200">
        <f t="shared" si="96"/>
        <v>1</v>
      </c>
    </row>
    <row r="1201" spans="1:24">
      <c r="A1201" t="s">
        <v>259</v>
      </c>
      <c r="B1201">
        <v>2</v>
      </c>
      <c r="C1201">
        <v>1</v>
      </c>
      <c r="D1201">
        <v>0</v>
      </c>
      <c r="E1201">
        <v>100</v>
      </c>
      <c r="F1201">
        <v>100</v>
      </c>
      <c r="G1201">
        <v>0</v>
      </c>
      <c r="H1201">
        <v>0</v>
      </c>
      <c r="I1201">
        <v>0</v>
      </c>
      <c r="J1201">
        <v>0</v>
      </c>
      <c r="K1201">
        <v>0</v>
      </c>
      <c r="L1201">
        <v>1</v>
      </c>
      <c r="M1201">
        <v>1</v>
      </c>
      <c r="N1201">
        <v>42</v>
      </c>
      <c r="O1201">
        <v>85000</v>
      </c>
      <c r="P1201">
        <v>3</v>
      </c>
      <c r="Q1201">
        <v>2</v>
      </c>
      <c r="R1201">
        <v>5</v>
      </c>
      <c r="S1201">
        <v>4</v>
      </c>
      <c r="T1201" s="123">
        <f t="shared" si="92"/>
        <v>0</v>
      </c>
      <c r="U1201">
        <f t="shared" si="93"/>
        <v>0</v>
      </c>
      <c r="V1201">
        <f t="shared" si="94"/>
        <v>0</v>
      </c>
      <c r="W1201">
        <f t="shared" si="95"/>
        <v>1</v>
      </c>
      <c r="X1201">
        <f t="shared" si="96"/>
        <v>1</v>
      </c>
    </row>
    <row r="1202" spans="1:24" hidden="1">
      <c r="A1202" t="s">
        <v>259</v>
      </c>
      <c r="B1202">
        <v>3</v>
      </c>
      <c r="C1202">
        <v>1</v>
      </c>
      <c r="D1202">
        <v>0</v>
      </c>
      <c r="E1202">
        <v>100</v>
      </c>
      <c r="F1202">
        <v>100</v>
      </c>
      <c r="G1202">
        <v>100</v>
      </c>
      <c r="H1202">
        <v>100</v>
      </c>
      <c r="I1202">
        <v>0</v>
      </c>
      <c r="J1202">
        <v>0</v>
      </c>
      <c r="K1202">
        <v>0</v>
      </c>
      <c r="L1202">
        <v>1</v>
      </c>
      <c r="M1202">
        <v>1</v>
      </c>
      <c r="N1202">
        <v>42</v>
      </c>
      <c r="O1202">
        <v>85000</v>
      </c>
      <c r="P1202">
        <v>3</v>
      </c>
      <c r="Q1202">
        <v>2</v>
      </c>
      <c r="R1202">
        <v>5</v>
      </c>
      <c r="S1202">
        <v>4</v>
      </c>
      <c r="T1202" s="123">
        <f t="shared" si="92"/>
        <v>1</v>
      </c>
      <c r="U1202">
        <f t="shared" si="93"/>
        <v>0</v>
      </c>
      <c r="V1202">
        <f t="shared" si="94"/>
        <v>0</v>
      </c>
      <c r="W1202">
        <f t="shared" si="95"/>
        <v>1</v>
      </c>
      <c r="X1202">
        <f t="shared" si="96"/>
        <v>1</v>
      </c>
    </row>
    <row r="1203" spans="1:24">
      <c r="A1203" t="s">
        <v>259</v>
      </c>
      <c r="B1203">
        <v>4</v>
      </c>
      <c r="C1203">
        <v>1</v>
      </c>
      <c r="D1203">
        <v>0</v>
      </c>
      <c r="E1203">
        <v>0.54535017221584159</v>
      </c>
      <c r="F1203">
        <v>100</v>
      </c>
      <c r="G1203">
        <v>0</v>
      </c>
      <c r="H1203">
        <v>100</v>
      </c>
      <c r="I1203">
        <v>0</v>
      </c>
      <c r="J1203">
        <v>0</v>
      </c>
      <c r="K1203">
        <v>0</v>
      </c>
      <c r="L1203">
        <v>1</v>
      </c>
      <c r="M1203">
        <v>1</v>
      </c>
      <c r="N1203">
        <v>42</v>
      </c>
      <c r="O1203">
        <v>85000</v>
      </c>
      <c r="P1203">
        <v>3</v>
      </c>
      <c r="Q1203">
        <v>2</v>
      </c>
      <c r="R1203">
        <v>5</v>
      </c>
      <c r="S1203">
        <v>4</v>
      </c>
      <c r="T1203" s="123">
        <f t="shared" si="92"/>
        <v>0</v>
      </c>
      <c r="U1203">
        <f t="shared" si="93"/>
        <v>0</v>
      </c>
      <c r="V1203">
        <f t="shared" si="94"/>
        <v>0</v>
      </c>
      <c r="W1203">
        <f t="shared" si="95"/>
        <v>1</v>
      </c>
      <c r="X1203">
        <f t="shared" si="96"/>
        <v>1</v>
      </c>
    </row>
    <row r="1204" spans="1:24">
      <c r="A1204" t="s">
        <v>259</v>
      </c>
      <c r="B1204">
        <v>5</v>
      </c>
      <c r="C1204">
        <v>1</v>
      </c>
      <c r="D1204">
        <v>0</v>
      </c>
      <c r="E1204">
        <v>100</v>
      </c>
      <c r="F1204">
        <v>0</v>
      </c>
      <c r="G1204">
        <v>72.847301951779571</v>
      </c>
      <c r="H1204">
        <v>50</v>
      </c>
      <c r="I1204">
        <v>0</v>
      </c>
      <c r="J1204">
        <v>0</v>
      </c>
      <c r="K1204">
        <v>0</v>
      </c>
      <c r="L1204">
        <v>1</v>
      </c>
      <c r="M1204">
        <v>1</v>
      </c>
      <c r="N1204">
        <v>42</v>
      </c>
      <c r="O1204">
        <v>85000</v>
      </c>
      <c r="P1204">
        <v>3</v>
      </c>
      <c r="Q1204">
        <v>2</v>
      </c>
      <c r="R1204">
        <v>5</v>
      </c>
      <c r="S1204">
        <v>4</v>
      </c>
      <c r="T1204" s="123">
        <f t="shared" si="92"/>
        <v>0</v>
      </c>
      <c r="U1204">
        <f t="shared" si="93"/>
        <v>0</v>
      </c>
      <c r="V1204">
        <f t="shared" si="94"/>
        <v>0</v>
      </c>
      <c r="W1204">
        <f t="shared" si="95"/>
        <v>1</v>
      </c>
      <c r="X1204">
        <f t="shared" si="96"/>
        <v>1</v>
      </c>
    </row>
    <row r="1205" spans="1:24">
      <c r="A1205" t="s">
        <v>259</v>
      </c>
      <c r="B1205">
        <v>6</v>
      </c>
      <c r="C1205">
        <v>1</v>
      </c>
      <c r="D1205">
        <v>100</v>
      </c>
      <c r="E1205">
        <v>0</v>
      </c>
      <c r="F1205">
        <v>100</v>
      </c>
      <c r="G1205">
        <v>0</v>
      </c>
      <c r="H1205">
        <v>100</v>
      </c>
      <c r="I1205">
        <v>0</v>
      </c>
      <c r="J1205">
        <v>0</v>
      </c>
      <c r="K1205">
        <v>1</v>
      </c>
      <c r="L1205">
        <v>1</v>
      </c>
      <c r="M1205">
        <v>1</v>
      </c>
      <c r="N1205">
        <v>42</v>
      </c>
      <c r="O1205">
        <v>85000</v>
      </c>
      <c r="P1205">
        <v>3</v>
      </c>
      <c r="Q1205">
        <v>2</v>
      </c>
      <c r="R1205">
        <v>5</v>
      </c>
      <c r="S1205">
        <v>4</v>
      </c>
      <c r="T1205" s="123">
        <f t="shared" si="92"/>
        <v>0</v>
      </c>
      <c r="U1205">
        <f t="shared" si="93"/>
        <v>0</v>
      </c>
      <c r="V1205">
        <f t="shared" si="94"/>
        <v>0</v>
      </c>
      <c r="W1205">
        <f t="shared" si="95"/>
        <v>1</v>
      </c>
      <c r="X1205">
        <f t="shared" si="96"/>
        <v>1</v>
      </c>
    </row>
    <row r="1206" spans="1:24">
      <c r="A1206" t="s">
        <v>259</v>
      </c>
      <c r="B1206">
        <v>7</v>
      </c>
      <c r="C1206">
        <v>1</v>
      </c>
      <c r="D1206">
        <v>100</v>
      </c>
      <c r="E1206">
        <v>0</v>
      </c>
      <c r="F1206">
        <v>100</v>
      </c>
      <c r="G1206">
        <v>100</v>
      </c>
      <c r="H1206">
        <v>100</v>
      </c>
      <c r="I1206">
        <v>0</v>
      </c>
      <c r="J1206">
        <v>1</v>
      </c>
      <c r="K1206">
        <v>1</v>
      </c>
      <c r="L1206">
        <v>1</v>
      </c>
      <c r="M1206">
        <v>1</v>
      </c>
      <c r="N1206">
        <v>42</v>
      </c>
      <c r="O1206">
        <v>85000</v>
      </c>
      <c r="P1206">
        <v>3</v>
      </c>
      <c r="Q1206">
        <v>2</v>
      </c>
      <c r="R1206">
        <v>5</v>
      </c>
      <c r="S1206">
        <v>4</v>
      </c>
      <c r="T1206" s="123">
        <f t="shared" si="92"/>
        <v>0</v>
      </c>
      <c r="U1206">
        <f t="shared" si="93"/>
        <v>0</v>
      </c>
      <c r="V1206">
        <f t="shared" si="94"/>
        <v>0</v>
      </c>
      <c r="W1206">
        <f t="shared" si="95"/>
        <v>1</v>
      </c>
      <c r="X1206">
        <f t="shared" si="96"/>
        <v>1</v>
      </c>
    </row>
    <row r="1207" spans="1:24">
      <c r="A1207" t="s">
        <v>260</v>
      </c>
      <c r="B1207">
        <v>1</v>
      </c>
      <c r="C1207">
        <v>1</v>
      </c>
      <c r="D1207">
        <v>0</v>
      </c>
      <c r="E1207">
        <v>100</v>
      </c>
      <c r="F1207">
        <v>0</v>
      </c>
      <c r="G1207">
        <v>100</v>
      </c>
      <c r="H1207">
        <v>100</v>
      </c>
      <c r="I1207">
        <v>1</v>
      </c>
      <c r="J1207">
        <v>0</v>
      </c>
      <c r="K1207">
        <v>0</v>
      </c>
      <c r="L1207">
        <v>1</v>
      </c>
      <c r="M1207">
        <v>0</v>
      </c>
      <c r="N1207">
        <v>31</v>
      </c>
      <c r="O1207">
        <v>200000</v>
      </c>
      <c r="P1207">
        <v>3</v>
      </c>
      <c r="Q1207">
        <v>4</v>
      </c>
      <c r="R1207">
        <v>5</v>
      </c>
      <c r="S1207">
        <v>4</v>
      </c>
      <c r="T1207" s="123">
        <f t="shared" si="92"/>
        <v>0</v>
      </c>
      <c r="U1207">
        <f t="shared" si="93"/>
        <v>0</v>
      </c>
      <c r="V1207">
        <f t="shared" si="94"/>
        <v>1</v>
      </c>
      <c r="W1207">
        <f t="shared" si="95"/>
        <v>1</v>
      </c>
      <c r="X1207">
        <f t="shared" si="96"/>
        <v>1</v>
      </c>
    </row>
    <row r="1208" spans="1:24">
      <c r="A1208" t="s">
        <v>260</v>
      </c>
      <c r="B1208">
        <v>2</v>
      </c>
      <c r="C1208">
        <v>1</v>
      </c>
      <c r="D1208">
        <v>0</v>
      </c>
      <c r="E1208">
        <v>0</v>
      </c>
      <c r="F1208">
        <v>73.041606886657107</v>
      </c>
      <c r="G1208">
        <v>50</v>
      </c>
      <c r="H1208">
        <v>100</v>
      </c>
      <c r="I1208">
        <v>0</v>
      </c>
      <c r="J1208">
        <v>0</v>
      </c>
      <c r="K1208">
        <v>0</v>
      </c>
      <c r="L1208">
        <v>1</v>
      </c>
      <c r="M1208">
        <v>0</v>
      </c>
      <c r="N1208">
        <v>31</v>
      </c>
      <c r="O1208">
        <v>200000</v>
      </c>
      <c r="P1208">
        <v>3</v>
      </c>
      <c r="Q1208">
        <v>4</v>
      </c>
      <c r="R1208">
        <v>5</v>
      </c>
      <c r="S1208">
        <v>4</v>
      </c>
      <c r="T1208" s="123">
        <f t="shared" si="92"/>
        <v>0</v>
      </c>
      <c r="U1208">
        <f t="shared" si="93"/>
        <v>0</v>
      </c>
      <c r="V1208">
        <f t="shared" si="94"/>
        <v>1</v>
      </c>
      <c r="W1208">
        <f t="shared" si="95"/>
        <v>1</v>
      </c>
      <c r="X1208">
        <f t="shared" si="96"/>
        <v>1</v>
      </c>
    </row>
    <row r="1209" spans="1:24">
      <c r="A1209" t="s">
        <v>260</v>
      </c>
      <c r="B1209">
        <v>3</v>
      </c>
      <c r="C1209">
        <v>1</v>
      </c>
      <c r="D1209">
        <v>0</v>
      </c>
      <c r="E1209">
        <v>100</v>
      </c>
      <c r="F1209">
        <v>0</v>
      </c>
      <c r="G1209">
        <v>0</v>
      </c>
      <c r="H1209">
        <v>100</v>
      </c>
      <c r="I1209">
        <v>0</v>
      </c>
      <c r="J1209">
        <v>0</v>
      </c>
      <c r="K1209">
        <v>0</v>
      </c>
      <c r="L1209">
        <v>1</v>
      </c>
      <c r="M1209">
        <v>0</v>
      </c>
      <c r="N1209">
        <v>31</v>
      </c>
      <c r="O1209">
        <v>200000</v>
      </c>
      <c r="P1209">
        <v>3</v>
      </c>
      <c r="Q1209">
        <v>4</v>
      </c>
      <c r="R1209">
        <v>5</v>
      </c>
      <c r="S1209">
        <v>4</v>
      </c>
      <c r="T1209" s="123">
        <f t="shared" si="92"/>
        <v>0</v>
      </c>
      <c r="U1209">
        <f t="shared" si="93"/>
        <v>0</v>
      </c>
      <c r="V1209">
        <f t="shared" si="94"/>
        <v>1</v>
      </c>
      <c r="W1209">
        <f t="shared" si="95"/>
        <v>1</v>
      </c>
      <c r="X1209">
        <f t="shared" si="96"/>
        <v>1</v>
      </c>
    </row>
    <row r="1210" spans="1:24">
      <c r="A1210" t="s">
        <v>260</v>
      </c>
      <c r="B1210">
        <v>4</v>
      </c>
      <c r="C1210">
        <v>1</v>
      </c>
      <c r="D1210">
        <v>0</v>
      </c>
      <c r="E1210">
        <v>0.32998565279770409</v>
      </c>
      <c r="F1210">
        <v>0</v>
      </c>
      <c r="G1210">
        <v>100</v>
      </c>
      <c r="H1210">
        <v>100</v>
      </c>
      <c r="I1210">
        <v>0</v>
      </c>
      <c r="J1210">
        <v>0</v>
      </c>
      <c r="K1210">
        <v>0</v>
      </c>
      <c r="L1210">
        <v>1</v>
      </c>
      <c r="M1210">
        <v>0</v>
      </c>
      <c r="N1210">
        <v>31</v>
      </c>
      <c r="O1210">
        <v>200000</v>
      </c>
      <c r="P1210">
        <v>3</v>
      </c>
      <c r="Q1210">
        <v>4</v>
      </c>
      <c r="R1210">
        <v>5</v>
      </c>
      <c r="S1210">
        <v>4</v>
      </c>
      <c r="T1210" s="123">
        <f t="shared" si="92"/>
        <v>0</v>
      </c>
      <c r="U1210">
        <f t="shared" si="93"/>
        <v>0</v>
      </c>
      <c r="V1210">
        <f t="shared" si="94"/>
        <v>1</v>
      </c>
      <c r="W1210">
        <f t="shared" si="95"/>
        <v>1</v>
      </c>
      <c r="X1210">
        <f t="shared" si="96"/>
        <v>1</v>
      </c>
    </row>
    <row r="1211" spans="1:24" hidden="1">
      <c r="A1211" t="s">
        <v>260</v>
      </c>
      <c r="B1211">
        <v>5</v>
      </c>
      <c r="C1211">
        <v>1</v>
      </c>
      <c r="D1211">
        <v>100</v>
      </c>
      <c r="E1211">
        <v>100</v>
      </c>
      <c r="F1211">
        <v>100</v>
      </c>
      <c r="G1211">
        <v>100</v>
      </c>
      <c r="H1211">
        <v>0</v>
      </c>
      <c r="I1211">
        <v>0</v>
      </c>
      <c r="J1211">
        <v>0</v>
      </c>
      <c r="K1211">
        <v>1</v>
      </c>
      <c r="L1211">
        <v>1</v>
      </c>
      <c r="M1211">
        <v>0</v>
      </c>
      <c r="N1211">
        <v>31</v>
      </c>
      <c r="O1211">
        <v>200000</v>
      </c>
      <c r="P1211">
        <v>3</v>
      </c>
      <c r="Q1211">
        <v>4</v>
      </c>
      <c r="R1211">
        <v>5</v>
      </c>
      <c r="S1211">
        <v>4</v>
      </c>
      <c r="T1211" s="123">
        <f t="shared" si="92"/>
        <v>1</v>
      </c>
      <c r="U1211">
        <f t="shared" si="93"/>
        <v>0</v>
      </c>
      <c r="V1211">
        <f t="shared" si="94"/>
        <v>1</v>
      </c>
      <c r="W1211">
        <f t="shared" si="95"/>
        <v>1</v>
      </c>
      <c r="X1211">
        <f t="shared" si="96"/>
        <v>1</v>
      </c>
    </row>
    <row r="1212" spans="1:24">
      <c r="A1212" t="s">
        <v>260</v>
      </c>
      <c r="B1212">
        <v>6</v>
      </c>
      <c r="C1212">
        <v>1</v>
      </c>
      <c r="D1212">
        <v>100</v>
      </c>
      <c r="E1212">
        <v>100</v>
      </c>
      <c r="F1212">
        <v>100</v>
      </c>
      <c r="G1212">
        <v>0</v>
      </c>
      <c r="H1212">
        <v>100</v>
      </c>
      <c r="I1212">
        <v>0</v>
      </c>
      <c r="J1212">
        <v>0</v>
      </c>
      <c r="K1212">
        <v>1</v>
      </c>
      <c r="L1212">
        <v>1</v>
      </c>
      <c r="M1212">
        <v>0</v>
      </c>
      <c r="N1212">
        <v>31</v>
      </c>
      <c r="O1212">
        <v>200000</v>
      </c>
      <c r="P1212">
        <v>3</v>
      </c>
      <c r="Q1212">
        <v>4</v>
      </c>
      <c r="R1212">
        <v>5</v>
      </c>
      <c r="S1212">
        <v>4</v>
      </c>
      <c r="T1212" s="123">
        <f t="shared" si="92"/>
        <v>0</v>
      </c>
      <c r="U1212">
        <f t="shared" si="93"/>
        <v>0</v>
      </c>
      <c r="V1212">
        <f t="shared" si="94"/>
        <v>1</v>
      </c>
      <c r="W1212">
        <f t="shared" si="95"/>
        <v>1</v>
      </c>
      <c r="X1212">
        <f t="shared" si="96"/>
        <v>1</v>
      </c>
    </row>
    <row r="1213" spans="1:24" hidden="1">
      <c r="A1213" t="s">
        <v>260</v>
      </c>
      <c r="B1213">
        <v>7</v>
      </c>
      <c r="C1213">
        <v>1</v>
      </c>
      <c r="D1213">
        <v>0</v>
      </c>
      <c r="E1213">
        <v>100</v>
      </c>
      <c r="F1213">
        <v>100</v>
      </c>
      <c r="G1213">
        <v>100</v>
      </c>
      <c r="H1213">
        <v>100</v>
      </c>
      <c r="I1213">
        <v>0</v>
      </c>
      <c r="J1213">
        <v>1</v>
      </c>
      <c r="K1213">
        <v>0</v>
      </c>
      <c r="L1213">
        <v>1</v>
      </c>
      <c r="M1213">
        <v>0</v>
      </c>
      <c r="N1213">
        <v>31</v>
      </c>
      <c r="O1213">
        <v>200000</v>
      </c>
      <c r="P1213">
        <v>3</v>
      </c>
      <c r="Q1213">
        <v>4</v>
      </c>
      <c r="R1213">
        <v>5</v>
      </c>
      <c r="S1213">
        <v>4</v>
      </c>
      <c r="T1213" s="123">
        <f t="shared" si="92"/>
        <v>1</v>
      </c>
      <c r="U1213">
        <f t="shared" si="93"/>
        <v>0</v>
      </c>
      <c r="V1213">
        <f t="shared" si="94"/>
        <v>1</v>
      </c>
      <c r="W1213">
        <f t="shared" si="95"/>
        <v>1</v>
      </c>
      <c r="X1213">
        <f t="shared" si="96"/>
        <v>1</v>
      </c>
    </row>
    <row r="1214" spans="1:24">
      <c r="A1214" t="s">
        <v>261</v>
      </c>
      <c r="B1214">
        <v>1</v>
      </c>
      <c r="C1214">
        <v>1</v>
      </c>
      <c r="D1214">
        <v>99.773622047244089</v>
      </c>
      <c r="E1214">
        <v>98.553149606299215</v>
      </c>
      <c r="F1214">
        <v>96.112204724409452</v>
      </c>
      <c r="G1214">
        <v>1.131889763779526</v>
      </c>
      <c r="H1214">
        <v>3.9370078740158521E-2</v>
      </c>
      <c r="I1214">
        <v>1</v>
      </c>
      <c r="J1214">
        <v>0</v>
      </c>
      <c r="K1214">
        <v>1</v>
      </c>
      <c r="L1214">
        <v>1</v>
      </c>
      <c r="M1214">
        <v>1</v>
      </c>
      <c r="N1214">
        <v>51</v>
      </c>
      <c r="O1214">
        <v>73000</v>
      </c>
      <c r="P1214">
        <v>2</v>
      </c>
      <c r="Q1214">
        <v>4</v>
      </c>
      <c r="R1214">
        <v>5</v>
      </c>
      <c r="S1214">
        <v>4</v>
      </c>
      <c r="T1214" s="123">
        <f t="shared" si="92"/>
        <v>0</v>
      </c>
      <c r="U1214">
        <f t="shared" si="93"/>
        <v>0</v>
      </c>
      <c r="V1214">
        <f t="shared" si="94"/>
        <v>1</v>
      </c>
      <c r="W1214">
        <f t="shared" si="95"/>
        <v>1</v>
      </c>
      <c r="X1214">
        <f t="shared" si="96"/>
        <v>1</v>
      </c>
    </row>
    <row r="1215" spans="1:24">
      <c r="A1215" t="s">
        <v>261</v>
      </c>
      <c r="B1215">
        <v>2</v>
      </c>
      <c r="C1215">
        <v>1</v>
      </c>
      <c r="D1215">
        <v>2.6082677165354342</v>
      </c>
      <c r="E1215">
        <v>4.616141732283463</v>
      </c>
      <c r="F1215">
        <v>2.4212598425196852</v>
      </c>
      <c r="G1215">
        <v>96.879921259842533</v>
      </c>
      <c r="H1215">
        <v>3.2677165354330739</v>
      </c>
      <c r="I1215">
        <v>0</v>
      </c>
      <c r="J1215">
        <v>0</v>
      </c>
      <c r="K1215">
        <v>0</v>
      </c>
      <c r="L1215">
        <v>1</v>
      </c>
      <c r="M1215">
        <v>1</v>
      </c>
      <c r="N1215">
        <v>51</v>
      </c>
      <c r="O1215">
        <v>73000</v>
      </c>
      <c r="P1215">
        <v>2</v>
      </c>
      <c r="Q1215">
        <v>4</v>
      </c>
      <c r="R1215">
        <v>5</v>
      </c>
      <c r="S1215">
        <v>4</v>
      </c>
      <c r="T1215" s="123">
        <f t="shared" si="92"/>
        <v>0</v>
      </c>
      <c r="U1215">
        <f t="shared" si="93"/>
        <v>0</v>
      </c>
      <c r="V1215">
        <f t="shared" si="94"/>
        <v>1</v>
      </c>
      <c r="W1215">
        <f t="shared" si="95"/>
        <v>1</v>
      </c>
      <c r="X1215">
        <f t="shared" si="96"/>
        <v>1</v>
      </c>
    </row>
    <row r="1216" spans="1:24">
      <c r="A1216" t="s">
        <v>261</v>
      </c>
      <c r="B1216">
        <v>3</v>
      </c>
      <c r="C1216">
        <v>1</v>
      </c>
      <c r="D1216">
        <v>2.3326771653543301</v>
      </c>
      <c r="E1216">
        <v>9.734251968503937</v>
      </c>
      <c r="F1216">
        <v>3.3169291338582712</v>
      </c>
      <c r="G1216">
        <v>93.562992125984252</v>
      </c>
      <c r="H1216">
        <v>94.773622047244089</v>
      </c>
      <c r="I1216">
        <v>0</v>
      </c>
      <c r="J1216">
        <v>0</v>
      </c>
      <c r="K1216">
        <v>0</v>
      </c>
      <c r="L1216">
        <v>1</v>
      </c>
      <c r="M1216">
        <v>1</v>
      </c>
      <c r="N1216">
        <v>51</v>
      </c>
      <c r="O1216">
        <v>73000</v>
      </c>
      <c r="P1216">
        <v>2</v>
      </c>
      <c r="Q1216">
        <v>4</v>
      </c>
      <c r="R1216">
        <v>5</v>
      </c>
      <c r="S1216">
        <v>4</v>
      </c>
      <c r="T1216" s="123">
        <f t="shared" si="92"/>
        <v>0</v>
      </c>
      <c r="U1216">
        <f t="shared" si="93"/>
        <v>0</v>
      </c>
      <c r="V1216">
        <f t="shared" si="94"/>
        <v>1</v>
      </c>
      <c r="W1216">
        <f t="shared" si="95"/>
        <v>1</v>
      </c>
      <c r="X1216">
        <f t="shared" si="96"/>
        <v>1</v>
      </c>
    </row>
    <row r="1217" spans="1:24">
      <c r="A1217" t="s">
        <v>261</v>
      </c>
      <c r="B1217">
        <v>4</v>
      </c>
      <c r="C1217">
        <v>1</v>
      </c>
      <c r="D1217">
        <v>1.751968503937007</v>
      </c>
      <c r="E1217">
        <v>4.0846456692913371</v>
      </c>
      <c r="F1217">
        <v>1.751968503937007</v>
      </c>
      <c r="G1217">
        <v>97.913385826771645</v>
      </c>
      <c r="H1217">
        <v>8.5433070866141705</v>
      </c>
      <c r="I1217">
        <v>0</v>
      </c>
      <c r="J1217">
        <v>0</v>
      </c>
      <c r="K1217">
        <v>0</v>
      </c>
      <c r="L1217">
        <v>1</v>
      </c>
      <c r="M1217">
        <v>1</v>
      </c>
      <c r="N1217">
        <v>51</v>
      </c>
      <c r="O1217">
        <v>73000</v>
      </c>
      <c r="P1217">
        <v>2</v>
      </c>
      <c r="Q1217">
        <v>4</v>
      </c>
      <c r="R1217">
        <v>5</v>
      </c>
      <c r="S1217">
        <v>4</v>
      </c>
      <c r="T1217" s="123">
        <f t="shared" si="92"/>
        <v>0</v>
      </c>
      <c r="U1217">
        <f t="shared" si="93"/>
        <v>0</v>
      </c>
      <c r="V1217">
        <f t="shared" si="94"/>
        <v>1</v>
      </c>
      <c r="W1217">
        <f t="shared" si="95"/>
        <v>1</v>
      </c>
      <c r="X1217">
        <f t="shared" si="96"/>
        <v>1</v>
      </c>
    </row>
    <row r="1218" spans="1:24" hidden="1">
      <c r="A1218" t="s">
        <v>261</v>
      </c>
      <c r="B1218">
        <v>5</v>
      </c>
      <c r="C1218">
        <v>1</v>
      </c>
      <c r="D1218">
        <v>0</v>
      </c>
      <c r="E1218">
        <v>2.7952755905511828</v>
      </c>
      <c r="F1218">
        <v>8.1397637795275593</v>
      </c>
      <c r="G1218">
        <v>3.789370078740157</v>
      </c>
      <c r="H1218">
        <v>6.6929133858267704</v>
      </c>
      <c r="I1218">
        <v>0</v>
      </c>
      <c r="J1218">
        <v>0</v>
      </c>
      <c r="K1218">
        <v>0</v>
      </c>
      <c r="L1218">
        <v>1</v>
      </c>
      <c r="M1218">
        <v>1</v>
      </c>
      <c r="N1218">
        <v>51</v>
      </c>
      <c r="O1218">
        <v>73000</v>
      </c>
      <c r="P1218">
        <v>2</v>
      </c>
      <c r="Q1218">
        <v>4</v>
      </c>
      <c r="R1218">
        <v>5</v>
      </c>
      <c r="S1218">
        <v>4</v>
      </c>
      <c r="T1218" s="123">
        <f t="shared" si="92"/>
        <v>1</v>
      </c>
      <c r="U1218">
        <f t="shared" si="93"/>
        <v>0</v>
      </c>
      <c r="V1218">
        <f t="shared" si="94"/>
        <v>1</v>
      </c>
      <c r="W1218">
        <f t="shared" si="95"/>
        <v>1</v>
      </c>
      <c r="X1218">
        <f t="shared" si="96"/>
        <v>1</v>
      </c>
    </row>
    <row r="1219" spans="1:24">
      <c r="A1219" t="s">
        <v>261</v>
      </c>
      <c r="B1219">
        <v>6</v>
      </c>
      <c r="C1219">
        <v>1</v>
      </c>
      <c r="D1219">
        <v>1.938976377952756</v>
      </c>
      <c r="E1219">
        <v>3.9370078740157459</v>
      </c>
      <c r="F1219">
        <v>6.4566929133858251</v>
      </c>
      <c r="G1219">
        <v>86.023622047244103</v>
      </c>
      <c r="H1219">
        <v>1.5255905511811001</v>
      </c>
      <c r="I1219">
        <v>0</v>
      </c>
      <c r="J1219">
        <v>0</v>
      </c>
      <c r="K1219">
        <v>0</v>
      </c>
      <c r="L1219">
        <v>1</v>
      </c>
      <c r="M1219">
        <v>1</v>
      </c>
      <c r="N1219">
        <v>51</v>
      </c>
      <c r="O1219">
        <v>73000</v>
      </c>
      <c r="P1219">
        <v>2</v>
      </c>
      <c r="Q1219">
        <v>4</v>
      </c>
      <c r="R1219">
        <v>5</v>
      </c>
      <c r="S1219">
        <v>4</v>
      </c>
      <c r="T1219" s="123">
        <f t="shared" si="92"/>
        <v>0</v>
      </c>
      <c r="U1219">
        <f t="shared" si="93"/>
        <v>0</v>
      </c>
      <c r="V1219">
        <f t="shared" si="94"/>
        <v>1</v>
      </c>
      <c r="W1219">
        <f t="shared" si="95"/>
        <v>1</v>
      </c>
      <c r="X1219">
        <f t="shared" si="96"/>
        <v>1</v>
      </c>
    </row>
    <row r="1220" spans="1:24">
      <c r="A1220" t="s">
        <v>261</v>
      </c>
      <c r="B1220">
        <v>7</v>
      </c>
      <c r="C1220">
        <v>1</v>
      </c>
      <c r="D1220">
        <v>24.120864808543889</v>
      </c>
      <c r="E1220">
        <v>14.17035686376661</v>
      </c>
      <c r="F1220">
        <v>16.905444126074499</v>
      </c>
      <c r="G1220">
        <v>79.890596509507688</v>
      </c>
      <c r="H1220">
        <v>50</v>
      </c>
      <c r="I1220">
        <v>0</v>
      </c>
      <c r="J1220">
        <v>1</v>
      </c>
      <c r="K1220">
        <v>0</v>
      </c>
      <c r="L1220">
        <v>1</v>
      </c>
      <c r="M1220">
        <v>1</v>
      </c>
      <c r="N1220">
        <v>51</v>
      </c>
      <c r="O1220">
        <v>73000</v>
      </c>
      <c r="P1220">
        <v>2</v>
      </c>
      <c r="Q1220">
        <v>4</v>
      </c>
      <c r="R1220">
        <v>5</v>
      </c>
      <c r="S1220">
        <v>4</v>
      </c>
      <c r="T1220" s="123">
        <f t="shared" ref="T1220:T1283" si="97">IF(OR(IF(AVERAGE(E1220:F1220)-G1220&gt;(10),1,0),IF(AVERAGE(E1220:F1220)-G1220&lt;(-10),1,0)),0,1)</f>
        <v>0</v>
      </c>
      <c r="U1220">
        <f t="shared" ref="U1220:U1283" si="98">IF(P1220&gt;3,1,0)</f>
        <v>0</v>
      </c>
      <c r="V1220">
        <f t="shared" ref="V1220:V1283" si="99">IF(Q1220&gt;3,1,0)</f>
        <v>1</v>
      </c>
      <c r="W1220">
        <f t="shared" ref="W1220:W1283" si="100">IF(R1220&gt;3,1,0)</f>
        <v>1</v>
      </c>
      <c r="X1220">
        <f t="shared" ref="X1220:X1283" si="101">IF(S1220&gt;3,1,0)</f>
        <v>1</v>
      </c>
    </row>
    <row r="1221" spans="1:24">
      <c r="A1221" t="s">
        <v>262</v>
      </c>
      <c r="B1221">
        <v>1</v>
      </c>
      <c r="C1221">
        <v>1</v>
      </c>
      <c r="D1221">
        <v>90.21577380952381</v>
      </c>
      <c r="E1221">
        <v>92.199900793650784</v>
      </c>
      <c r="F1221">
        <v>90.104166666666671</v>
      </c>
      <c r="G1221">
        <v>50</v>
      </c>
      <c r="H1221">
        <v>9.9702380952380931</v>
      </c>
      <c r="I1221">
        <v>1</v>
      </c>
      <c r="J1221">
        <v>0</v>
      </c>
      <c r="K1221">
        <v>1</v>
      </c>
      <c r="L1221">
        <v>1</v>
      </c>
      <c r="M1221">
        <v>1</v>
      </c>
      <c r="N1221">
        <v>57</v>
      </c>
      <c r="O1221">
        <v>36000</v>
      </c>
      <c r="P1221">
        <v>1</v>
      </c>
      <c r="Q1221">
        <v>2</v>
      </c>
      <c r="R1221">
        <v>3</v>
      </c>
      <c r="S1221">
        <v>3</v>
      </c>
      <c r="T1221" s="123">
        <f t="shared" si="97"/>
        <v>0</v>
      </c>
      <c r="U1221">
        <f t="shared" si="98"/>
        <v>0</v>
      </c>
      <c r="V1221">
        <f t="shared" si="99"/>
        <v>0</v>
      </c>
      <c r="W1221">
        <f t="shared" si="100"/>
        <v>0</v>
      </c>
      <c r="X1221">
        <f t="shared" si="101"/>
        <v>0</v>
      </c>
    </row>
    <row r="1222" spans="1:24" hidden="1">
      <c r="A1222" t="s">
        <v>262</v>
      </c>
      <c r="B1222">
        <v>2</v>
      </c>
      <c r="C1222">
        <v>1</v>
      </c>
      <c r="D1222">
        <v>7.5272817460317443</v>
      </c>
      <c r="E1222">
        <v>7.5272817460317443</v>
      </c>
      <c r="F1222">
        <v>4.8735119047619069</v>
      </c>
      <c r="G1222">
        <v>7.7132936507936511</v>
      </c>
      <c r="H1222">
        <v>4.0550595238095237</v>
      </c>
      <c r="I1222">
        <v>0</v>
      </c>
      <c r="J1222">
        <v>0</v>
      </c>
      <c r="K1222">
        <v>0</v>
      </c>
      <c r="L1222">
        <v>1</v>
      </c>
      <c r="M1222">
        <v>1</v>
      </c>
      <c r="N1222">
        <v>57</v>
      </c>
      <c r="O1222">
        <v>36000</v>
      </c>
      <c r="P1222">
        <v>1</v>
      </c>
      <c r="Q1222">
        <v>2</v>
      </c>
      <c r="R1222">
        <v>3</v>
      </c>
      <c r="S1222">
        <v>3</v>
      </c>
      <c r="T1222" s="123">
        <f t="shared" si="97"/>
        <v>1</v>
      </c>
      <c r="U1222">
        <f t="shared" si="98"/>
        <v>0</v>
      </c>
      <c r="V1222">
        <f t="shared" si="99"/>
        <v>0</v>
      </c>
      <c r="W1222">
        <f t="shared" si="100"/>
        <v>0</v>
      </c>
      <c r="X1222">
        <f t="shared" si="101"/>
        <v>0</v>
      </c>
    </row>
    <row r="1223" spans="1:24">
      <c r="A1223" t="s">
        <v>262</v>
      </c>
      <c r="B1223">
        <v>3</v>
      </c>
      <c r="C1223">
        <v>1</v>
      </c>
      <c r="D1223">
        <v>7.1552579365079358</v>
      </c>
      <c r="E1223">
        <v>7.862103174603174</v>
      </c>
      <c r="F1223">
        <v>12.84722222222222</v>
      </c>
      <c r="G1223">
        <v>90.711805555555557</v>
      </c>
      <c r="H1223">
        <v>7.5892857142857153</v>
      </c>
      <c r="I1223">
        <v>0</v>
      </c>
      <c r="J1223">
        <v>0</v>
      </c>
      <c r="K1223">
        <v>0</v>
      </c>
      <c r="L1223">
        <v>1</v>
      </c>
      <c r="M1223">
        <v>1</v>
      </c>
      <c r="N1223">
        <v>57</v>
      </c>
      <c r="O1223">
        <v>36000</v>
      </c>
      <c r="P1223">
        <v>1</v>
      </c>
      <c r="Q1223">
        <v>2</v>
      </c>
      <c r="R1223">
        <v>3</v>
      </c>
      <c r="S1223">
        <v>3</v>
      </c>
      <c r="T1223" s="123">
        <f t="shared" si="97"/>
        <v>0</v>
      </c>
      <c r="U1223">
        <f t="shared" si="98"/>
        <v>0</v>
      </c>
      <c r="V1223">
        <f t="shared" si="99"/>
        <v>0</v>
      </c>
      <c r="W1223">
        <f t="shared" si="100"/>
        <v>0</v>
      </c>
      <c r="X1223">
        <f t="shared" si="101"/>
        <v>0</v>
      </c>
    </row>
    <row r="1224" spans="1:24">
      <c r="A1224" t="s">
        <v>262</v>
      </c>
      <c r="B1224">
        <v>4</v>
      </c>
      <c r="C1224">
        <v>1</v>
      </c>
      <c r="D1224">
        <v>8.0481150793650809</v>
      </c>
      <c r="E1224">
        <v>8.6557539682539648</v>
      </c>
      <c r="F1224">
        <v>9.3377976190476168</v>
      </c>
      <c r="G1224">
        <v>88.169642857142861</v>
      </c>
      <c r="H1224">
        <v>84.00297619047619</v>
      </c>
      <c r="I1224">
        <v>0</v>
      </c>
      <c r="J1224">
        <v>0</v>
      </c>
      <c r="K1224">
        <v>0</v>
      </c>
      <c r="L1224">
        <v>1</v>
      </c>
      <c r="M1224">
        <v>1</v>
      </c>
      <c r="N1224">
        <v>57</v>
      </c>
      <c r="O1224">
        <v>36000</v>
      </c>
      <c r="P1224">
        <v>1</v>
      </c>
      <c r="Q1224">
        <v>2</v>
      </c>
      <c r="R1224">
        <v>3</v>
      </c>
      <c r="S1224">
        <v>3</v>
      </c>
      <c r="T1224" s="123">
        <f t="shared" si="97"/>
        <v>0</v>
      </c>
      <c r="U1224">
        <f t="shared" si="98"/>
        <v>0</v>
      </c>
      <c r="V1224">
        <f t="shared" si="99"/>
        <v>0</v>
      </c>
      <c r="W1224">
        <f t="shared" si="100"/>
        <v>0</v>
      </c>
      <c r="X1224">
        <f t="shared" si="101"/>
        <v>0</v>
      </c>
    </row>
    <row r="1225" spans="1:24">
      <c r="A1225" t="s">
        <v>262</v>
      </c>
      <c r="B1225">
        <v>5</v>
      </c>
      <c r="C1225">
        <v>1</v>
      </c>
      <c r="D1225">
        <v>4.3774801587301573</v>
      </c>
      <c r="E1225">
        <v>11.40873015873016</v>
      </c>
      <c r="F1225">
        <v>1.3268849206349189</v>
      </c>
      <c r="G1225">
        <v>94.022817460317469</v>
      </c>
      <c r="H1225">
        <v>0.57043650793650591</v>
      </c>
      <c r="I1225">
        <v>0</v>
      </c>
      <c r="J1225">
        <v>0</v>
      </c>
      <c r="K1225">
        <v>0</v>
      </c>
      <c r="L1225">
        <v>1</v>
      </c>
      <c r="M1225">
        <v>1</v>
      </c>
      <c r="N1225">
        <v>57</v>
      </c>
      <c r="O1225">
        <v>36000</v>
      </c>
      <c r="P1225">
        <v>1</v>
      </c>
      <c r="Q1225">
        <v>2</v>
      </c>
      <c r="R1225">
        <v>3</v>
      </c>
      <c r="S1225">
        <v>3</v>
      </c>
      <c r="T1225" s="123">
        <f t="shared" si="97"/>
        <v>0</v>
      </c>
      <c r="U1225">
        <f t="shared" si="98"/>
        <v>0</v>
      </c>
      <c r="V1225">
        <f t="shared" si="99"/>
        <v>0</v>
      </c>
      <c r="W1225">
        <f t="shared" si="100"/>
        <v>0</v>
      </c>
      <c r="X1225">
        <f t="shared" si="101"/>
        <v>0</v>
      </c>
    </row>
    <row r="1226" spans="1:24">
      <c r="A1226" t="s">
        <v>262</v>
      </c>
      <c r="B1226">
        <v>6</v>
      </c>
      <c r="C1226">
        <v>1</v>
      </c>
      <c r="D1226">
        <v>6.7460317460317443</v>
      </c>
      <c r="E1226">
        <v>7.7132936507936511</v>
      </c>
      <c r="F1226">
        <v>7.5396825396825404</v>
      </c>
      <c r="G1226">
        <v>79.637896825396822</v>
      </c>
      <c r="H1226">
        <v>8.0357142857142847</v>
      </c>
      <c r="I1226">
        <v>0</v>
      </c>
      <c r="J1226">
        <v>0</v>
      </c>
      <c r="K1226">
        <v>0</v>
      </c>
      <c r="L1226">
        <v>1</v>
      </c>
      <c r="M1226">
        <v>1</v>
      </c>
      <c r="N1226">
        <v>57</v>
      </c>
      <c r="O1226">
        <v>36000</v>
      </c>
      <c r="P1226">
        <v>1</v>
      </c>
      <c r="Q1226">
        <v>2</v>
      </c>
      <c r="R1226">
        <v>3</v>
      </c>
      <c r="S1226">
        <v>3</v>
      </c>
      <c r="T1226" s="123">
        <f t="shared" si="97"/>
        <v>0</v>
      </c>
      <c r="U1226">
        <f t="shared" si="98"/>
        <v>0</v>
      </c>
      <c r="V1226">
        <f t="shared" si="99"/>
        <v>0</v>
      </c>
      <c r="W1226">
        <f t="shared" si="100"/>
        <v>0</v>
      </c>
      <c r="X1226">
        <f t="shared" si="101"/>
        <v>0</v>
      </c>
    </row>
    <row r="1227" spans="1:24">
      <c r="A1227" t="s">
        <v>262</v>
      </c>
      <c r="B1227">
        <v>7</v>
      </c>
      <c r="C1227">
        <v>1</v>
      </c>
      <c r="D1227">
        <v>7.3164682539682557</v>
      </c>
      <c r="E1227">
        <v>9.3377976190476168</v>
      </c>
      <c r="F1227">
        <v>2.5669642857142851</v>
      </c>
      <c r="G1227">
        <v>91.307043650793645</v>
      </c>
      <c r="H1227">
        <v>0</v>
      </c>
      <c r="I1227">
        <v>0</v>
      </c>
      <c r="J1227">
        <v>1</v>
      </c>
      <c r="K1227">
        <v>0</v>
      </c>
      <c r="L1227">
        <v>1</v>
      </c>
      <c r="M1227">
        <v>1</v>
      </c>
      <c r="N1227">
        <v>57</v>
      </c>
      <c r="O1227">
        <v>36000</v>
      </c>
      <c r="P1227">
        <v>1</v>
      </c>
      <c r="Q1227">
        <v>2</v>
      </c>
      <c r="R1227">
        <v>3</v>
      </c>
      <c r="S1227">
        <v>3</v>
      </c>
      <c r="T1227" s="123">
        <f t="shared" si="97"/>
        <v>0</v>
      </c>
      <c r="U1227">
        <f t="shared" si="98"/>
        <v>0</v>
      </c>
      <c r="V1227">
        <f t="shared" si="99"/>
        <v>0</v>
      </c>
      <c r="W1227">
        <f t="shared" si="100"/>
        <v>0</v>
      </c>
      <c r="X1227">
        <f t="shared" si="101"/>
        <v>0</v>
      </c>
    </row>
    <row r="1228" spans="1:24">
      <c r="A1228" t="s">
        <v>263</v>
      </c>
      <c r="B1228">
        <v>1</v>
      </c>
      <c r="C1228">
        <v>1</v>
      </c>
      <c r="D1228">
        <v>100</v>
      </c>
      <c r="E1228">
        <v>50</v>
      </c>
      <c r="F1228">
        <v>21.618852459016392</v>
      </c>
      <c r="G1228">
        <v>0</v>
      </c>
      <c r="H1228">
        <v>100</v>
      </c>
      <c r="I1228">
        <v>1</v>
      </c>
      <c r="J1228">
        <v>0</v>
      </c>
      <c r="K1228">
        <v>1</v>
      </c>
      <c r="L1228">
        <v>1</v>
      </c>
      <c r="M1228">
        <v>1</v>
      </c>
      <c r="N1228">
        <v>37</v>
      </c>
      <c r="O1228">
        <v>65000</v>
      </c>
      <c r="P1228">
        <v>5</v>
      </c>
      <c r="Q1228">
        <v>4</v>
      </c>
      <c r="R1228">
        <v>3</v>
      </c>
      <c r="S1228">
        <v>4</v>
      </c>
      <c r="T1228" s="123">
        <f t="shared" si="97"/>
        <v>0</v>
      </c>
      <c r="U1228">
        <f t="shared" si="98"/>
        <v>1</v>
      </c>
      <c r="V1228">
        <f t="shared" si="99"/>
        <v>1</v>
      </c>
      <c r="W1228">
        <f t="shared" si="100"/>
        <v>0</v>
      </c>
      <c r="X1228">
        <f t="shared" si="101"/>
        <v>1</v>
      </c>
    </row>
    <row r="1229" spans="1:24">
      <c r="A1229" t="s">
        <v>263</v>
      </c>
      <c r="B1229">
        <v>2</v>
      </c>
      <c r="C1229">
        <v>1</v>
      </c>
      <c r="D1229">
        <v>100</v>
      </c>
      <c r="E1229">
        <v>100</v>
      </c>
      <c r="F1229">
        <v>0</v>
      </c>
      <c r="G1229">
        <v>0</v>
      </c>
      <c r="H1229">
        <v>100</v>
      </c>
      <c r="I1229">
        <v>0</v>
      </c>
      <c r="J1229">
        <v>0</v>
      </c>
      <c r="K1229">
        <v>1</v>
      </c>
      <c r="L1229">
        <v>1</v>
      </c>
      <c r="M1229">
        <v>1</v>
      </c>
      <c r="N1229">
        <v>37</v>
      </c>
      <c r="O1229">
        <v>65000</v>
      </c>
      <c r="P1229">
        <v>5</v>
      </c>
      <c r="Q1229">
        <v>4</v>
      </c>
      <c r="R1229">
        <v>3</v>
      </c>
      <c r="S1229">
        <v>4</v>
      </c>
      <c r="T1229" s="123">
        <f t="shared" si="97"/>
        <v>0</v>
      </c>
      <c r="U1229">
        <f t="shared" si="98"/>
        <v>1</v>
      </c>
      <c r="V1229">
        <f t="shared" si="99"/>
        <v>1</v>
      </c>
      <c r="W1229">
        <f t="shared" si="100"/>
        <v>0</v>
      </c>
      <c r="X1229">
        <f t="shared" si="101"/>
        <v>1</v>
      </c>
    </row>
    <row r="1230" spans="1:24">
      <c r="A1230" t="s">
        <v>263</v>
      </c>
      <c r="B1230">
        <v>3</v>
      </c>
      <c r="C1230">
        <v>1</v>
      </c>
      <c r="D1230">
        <v>100</v>
      </c>
      <c r="E1230">
        <v>100</v>
      </c>
      <c r="F1230">
        <v>0</v>
      </c>
      <c r="G1230">
        <v>100</v>
      </c>
      <c r="H1230">
        <v>0</v>
      </c>
      <c r="I1230">
        <v>0</v>
      </c>
      <c r="J1230">
        <v>0</v>
      </c>
      <c r="K1230">
        <v>1</v>
      </c>
      <c r="L1230">
        <v>1</v>
      </c>
      <c r="M1230">
        <v>1</v>
      </c>
      <c r="N1230">
        <v>37</v>
      </c>
      <c r="O1230">
        <v>65000</v>
      </c>
      <c r="P1230">
        <v>5</v>
      </c>
      <c r="Q1230">
        <v>4</v>
      </c>
      <c r="R1230">
        <v>3</v>
      </c>
      <c r="S1230">
        <v>4</v>
      </c>
      <c r="T1230" s="123">
        <f t="shared" si="97"/>
        <v>0</v>
      </c>
      <c r="U1230">
        <f t="shared" si="98"/>
        <v>1</v>
      </c>
      <c r="V1230">
        <f t="shared" si="99"/>
        <v>1</v>
      </c>
      <c r="W1230">
        <f t="shared" si="100"/>
        <v>0</v>
      </c>
      <c r="X1230">
        <f t="shared" si="101"/>
        <v>1</v>
      </c>
    </row>
    <row r="1231" spans="1:24">
      <c r="A1231" t="s">
        <v>263</v>
      </c>
      <c r="B1231">
        <v>4</v>
      </c>
      <c r="C1231">
        <v>1</v>
      </c>
      <c r="D1231">
        <v>0</v>
      </c>
      <c r="E1231">
        <v>100</v>
      </c>
      <c r="F1231">
        <v>0</v>
      </c>
      <c r="G1231">
        <v>100</v>
      </c>
      <c r="H1231">
        <v>100</v>
      </c>
      <c r="I1231">
        <v>0</v>
      </c>
      <c r="J1231">
        <v>0</v>
      </c>
      <c r="K1231">
        <v>0</v>
      </c>
      <c r="L1231">
        <v>1</v>
      </c>
      <c r="M1231">
        <v>1</v>
      </c>
      <c r="N1231">
        <v>37</v>
      </c>
      <c r="O1231">
        <v>65000</v>
      </c>
      <c r="P1231">
        <v>5</v>
      </c>
      <c r="Q1231">
        <v>4</v>
      </c>
      <c r="R1231">
        <v>3</v>
      </c>
      <c r="S1231">
        <v>4</v>
      </c>
      <c r="T1231" s="123">
        <f t="shared" si="97"/>
        <v>0</v>
      </c>
      <c r="U1231">
        <f t="shared" si="98"/>
        <v>1</v>
      </c>
      <c r="V1231">
        <f t="shared" si="99"/>
        <v>1</v>
      </c>
      <c r="W1231">
        <f t="shared" si="100"/>
        <v>0</v>
      </c>
      <c r="X1231">
        <f t="shared" si="101"/>
        <v>1</v>
      </c>
    </row>
    <row r="1232" spans="1:24">
      <c r="A1232" t="s">
        <v>263</v>
      </c>
      <c r="B1232">
        <v>5</v>
      </c>
      <c r="C1232">
        <v>1</v>
      </c>
      <c r="D1232">
        <v>100</v>
      </c>
      <c r="E1232">
        <v>100</v>
      </c>
      <c r="F1232">
        <v>100</v>
      </c>
      <c r="G1232">
        <v>0</v>
      </c>
      <c r="H1232">
        <v>0</v>
      </c>
      <c r="I1232">
        <v>0</v>
      </c>
      <c r="J1232">
        <v>0</v>
      </c>
      <c r="K1232">
        <v>1</v>
      </c>
      <c r="L1232">
        <v>1</v>
      </c>
      <c r="M1232">
        <v>1</v>
      </c>
      <c r="N1232">
        <v>37</v>
      </c>
      <c r="O1232">
        <v>65000</v>
      </c>
      <c r="P1232">
        <v>5</v>
      </c>
      <c r="Q1232">
        <v>4</v>
      </c>
      <c r="R1232">
        <v>3</v>
      </c>
      <c r="S1232">
        <v>4</v>
      </c>
      <c r="T1232" s="123">
        <f t="shared" si="97"/>
        <v>0</v>
      </c>
      <c r="U1232">
        <f t="shared" si="98"/>
        <v>1</v>
      </c>
      <c r="V1232">
        <f t="shared" si="99"/>
        <v>1</v>
      </c>
      <c r="W1232">
        <f t="shared" si="100"/>
        <v>0</v>
      </c>
      <c r="X1232">
        <f t="shared" si="101"/>
        <v>1</v>
      </c>
    </row>
    <row r="1233" spans="1:24">
      <c r="A1233" t="s">
        <v>263</v>
      </c>
      <c r="B1233">
        <v>6</v>
      </c>
      <c r="C1233">
        <v>1</v>
      </c>
      <c r="D1233">
        <v>100</v>
      </c>
      <c r="E1233">
        <v>0</v>
      </c>
      <c r="F1233">
        <v>0</v>
      </c>
      <c r="G1233">
        <v>100</v>
      </c>
      <c r="H1233">
        <v>0</v>
      </c>
      <c r="I1233">
        <v>0</v>
      </c>
      <c r="J1233">
        <v>0</v>
      </c>
      <c r="K1233">
        <v>1</v>
      </c>
      <c r="L1233">
        <v>1</v>
      </c>
      <c r="M1233">
        <v>1</v>
      </c>
      <c r="N1233">
        <v>37</v>
      </c>
      <c r="O1233">
        <v>65000</v>
      </c>
      <c r="P1233">
        <v>5</v>
      </c>
      <c r="Q1233">
        <v>4</v>
      </c>
      <c r="R1233">
        <v>3</v>
      </c>
      <c r="S1233">
        <v>4</v>
      </c>
      <c r="T1233" s="123">
        <f t="shared" si="97"/>
        <v>0</v>
      </c>
      <c r="U1233">
        <f t="shared" si="98"/>
        <v>1</v>
      </c>
      <c r="V1233">
        <f t="shared" si="99"/>
        <v>1</v>
      </c>
      <c r="W1233">
        <f t="shared" si="100"/>
        <v>0</v>
      </c>
      <c r="X1233">
        <f t="shared" si="101"/>
        <v>1</v>
      </c>
    </row>
    <row r="1234" spans="1:24">
      <c r="A1234" t="s">
        <v>263</v>
      </c>
      <c r="B1234">
        <v>7</v>
      </c>
      <c r="C1234">
        <v>1</v>
      </c>
      <c r="D1234">
        <v>0</v>
      </c>
      <c r="E1234">
        <v>100</v>
      </c>
      <c r="F1234">
        <v>100</v>
      </c>
      <c r="G1234">
        <v>0</v>
      </c>
      <c r="H1234">
        <v>100</v>
      </c>
      <c r="I1234">
        <v>0</v>
      </c>
      <c r="J1234">
        <v>1</v>
      </c>
      <c r="K1234">
        <v>0</v>
      </c>
      <c r="L1234">
        <v>1</v>
      </c>
      <c r="M1234">
        <v>1</v>
      </c>
      <c r="N1234">
        <v>37</v>
      </c>
      <c r="O1234">
        <v>65000</v>
      </c>
      <c r="P1234">
        <v>5</v>
      </c>
      <c r="Q1234">
        <v>4</v>
      </c>
      <c r="R1234">
        <v>3</v>
      </c>
      <c r="S1234">
        <v>4</v>
      </c>
      <c r="T1234" s="123">
        <f t="shared" si="97"/>
        <v>0</v>
      </c>
      <c r="U1234">
        <f t="shared" si="98"/>
        <v>1</v>
      </c>
      <c r="V1234">
        <f t="shared" si="99"/>
        <v>1</v>
      </c>
      <c r="W1234">
        <f t="shared" si="100"/>
        <v>0</v>
      </c>
      <c r="X1234">
        <f t="shared" si="101"/>
        <v>1</v>
      </c>
    </row>
    <row r="1235" spans="1:24" hidden="1">
      <c r="A1235" t="s">
        <v>264</v>
      </c>
      <c r="B1235">
        <v>1</v>
      </c>
      <c r="C1235">
        <v>1</v>
      </c>
      <c r="D1235">
        <v>100</v>
      </c>
      <c r="E1235">
        <v>100</v>
      </c>
      <c r="F1235">
        <v>18.757575757575761</v>
      </c>
      <c r="G1235">
        <v>50</v>
      </c>
      <c r="H1235">
        <v>0</v>
      </c>
      <c r="I1235">
        <v>1</v>
      </c>
      <c r="J1235">
        <v>0</v>
      </c>
      <c r="K1235">
        <v>1</v>
      </c>
      <c r="L1235">
        <v>1</v>
      </c>
      <c r="M1235">
        <v>1</v>
      </c>
      <c r="N1235">
        <v>29</v>
      </c>
      <c r="O1235">
        <v>85000</v>
      </c>
      <c r="P1235">
        <v>4</v>
      </c>
      <c r="Q1235">
        <v>4</v>
      </c>
      <c r="R1235">
        <v>3</v>
      </c>
      <c r="S1235">
        <v>4</v>
      </c>
      <c r="T1235" s="123">
        <f t="shared" si="97"/>
        <v>1</v>
      </c>
      <c r="U1235">
        <f t="shared" si="98"/>
        <v>1</v>
      </c>
      <c r="V1235">
        <f t="shared" si="99"/>
        <v>1</v>
      </c>
      <c r="W1235">
        <f t="shared" si="100"/>
        <v>0</v>
      </c>
      <c r="X1235">
        <f t="shared" si="101"/>
        <v>1</v>
      </c>
    </row>
    <row r="1236" spans="1:24">
      <c r="A1236" t="s">
        <v>264</v>
      </c>
      <c r="B1236">
        <v>2</v>
      </c>
      <c r="C1236">
        <v>1</v>
      </c>
      <c r="D1236">
        <v>100</v>
      </c>
      <c r="E1236">
        <v>100</v>
      </c>
      <c r="F1236">
        <v>0</v>
      </c>
      <c r="G1236">
        <v>100</v>
      </c>
      <c r="H1236">
        <v>0</v>
      </c>
      <c r="I1236">
        <v>0</v>
      </c>
      <c r="J1236">
        <v>0</v>
      </c>
      <c r="K1236">
        <v>1</v>
      </c>
      <c r="L1236">
        <v>1</v>
      </c>
      <c r="M1236">
        <v>1</v>
      </c>
      <c r="N1236">
        <v>29</v>
      </c>
      <c r="O1236">
        <v>85000</v>
      </c>
      <c r="P1236">
        <v>4</v>
      </c>
      <c r="Q1236">
        <v>4</v>
      </c>
      <c r="R1236">
        <v>3</v>
      </c>
      <c r="S1236">
        <v>4</v>
      </c>
      <c r="T1236" s="123">
        <f t="shared" si="97"/>
        <v>0</v>
      </c>
      <c r="U1236">
        <f t="shared" si="98"/>
        <v>1</v>
      </c>
      <c r="V1236">
        <f t="shared" si="99"/>
        <v>1</v>
      </c>
      <c r="W1236">
        <f t="shared" si="100"/>
        <v>0</v>
      </c>
      <c r="X1236">
        <f t="shared" si="101"/>
        <v>1</v>
      </c>
    </row>
    <row r="1237" spans="1:24">
      <c r="A1237" t="s">
        <v>264</v>
      </c>
      <c r="B1237">
        <v>3</v>
      </c>
      <c r="C1237">
        <v>1</v>
      </c>
      <c r="D1237">
        <v>100</v>
      </c>
      <c r="E1237">
        <v>0</v>
      </c>
      <c r="F1237">
        <v>100</v>
      </c>
      <c r="G1237">
        <v>0</v>
      </c>
      <c r="H1237">
        <v>100</v>
      </c>
      <c r="I1237">
        <v>0</v>
      </c>
      <c r="J1237">
        <v>0</v>
      </c>
      <c r="K1237">
        <v>1</v>
      </c>
      <c r="L1237">
        <v>1</v>
      </c>
      <c r="M1237">
        <v>1</v>
      </c>
      <c r="N1237">
        <v>29</v>
      </c>
      <c r="O1237">
        <v>85000</v>
      </c>
      <c r="P1237">
        <v>4</v>
      </c>
      <c r="Q1237">
        <v>4</v>
      </c>
      <c r="R1237">
        <v>3</v>
      </c>
      <c r="S1237">
        <v>4</v>
      </c>
      <c r="T1237" s="123">
        <f t="shared" si="97"/>
        <v>0</v>
      </c>
      <c r="U1237">
        <f t="shared" si="98"/>
        <v>1</v>
      </c>
      <c r="V1237">
        <f t="shared" si="99"/>
        <v>1</v>
      </c>
      <c r="W1237">
        <f t="shared" si="100"/>
        <v>0</v>
      </c>
      <c r="X1237">
        <f t="shared" si="101"/>
        <v>1</v>
      </c>
    </row>
    <row r="1238" spans="1:24">
      <c r="A1238" t="s">
        <v>264</v>
      </c>
      <c r="B1238">
        <v>4</v>
      </c>
      <c r="C1238">
        <v>1</v>
      </c>
      <c r="D1238">
        <v>100</v>
      </c>
      <c r="E1238">
        <v>0</v>
      </c>
      <c r="F1238">
        <v>0</v>
      </c>
      <c r="G1238">
        <v>100</v>
      </c>
      <c r="H1238">
        <v>0</v>
      </c>
      <c r="I1238">
        <v>0</v>
      </c>
      <c r="J1238">
        <v>0</v>
      </c>
      <c r="K1238">
        <v>1</v>
      </c>
      <c r="L1238">
        <v>1</v>
      </c>
      <c r="M1238">
        <v>1</v>
      </c>
      <c r="N1238">
        <v>29</v>
      </c>
      <c r="O1238">
        <v>85000</v>
      </c>
      <c r="P1238">
        <v>4</v>
      </c>
      <c r="Q1238">
        <v>4</v>
      </c>
      <c r="R1238">
        <v>3</v>
      </c>
      <c r="S1238">
        <v>4</v>
      </c>
      <c r="T1238" s="123">
        <f t="shared" si="97"/>
        <v>0</v>
      </c>
      <c r="U1238">
        <f t="shared" si="98"/>
        <v>1</v>
      </c>
      <c r="V1238">
        <f t="shared" si="99"/>
        <v>1</v>
      </c>
      <c r="W1238">
        <f t="shared" si="100"/>
        <v>0</v>
      </c>
      <c r="X1238">
        <f t="shared" si="101"/>
        <v>1</v>
      </c>
    </row>
    <row r="1239" spans="1:24">
      <c r="A1239" t="s">
        <v>264</v>
      </c>
      <c r="B1239">
        <v>5</v>
      </c>
      <c r="C1239">
        <v>1</v>
      </c>
      <c r="D1239">
        <v>0</v>
      </c>
      <c r="E1239">
        <v>100</v>
      </c>
      <c r="F1239">
        <v>0</v>
      </c>
      <c r="G1239">
        <v>100</v>
      </c>
      <c r="H1239">
        <v>100</v>
      </c>
      <c r="I1239">
        <v>0</v>
      </c>
      <c r="J1239">
        <v>0</v>
      </c>
      <c r="K1239">
        <v>0</v>
      </c>
      <c r="L1239">
        <v>1</v>
      </c>
      <c r="M1239">
        <v>1</v>
      </c>
      <c r="N1239">
        <v>29</v>
      </c>
      <c r="O1239">
        <v>85000</v>
      </c>
      <c r="P1239">
        <v>4</v>
      </c>
      <c r="Q1239">
        <v>4</v>
      </c>
      <c r="R1239">
        <v>3</v>
      </c>
      <c r="S1239">
        <v>4</v>
      </c>
      <c r="T1239" s="123">
        <f t="shared" si="97"/>
        <v>0</v>
      </c>
      <c r="U1239">
        <f t="shared" si="98"/>
        <v>1</v>
      </c>
      <c r="V1239">
        <f t="shared" si="99"/>
        <v>1</v>
      </c>
      <c r="W1239">
        <f t="shared" si="100"/>
        <v>0</v>
      </c>
      <c r="X1239">
        <f t="shared" si="101"/>
        <v>1</v>
      </c>
    </row>
    <row r="1240" spans="1:24">
      <c r="A1240" t="s">
        <v>264</v>
      </c>
      <c r="B1240">
        <v>6</v>
      </c>
      <c r="C1240">
        <v>1</v>
      </c>
      <c r="D1240">
        <v>100</v>
      </c>
      <c r="E1240">
        <v>0</v>
      </c>
      <c r="F1240">
        <v>100</v>
      </c>
      <c r="G1240">
        <v>100</v>
      </c>
      <c r="H1240">
        <v>0</v>
      </c>
      <c r="I1240">
        <v>0</v>
      </c>
      <c r="J1240">
        <v>0</v>
      </c>
      <c r="K1240">
        <v>1</v>
      </c>
      <c r="L1240">
        <v>1</v>
      </c>
      <c r="M1240">
        <v>1</v>
      </c>
      <c r="N1240">
        <v>29</v>
      </c>
      <c r="O1240">
        <v>85000</v>
      </c>
      <c r="P1240">
        <v>4</v>
      </c>
      <c r="Q1240">
        <v>4</v>
      </c>
      <c r="R1240">
        <v>3</v>
      </c>
      <c r="S1240">
        <v>4</v>
      </c>
      <c r="T1240" s="123">
        <f t="shared" si="97"/>
        <v>0</v>
      </c>
      <c r="U1240">
        <f t="shared" si="98"/>
        <v>1</v>
      </c>
      <c r="V1240">
        <f t="shared" si="99"/>
        <v>1</v>
      </c>
      <c r="W1240">
        <f t="shared" si="100"/>
        <v>0</v>
      </c>
      <c r="X1240">
        <f t="shared" si="101"/>
        <v>1</v>
      </c>
    </row>
    <row r="1241" spans="1:24">
      <c r="A1241" t="s">
        <v>264</v>
      </c>
      <c r="B1241">
        <v>7</v>
      </c>
      <c r="C1241">
        <v>1</v>
      </c>
      <c r="D1241">
        <v>0</v>
      </c>
      <c r="E1241">
        <v>0</v>
      </c>
      <c r="F1241">
        <v>100</v>
      </c>
      <c r="G1241">
        <v>100</v>
      </c>
      <c r="H1241">
        <v>100</v>
      </c>
      <c r="I1241">
        <v>0</v>
      </c>
      <c r="J1241">
        <v>1</v>
      </c>
      <c r="K1241">
        <v>0</v>
      </c>
      <c r="L1241">
        <v>1</v>
      </c>
      <c r="M1241">
        <v>1</v>
      </c>
      <c r="N1241">
        <v>29</v>
      </c>
      <c r="O1241">
        <v>85000</v>
      </c>
      <c r="P1241">
        <v>4</v>
      </c>
      <c r="Q1241">
        <v>4</v>
      </c>
      <c r="R1241">
        <v>3</v>
      </c>
      <c r="S1241">
        <v>4</v>
      </c>
      <c r="T1241" s="123">
        <f t="shared" si="97"/>
        <v>0</v>
      </c>
      <c r="U1241">
        <f t="shared" si="98"/>
        <v>1</v>
      </c>
      <c r="V1241">
        <f t="shared" si="99"/>
        <v>1</v>
      </c>
      <c r="W1241">
        <f t="shared" si="100"/>
        <v>0</v>
      </c>
      <c r="X1241">
        <f t="shared" si="101"/>
        <v>1</v>
      </c>
    </row>
    <row r="1242" spans="1:24">
      <c r="A1242" t="s">
        <v>265</v>
      </c>
      <c r="B1242">
        <v>1</v>
      </c>
      <c r="C1242">
        <v>1</v>
      </c>
      <c r="D1242">
        <v>100</v>
      </c>
      <c r="E1242">
        <v>100</v>
      </c>
      <c r="F1242">
        <v>0</v>
      </c>
      <c r="G1242">
        <v>0</v>
      </c>
      <c r="H1242">
        <v>100</v>
      </c>
      <c r="I1242">
        <v>1</v>
      </c>
      <c r="J1242">
        <v>0</v>
      </c>
      <c r="K1242">
        <v>1</v>
      </c>
      <c r="L1242">
        <v>1</v>
      </c>
      <c r="M1242">
        <v>0</v>
      </c>
      <c r="N1242">
        <v>29</v>
      </c>
      <c r="O1242">
        <v>150000</v>
      </c>
      <c r="P1242">
        <v>5</v>
      </c>
      <c r="Q1242">
        <v>2</v>
      </c>
      <c r="R1242">
        <v>2</v>
      </c>
      <c r="S1242">
        <v>4</v>
      </c>
      <c r="T1242" s="123">
        <f t="shared" si="97"/>
        <v>0</v>
      </c>
      <c r="U1242">
        <f t="shared" si="98"/>
        <v>1</v>
      </c>
      <c r="V1242">
        <f t="shared" si="99"/>
        <v>0</v>
      </c>
      <c r="W1242">
        <f t="shared" si="100"/>
        <v>0</v>
      </c>
      <c r="X1242">
        <f t="shared" si="101"/>
        <v>1</v>
      </c>
    </row>
    <row r="1243" spans="1:24">
      <c r="A1243" t="s">
        <v>265</v>
      </c>
      <c r="B1243">
        <v>2</v>
      </c>
      <c r="C1243">
        <v>1</v>
      </c>
      <c r="D1243">
        <v>0</v>
      </c>
      <c r="E1243">
        <v>100</v>
      </c>
      <c r="F1243">
        <v>0</v>
      </c>
      <c r="G1243">
        <v>100</v>
      </c>
      <c r="H1243">
        <v>100</v>
      </c>
      <c r="I1243">
        <v>0</v>
      </c>
      <c r="J1243">
        <v>0</v>
      </c>
      <c r="K1243">
        <v>0</v>
      </c>
      <c r="L1243">
        <v>1</v>
      </c>
      <c r="M1243">
        <v>0</v>
      </c>
      <c r="N1243">
        <v>29</v>
      </c>
      <c r="O1243">
        <v>150000</v>
      </c>
      <c r="P1243">
        <v>5</v>
      </c>
      <c r="Q1243">
        <v>2</v>
      </c>
      <c r="R1243">
        <v>2</v>
      </c>
      <c r="S1243">
        <v>4</v>
      </c>
      <c r="T1243" s="123">
        <f t="shared" si="97"/>
        <v>0</v>
      </c>
      <c r="U1243">
        <f t="shared" si="98"/>
        <v>1</v>
      </c>
      <c r="V1243">
        <f t="shared" si="99"/>
        <v>0</v>
      </c>
      <c r="W1243">
        <f t="shared" si="100"/>
        <v>0</v>
      </c>
      <c r="X1243">
        <f t="shared" si="101"/>
        <v>1</v>
      </c>
    </row>
    <row r="1244" spans="1:24">
      <c r="A1244" t="s">
        <v>265</v>
      </c>
      <c r="B1244">
        <v>3</v>
      </c>
      <c r="C1244">
        <v>1</v>
      </c>
      <c r="D1244">
        <v>100</v>
      </c>
      <c r="E1244">
        <v>100</v>
      </c>
      <c r="F1244">
        <v>100</v>
      </c>
      <c r="G1244">
        <v>0</v>
      </c>
      <c r="H1244">
        <v>0</v>
      </c>
      <c r="I1244">
        <v>0</v>
      </c>
      <c r="J1244">
        <v>0</v>
      </c>
      <c r="K1244">
        <v>1</v>
      </c>
      <c r="L1244">
        <v>1</v>
      </c>
      <c r="M1244">
        <v>0</v>
      </c>
      <c r="N1244">
        <v>29</v>
      </c>
      <c r="O1244">
        <v>150000</v>
      </c>
      <c r="P1244">
        <v>5</v>
      </c>
      <c r="Q1244">
        <v>2</v>
      </c>
      <c r="R1244">
        <v>2</v>
      </c>
      <c r="S1244">
        <v>4</v>
      </c>
      <c r="T1244" s="123">
        <f t="shared" si="97"/>
        <v>0</v>
      </c>
      <c r="U1244">
        <f t="shared" si="98"/>
        <v>1</v>
      </c>
      <c r="V1244">
        <f t="shared" si="99"/>
        <v>0</v>
      </c>
      <c r="W1244">
        <f t="shared" si="100"/>
        <v>0</v>
      </c>
      <c r="X1244">
        <f t="shared" si="101"/>
        <v>1</v>
      </c>
    </row>
    <row r="1245" spans="1:24">
      <c r="A1245" t="s">
        <v>265</v>
      </c>
      <c r="B1245">
        <v>4</v>
      </c>
      <c r="C1245">
        <v>1</v>
      </c>
      <c r="D1245">
        <v>50</v>
      </c>
      <c r="E1245">
        <v>100</v>
      </c>
      <c r="F1245">
        <v>0</v>
      </c>
      <c r="G1245">
        <v>100</v>
      </c>
      <c r="H1245">
        <v>17.09574468085107</v>
      </c>
      <c r="I1245">
        <v>0</v>
      </c>
      <c r="J1245">
        <v>0</v>
      </c>
      <c r="K1245">
        <v>1</v>
      </c>
      <c r="L1245">
        <v>1</v>
      </c>
      <c r="M1245">
        <v>0</v>
      </c>
      <c r="N1245">
        <v>29</v>
      </c>
      <c r="O1245">
        <v>150000</v>
      </c>
      <c r="P1245">
        <v>5</v>
      </c>
      <c r="Q1245">
        <v>2</v>
      </c>
      <c r="R1245">
        <v>2</v>
      </c>
      <c r="S1245">
        <v>4</v>
      </c>
      <c r="T1245" s="123">
        <f t="shared" si="97"/>
        <v>0</v>
      </c>
      <c r="U1245">
        <f t="shared" si="98"/>
        <v>1</v>
      </c>
      <c r="V1245">
        <f t="shared" si="99"/>
        <v>0</v>
      </c>
      <c r="W1245">
        <f t="shared" si="100"/>
        <v>0</v>
      </c>
      <c r="X1245">
        <f t="shared" si="101"/>
        <v>1</v>
      </c>
    </row>
    <row r="1246" spans="1:24" hidden="1">
      <c r="A1246" t="s">
        <v>265</v>
      </c>
      <c r="B1246">
        <v>5</v>
      </c>
      <c r="C1246">
        <v>1</v>
      </c>
      <c r="D1246">
        <v>0</v>
      </c>
      <c r="E1246">
        <v>100</v>
      </c>
      <c r="F1246">
        <v>100</v>
      </c>
      <c r="G1246">
        <v>100</v>
      </c>
      <c r="H1246">
        <v>0</v>
      </c>
      <c r="I1246">
        <v>0</v>
      </c>
      <c r="J1246">
        <v>0</v>
      </c>
      <c r="K1246">
        <v>0</v>
      </c>
      <c r="L1246">
        <v>1</v>
      </c>
      <c r="M1246">
        <v>0</v>
      </c>
      <c r="N1246">
        <v>29</v>
      </c>
      <c r="O1246">
        <v>150000</v>
      </c>
      <c r="P1246">
        <v>5</v>
      </c>
      <c r="Q1246">
        <v>2</v>
      </c>
      <c r="R1246">
        <v>2</v>
      </c>
      <c r="S1246">
        <v>4</v>
      </c>
      <c r="T1246" s="123">
        <f t="shared" si="97"/>
        <v>1</v>
      </c>
      <c r="U1246">
        <f t="shared" si="98"/>
        <v>1</v>
      </c>
      <c r="V1246">
        <f t="shared" si="99"/>
        <v>0</v>
      </c>
      <c r="W1246">
        <f t="shared" si="100"/>
        <v>0</v>
      </c>
      <c r="X1246">
        <f t="shared" si="101"/>
        <v>1</v>
      </c>
    </row>
    <row r="1247" spans="1:24">
      <c r="A1247" t="s">
        <v>265</v>
      </c>
      <c r="B1247">
        <v>6</v>
      </c>
      <c r="C1247">
        <v>1</v>
      </c>
      <c r="D1247">
        <v>100</v>
      </c>
      <c r="E1247">
        <v>100</v>
      </c>
      <c r="F1247">
        <v>0</v>
      </c>
      <c r="G1247">
        <v>0</v>
      </c>
      <c r="H1247">
        <v>100</v>
      </c>
      <c r="I1247">
        <v>0</v>
      </c>
      <c r="J1247">
        <v>0</v>
      </c>
      <c r="K1247">
        <v>1</v>
      </c>
      <c r="L1247">
        <v>1</v>
      </c>
      <c r="M1247">
        <v>0</v>
      </c>
      <c r="N1247">
        <v>29</v>
      </c>
      <c r="O1247">
        <v>150000</v>
      </c>
      <c r="P1247">
        <v>5</v>
      </c>
      <c r="Q1247">
        <v>2</v>
      </c>
      <c r="R1247">
        <v>2</v>
      </c>
      <c r="S1247">
        <v>4</v>
      </c>
      <c r="T1247" s="123">
        <f t="shared" si="97"/>
        <v>0</v>
      </c>
      <c r="U1247">
        <f t="shared" si="98"/>
        <v>1</v>
      </c>
      <c r="V1247">
        <f t="shared" si="99"/>
        <v>0</v>
      </c>
      <c r="W1247">
        <f t="shared" si="100"/>
        <v>0</v>
      </c>
      <c r="X1247">
        <f t="shared" si="101"/>
        <v>1</v>
      </c>
    </row>
    <row r="1248" spans="1:24">
      <c r="A1248" t="s">
        <v>265</v>
      </c>
      <c r="B1248">
        <v>7</v>
      </c>
      <c r="C1248">
        <v>1</v>
      </c>
      <c r="D1248">
        <v>0</v>
      </c>
      <c r="E1248">
        <v>0</v>
      </c>
      <c r="F1248">
        <v>100</v>
      </c>
      <c r="G1248">
        <v>0</v>
      </c>
      <c r="H1248">
        <v>100</v>
      </c>
      <c r="I1248">
        <v>0</v>
      </c>
      <c r="J1248">
        <v>1</v>
      </c>
      <c r="K1248">
        <v>0</v>
      </c>
      <c r="L1248">
        <v>1</v>
      </c>
      <c r="M1248">
        <v>0</v>
      </c>
      <c r="N1248">
        <v>29</v>
      </c>
      <c r="O1248">
        <v>150000</v>
      </c>
      <c r="P1248">
        <v>5</v>
      </c>
      <c r="Q1248">
        <v>2</v>
      </c>
      <c r="R1248">
        <v>2</v>
      </c>
      <c r="S1248">
        <v>4</v>
      </c>
      <c r="T1248" s="123">
        <f t="shared" si="97"/>
        <v>0</v>
      </c>
      <c r="U1248">
        <f t="shared" si="98"/>
        <v>1</v>
      </c>
      <c r="V1248">
        <f t="shared" si="99"/>
        <v>0</v>
      </c>
      <c r="W1248">
        <f t="shared" si="100"/>
        <v>0</v>
      </c>
      <c r="X1248">
        <f t="shared" si="101"/>
        <v>1</v>
      </c>
    </row>
    <row r="1249" spans="1:24">
      <c r="A1249" t="s">
        <v>266</v>
      </c>
      <c r="B1249">
        <v>1</v>
      </c>
      <c r="C1249">
        <v>1</v>
      </c>
      <c r="D1249">
        <v>0</v>
      </c>
      <c r="E1249">
        <v>100</v>
      </c>
      <c r="F1249">
        <v>0</v>
      </c>
      <c r="G1249">
        <v>100</v>
      </c>
      <c r="H1249">
        <v>100</v>
      </c>
      <c r="I1249">
        <v>1</v>
      </c>
      <c r="J1249">
        <v>0</v>
      </c>
      <c r="K1249">
        <v>0</v>
      </c>
      <c r="L1249">
        <v>1</v>
      </c>
      <c r="M1249">
        <v>1</v>
      </c>
      <c r="N1249">
        <v>29</v>
      </c>
      <c r="O1249">
        <v>170000</v>
      </c>
      <c r="P1249">
        <v>4</v>
      </c>
      <c r="Q1249">
        <v>5</v>
      </c>
      <c r="R1249">
        <v>4</v>
      </c>
      <c r="S1249">
        <v>4</v>
      </c>
      <c r="T1249" s="123">
        <f t="shared" si="97"/>
        <v>0</v>
      </c>
      <c r="U1249">
        <f t="shared" si="98"/>
        <v>1</v>
      </c>
      <c r="V1249">
        <f t="shared" si="99"/>
        <v>1</v>
      </c>
      <c r="W1249">
        <f t="shared" si="100"/>
        <v>1</v>
      </c>
      <c r="X1249">
        <f t="shared" si="101"/>
        <v>1</v>
      </c>
    </row>
    <row r="1250" spans="1:24" hidden="1">
      <c r="A1250" t="s">
        <v>266</v>
      </c>
      <c r="B1250">
        <v>2</v>
      </c>
      <c r="C1250">
        <v>1</v>
      </c>
      <c r="D1250">
        <v>100</v>
      </c>
      <c r="E1250">
        <v>16.446808510638299</v>
      </c>
      <c r="F1250">
        <v>100</v>
      </c>
      <c r="G1250">
        <v>50</v>
      </c>
      <c r="H1250">
        <v>0</v>
      </c>
      <c r="I1250">
        <v>0</v>
      </c>
      <c r="J1250">
        <v>0</v>
      </c>
      <c r="K1250">
        <v>1</v>
      </c>
      <c r="L1250">
        <v>1</v>
      </c>
      <c r="M1250">
        <v>1</v>
      </c>
      <c r="N1250">
        <v>29</v>
      </c>
      <c r="O1250">
        <v>170000</v>
      </c>
      <c r="P1250">
        <v>4</v>
      </c>
      <c r="Q1250">
        <v>5</v>
      </c>
      <c r="R1250">
        <v>4</v>
      </c>
      <c r="S1250">
        <v>4</v>
      </c>
      <c r="T1250" s="123">
        <f t="shared" si="97"/>
        <v>1</v>
      </c>
      <c r="U1250">
        <f t="shared" si="98"/>
        <v>1</v>
      </c>
      <c r="V1250">
        <f t="shared" si="99"/>
        <v>1</v>
      </c>
      <c r="W1250">
        <f t="shared" si="100"/>
        <v>1</v>
      </c>
      <c r="X1250">
        <f t="shared" si="101"/>
        <v>1</v>
      </c>
    </row>
    <row r="1251" spans="1:24">
      <c r="A1251" t="s">
        <v>266</v>
      </c>
      <c r="B1251">
        <v>3</v>
      </c>
      <c r="C1251">
        <v>1</v>
      </c>
      <c r="D1251">
        <v>100</v>
      </c>
      <c r="E1251">
        <v>0</v>
      </c>
      <c r="F1251">
        <v>0</v>
      </c>
      <c r="G1251">
        <v>100</v>
      </c>
      <c r="H1251">
        <v>100</v>
      </c>
      <c r="I1251">
        <v>0</v>
      </c>
      <c r="J1251">
        <v>0</v>
      </c>
      <c r="K1251">
        <v>1</v>
      </c>
      <c r="L1251">
        <v>1</v>
      </c>
      <c r="M1251">
        <v>1</v>
      </c>
      <c r="N1251">
        <v>29</v>
      </c>
      <c r="O1251">
        <v>170000</v>
      </c>
      <c r="P1251">
        <v>4</v>
      </c>
      <c r="Q1251">
        <v>5</v>
      </c>
      <c r="R1251">
        <v>4</v>
      </c>
      <c r="S1251">
        <v>4</v>
      </c>
      <c r="T1251" s="123">
        <f t="shared" si="97"/>
        <v>0</v>
      </c>
      <c r="U1251">
        <f t="shared" si="98"/>
        <v>1</v>
      </c>
      <c r="V1251">
        <f t="shared" si="99"/>
        <v>1</v>
      </c>
      <c r="W1251">
        <f t="shared" si="100"/>
        <v>1</v>
      </c>
      <c r="X1251">
        <f t="shared" si="101"/>
        <v>1</v>
      </c>
    </row>
    <row r="1252" spans="1:24" hidden="1">
      <c r="A1252" t="s">
        <v>266</v>
      </c>
      <c r="B1252">
        <v>4</v>
      </c>
      <c r="C1252">
        <v>1</v>
      </c>
      <c r="D1252">
        <v>0</v>
      </c>
      <c r="E1252">
        <v>100</v>
      </c>
      <c r="F1252">
        <v>100</v>
      </c>
      <c r="G1252">
        <v>100</v>
      </c>
      <c r="H1252">
        <v>0</v>
      </c>
      <c r="I1252">
        <v>0</v>
      </c>
      <c r="J1252">
        <v>0</v>
      </c>
      <c r="K1252">
        <v>0</v>
      </c>
      <c r="L1252">
        <v>1</v>
      </c>
      <c r="M1252">
        <v>1</v>
      </c>
      <c r="N1252">
        <v>29</v>
      </c>
      <c r="O1252">
        <v>170000</v>
      </c>
      <c r="P1252">
        <v>4</v>
      </c>
      <c r="Q1252">
        <v>5</v>
      </c>
      <c r="R1252">
        <v>4</v>
      </c>
      <c r="S1252">
        <v>4</v>
      </c>
      <c r="T1252" s="123">
        <f t="shared" si="97"/>
        <v>1</v>
      </c>
      <c r="U1252">
        <f t="shared" si="98"/>
        <v>1</v>
      </c>
      <c r="V1252">
        <f t="shared" si="99"/>
        <v>1</v>
      </c>
      <c r="W1252">
        <f t="shared" si="100"/>
        <v>1</v>
      </c>
      <c r="X1252">
        <f t="shared" si="101"/>
        <v>1</v>
      </c>
    </row>
    <row r="1253" spans="1:24" hidden="1">
      <c r="A1253" t="s">
        <v>266</v>
      </c>
      <c r="B1253">
        <v>5</v>
      </c>
      <c r="C1253">
        <v>1</v>
      </c>
      <c r="D1253">
        <v>0</v>
      </c>
      <c r="E1253">
        <v>100</v>
      </c>
      <c r="F1253">
        <v>100</v>
      </c>
      <c r="G1253">
        <v>100</v>
      </c>
      <c r="H1253">
        <v>0</v>
      </c>
      <c r="I1253">
        <v>0</v>
      </c>
      <c r="J1253">
        <v>0</v>
      </c>
      <c r="K1253">
        <v>0</v>
      </c>
      <c r="L1253">
        <v>1</v>
      </c>
      <c r="M1253">
        <v>1</v>
      </c>
      <c r="N1253">
        <v>29</v>
      </c>
      <c r="O1253">
        <v>170000</v>
      </c>
      <c r="P1253">
        <v>4</v>
      </c>
      <c r="Q1253">
        <v>5</v>
      </c>
      <c r="R1253">
        <v>4</v>
      </c>
      <c r="S1253">
        <v>4</v>
      </c>
      <c r="T1253" s="123">
        <f t="shared" si="97"/>
        <v>1</v>
      </c>
      <c r="U1253">
        <f t="shared" si="98"/>
        <v>1</v>
      </c>
      <c r="V1253">
        <f t="shared" si="99"/>
        <v>1</v>
      </c>
      <c r="W1253">
        <f t="shared" si="100"/>
        <v>1</v>
      </c>
      <c r="X1253">
        <f t="shared" si="101"/>
        <v>1</v>
      </c>
    </row>
    <row r="1254" spans="1:24">
      <c r="A1254" t="s">
        <v>266</v>
      </c>
      <c r="B1254">
        <v>6</v>
      </c>
      <c r="C1254">
        <v>1</v>
      </c>
      <c r="D1254">
        <v>0</v>
      </c>
      <c r="E1254">
        <v>100</v>
      </c>
      <c r="F1254">
        <v>0</v>
      </c>
      <c r="G1254">
        <v>0</v>
      </c>
      <c r="H1254">
        <v>100</v>
      </c>
      <c r="I1254">
        <v>0</v>
      </c>
      <c r="J1254">
        <v>0</v>
      </c>
      <c r="K1254">
        <v>0</v>
      </c>
      <c r="L1254">
        <v>1</v>
      </c>
      <c r="M1254">
        <v>1</v>
      </c>
      <c r="N1254">
        <v>29</v>
      </c>
      <c r="O1254">
        <v>170000</v>
      </c>
      <c r="P1254">
        <v>4</v>
      </c>
      <c r="Q1254">
        <v>5</v>
      </c>
      <c r="R1254">
        <v>4</v>
      </c>
      <c r="S1254">
        <v>4</v>
      </c>
      <c r="T1254" s="123">
        <f t="shared" si="97"/>
        <v>0</v>
      </c>
      <c r="U1254">
        <f t="shared" si="98"/>
        <v>1</v>
      </c>
      <c r="V1254">
        <f t="shared" si="99"/>
        <v>1</v>
      </c>
      <c r="W1254">
        <f t="shared" si="100"/>
        <v>1</v>
      </c>
      <c r="X1254">
        <f t="shared" si="101"/>
        <v>1</v>
      </c>
    </row>
    <row r="1255" spans="1:24">
      <c r="A1255" t="s">
        <v>266</v>
      </c>
      <c r="B1255">
        <v>7</v>
      </c>
      <c r="C1255">
        <v>1</v>
      </c>
      <c r="D1255">
        <v>0</v>
      </c>
      <c r="E1255">
        <v>0</v>
      </c>
      <c r="F1255">
        <v>100</v>
      </c>
      <c r="G1255">
        <v>100</v>
      </c>
      <c r="H1255">
        <v>100</v>
      </c>
      <c r="I1255">
        <v>0</v>
      </c>
      <c r="J1255">
        <v>1</v>
      </c>
      <c r="K1255">
        <v>0</v>
      </c>
      <c r="L1255">
        <v>1</v>
      </c>
      <c r="M1255">
        <v>1</v>
      </c>
      <c r="N1255">
        <v>29</v>
      </c>
      <c r="O1255">
        <v>170000</v>
      </c>
      <c r="P1255">
        <v>4</v>
      </c>
      <c r="Q1255">
        <v>5</v>
      </c>
      <c r="R1255">
        <v>4</v>
      </c>
      <c r="S1255">
        <v>4</v>
      </c>
      <c r="T1255" s="123">
        <f t="shared" si="97"/>
        <v>0</v>
      </c>
      <c r="U1255">
        <f t="shared" si="98"/>
        <v>1</v>
      </c>
      <c r="V1255">
        <f t="shared" si="99"/>
        <v>1</v>
      </c>
      <c r="W1255">
        <f t="shared" si="100"/>
        <v>1</v>
      </c>
      <c r="X1255">
        <f t="shared" si="101"/>
        <v>1</v>
      </c>
    </row>
    <row r="1256" spans="1:24" hidden="1">
      <c r="A1256" t="s">
        <v>267</v>
      </c>
      <c r="B1256">
        <v>1</v>
      </c>
      <c r="C1256">
        <v>1</v>
      </c>
      <c r="D1256">
        <v>0</v>
      </c>
      <c r="E1256">
        <v>100</v>
      </c>
      <c r="F1256">
        <v>100</v>
      </c>
      <c r="G1256">
        <v>100</v>
      </c>
      <c r="H1256">
        <v>0</v>
      </c>
      <c r="I1256">
        <v>1</v>
      </c>
      <c r="J1256">
        <v>0</v>
      </c>
      <c r="K1256">
        <v>0</v>
      </c>
      <c r="L1256">
        <v>1</v>
      </c>
      <c r="M1256">
        <v>0</v>
      </c>
      <c r="N1256">
        <v>31</v>
      </c>
      <c r="O1256">
        <v>85000</v>
      </c>
      <c r="P1256">
        <v>3</v>
      </c>
      <c r="Q1256">
        <v>3</v>
      </c>
      <c r="R1256">
        <v>2</v>
      </c>
      <c r="S1256">
        <v>4</v>
      </c>
      <c r="T1256" s="123">
        <f t="shared" si="97"/>
        <v>1</v>
      </c>
      <c r="U1256">
        <f t="shared" si="98"/>
        <v>0</v>
      </c>
      <c r="V1256">
        <f t="shared" si="99"/>
        <v>0</v>
      </c>
      <c r="W1256">
        <f t="shared" si="100"/>
        <v>0</v>
      </c>
      <c r="X1256">
        <f t="shared" si="101"/>
        <v>1</v>
      </c>
    </row>
    <row r="1257" spans="1:24">
      <c r="A1257" t="s">
        <v>267</v>
      </c>
      <c r="B1257">
        <v>2</v>
      </c>
      <c r="C1257">
        <v>1</v>
      </c>
      <c r="D1257">
        <v>100</v>
      </c>
      <c r="E1257">
        <v>100</v>
      </c>
      <c r="F1257">
        <v>0</v>
      </c>
      <c r="G1257">
        <v>100</v>
      </c>
      <c r="H1257">
        <v>0</v>
      </c>
      <c r="I1257">
        <v>0</v>
      </c>
      <c r="J1257">
        <v>0</v>
      </c>
      <c r="K1257">
        <v>1</v>
      </c>
      <c r="L1257">
        <v>1</v>
      </c>
      <c r="M1257">
        <v>0</v>
      </c>
      <c r="N1257">
        <v>31</v>
      </c>
      <c r="O1257">
        <v>85000</v>
      </c>
      <c r="P1257">
        <v>3</v>
      </c>
      <c r="Q1257">
        <v>3</v>
      </c>
      <c r="R1257">
        <v>2</v>
      </c>
      <c r="S1257">
        <v>4</v>
      </c>
      <c r="T1257" s="123">
        <f t="shared" si="97"/>
        <v>0</v>
      </c>
      <c r="U1257">
        <f t="shared" si="98"/>
        <v>0</v>
      </c>
      <c r="V1257">
        <f t="shared" si="99"/>
        <v>0</v>
      </c>
      <c r="W1257">
        <f t="shared" si="100"/>
        <v>0</v>
      </c>
      <c r="X1257">
        <f t="shared" si="101"/>
        <v>1</v>
      </c>
    </row>
    <row r="1258" spans="1:24">
      <c r="A1258" t="s">
        <v>267</v>
      </c>
      <c r="B1258">
        <v>3</v>
      </c>
      <c r="C1258">
        <v>1</v>
      </c>
      <c r="D1258">
        <v>100</v>
      </c>
      <c r="E1258">
        <v>0</v>
      </c>
      <c r="F1258">
        <v>0</v>
      </c>
      <c r="G1258">
        <v>100</v>
      </c>
      <c r="H1258">
        <v>100</v>
      </c>
      <c r="I1258">
        <v>0</v>
      </c>
      <c r="J1258">
        <v>0</v>
      </c>
      <c r="K1258">
        <v>1</v>
      </c>
      <c r="L1258">
        <v>1</v>
      </c>
      <c r="M1258">
        <v>0</v>
      </c>
      <c r="N1258">
        <v>31</v>
      </c>
      <c r="O1258">
        <v>85000</v>
      </c>
      <c r="P1258">
        <v>3</v>
      </c>
      <c r="Q1258">
        <v>3</v>
      </c>
      <c r="R1258">
        <v>2</v>
      </c>
      <c r="S1258">
        <v>4</v>
      </c>
      <c r="T1258" s="123">
        <f t="shared" si="97"/>
        <v>0</v>
      </c>
      <c r="U1258">
        <f t="shared" si="98"/>
        <v>0</v>
      </c>
      <c r="V1258">
        <f t="shared" si="99"/>
        <v>0</v>
      </c>
      <c r="W1258">
        <f t="shared" si="100"/>
        <v>0</v>
      </c>
      <c r="X1258">
        <f t="shared" si="101"/>
        <v>1</v>
      </c>
    </row>
    <row r="1259" spans="1:24" hidden="1">
      <c r="A1259" t="s">
        <v>267</v>
      </c>
      <c r="B1259">
        <v>4</v>
      </c>
      <c r="C1259">
        <v>1</v>
      </c>
      <c r="D1259">
        <v>17.09574468085107</v>
      </c>
      <c r="E1259">
        <v>0</v>
      </c>
      <c r="F1259">
        <v>100</v>
      </c>
      <c r="G1259">
        <v>50</v>
      </c>
      <c r="H1259">
        <v>100</v>
      </c>
      <c r="I1259">
        <v>0</v>
      </c>
      <c r="J1259">
        <v>0</v>
      </c>
      <c r="K1259">
        <v>0</v>
      </c>
      <c r="L1259">
        <v>1</v>
      </c>
      <c r="M1259">
        <v>0</v>
      </c>
      <c r="N1259">
        <v>31</v>
      </c>
      <c r="O1259">
        <v>85000</v>
      </c>
      <c r="P1259">
        <v>3</v>
      </c>
      <c r="Q1259">
        <v>3</v>
      </c>
      <c r="R1259">
        <v>2</v>
      </c>
      <c r="S1259">
        <v>4</v>
      </c>
      <c r="T1259" s="123">
        <f t="shared" si="97"/>
        <v>1</v>
      </c>
      <c r="U1259">
        <f t="shared" si="98"/>
        <v>0</v>
      </c>
      <c r="V1259">
        <f t="shared" si="99"/>
        <v>0</v>
      </c>
      <c r="W1259">
        <f t="shared" si="100"/>
        <v>0</v>
      </c>
      <c r="X1259">
        <f t="shared" si="101"/>
        <v>1</v>
      </c>
    </row>
    <row r="1260" spans="1:24">
      <c r="A1260" t="s">
        <v>267</v>
      </c>
      <c r="B1260">
        <v>5</v>
      </c>
      <c r="C1260">
        <v>1</v>
      </c>
      <c r="D1260">
        <v>0</v>
      </c>
      <c r="E1260">
        <v>100</v>
      </c>
      <c r="F1260">
        <v>100</v>
      </c>
      <c r="G1260">
        <v>0</v>
      </c>
      <c r="H1260">
        <v>100</v>
      </c>
      <c r="I1260">
        <v>0</v>
      </c>
      <c r="J1260">
        <v>0</v>
      </c>
      <c r="K1260">
        <v>0</v>
      </c>
      <c r="L1260">
        <v>1</v>
      </c>
      <c r="M1260">
        <v>0</v>
      </c>
      <c r="N1260">
        <v>31</v>
      </c>
      <c r="O1260">
        <v>85000</v>
      </c>
      <c r="P1260">
        <v>3</v>
      </c>
      <c r="Q1260">
        <v>3</v>
      </c>
      <c r="R1260">
        <v>2</v>
      </c>
      <c r="S1260">
        <v>4</v>
      </c>
      <c r="T1260" s="123">
        <f t="shared" si="97"/>
        <v>0</v>
      </c>
      <c r="U1260">
        <f t="shared" si="98"/>
        <v>0</v>
      </c>
      <c r="V1260">
        <f t="shared" si="99"/>
        <v>0</v>
      </c>
      <c r="W1260">
        <f t="shared" si="100"/>
        <v>0</v>
      </c>
      <c r="X1260">
        <f t="shared" si="101"/>
        <v>1</v>
      </c>
    </row>
    <row r="1261" spans="1:24">
      <c r="A1261" t="s">
        <v>267</v>
      </c>
      <c r="B1261">
        <v>6</v>
      </c>
      <c r="C1261">
        <v>1</v>
      </c>
      <c r="D1261">
        <v>100</v>
      </c>
      <c r="E1261">
        <v>100</v>
      </c>
      <c r="F1261">
        <v>0</v>
      </c>
      <c r="G1261">
        <v>100</v>
      </c>
      <c r="H1261">
        <v>0</v>
      </c>
      <c r="I1261">
        <v>0</v>
      </c>
      <c r="J1261">
        <v>0</v>
      </c>
      <c r="K1261">
        <v>1</v>
      </c>
      <c r="L1261">
        <v>1</v>
      </c>
      <c r="M1261">
        <v>0</v>
      </c>
      <c r="N1261">
        <v>31</v>
      </c>
      <c r="O1261">
        <v>85000</v>
      </c>
      <c r="P1261">
        <v>3</v>
      </c>
      <c r="Q1261">
        <v>3</v>
      </c>
      <c r="R1261">
        <v>2</v>
      </c>
      <c r="S1261">
        <v>4</v>
      </c>
      <c r="T1261" s="123">
        <f t="shared" si="97"/>
        <v>0</v>
      </c>
      <c r="U1261">
        <f t="shared" si="98"/>
        <v>0</v>
      </c>
      <c r="V1261">
        <f t="shared" si="99"/>
        <v>0</v>
      </c>
      <c r="W1261">
        <f t="shared" si="100"/>
        <v>0</v>
      </c>
      <c r="X1261">
        <f t="shared" si="101"/>
        <v>1</v>
      </c>
    </row>
    <row r="1262" spans="1:24">
      <c r="A1262" t="s">
        <v>267</v>
      </c>
      <c r="B1262">
        <v>7</v>
      </c>
      <c r="C1262">
        <v>1</v>
      </c>
      <c r="D1262">
        <v>0</v>
      </c>
      <c r="E1262">
        <v>0</v>
      </c>
      <c r="F1262">
        <v>0</v>
      </c>
      <c r="G1262">
        <v>100</v>
      </c>
      <c r="H1262">
        <v>100</v>
      </c>
      <c r="I1262">
        <v>0</v>
      </c>
      <c r="J1262">
        <v>1</v>
      </c>
      <c r="K1262">
        <v>0</v>
      </c>
      <c r="L1262">
        <v>1</v>
      </c>
      <c r="M1262">
        <v>0</v>
      </c>
      <c r="N1262">
        <v>31</v>
      </c>
      <c r="O1262">
        <v>85000</v>
      </c>
      <c r="P1262">
        <v>3</v>
      </c>
      <c r="Q1262">
        <v>3</v>
      </c>
      <c r="R1262">
        <v>2</v>
      </c>
      <c r="S1262">
        <v>4</v>
      </c>
      <c r="T1262" s="123">
        <f t="shared" si="97"/>
        <v>0</v>
      </c>
      <c r="U1262">
        <f t="shared" si="98"/>
        <v>0</v>
      </c>
      <c r="V1262">
        <f t="shared" si="99"/>
        <v>0</v>
      </c>
      <c r="W1262">
        <f t="shared" si="100"/>
        <v>0</v>
      </c>
      <c r="X1262">
        <f t="shared" si="101"/>
        <v>1</v>
      </c>
    </row>
    <row r="1263" spans="1:24">
      <c r="A1263" t="s">
        <v>268</v>
      </c>
      <c r="B1263">
        <v>1</v>
      </c>
      <c r="C1263">
        <v>1</v>
      </c>
      <c r="D1263">
        <v>0</v>
      </c>
      <c r="E1263">
        <v>100</v>
      </c>
      <c r="F1263">
        <v>0</v>
      </c>
      <c r="G1263">
        <v>100</v>
      </c>
      <c r="H1263">
        <v>0</v>
      </c>
      <c r="I1263">
        <v>1</v>
      </c>
      <c r="J1263">
        <v>0</v>
      </c>
      <c r="K1263">
        <v>0</v>
      </c>
      <c r="L1263">
        <v>1</v>
      </c>
      <c r="M1263">
        <v>0</v>
      </c>
      <c r="N1263">
        <v>37</v>
      </c>
      <c r="O1263">
        <v>120000</v>
      </c>
      <c r="P1263">
        <v>3</v>
      </c>
      <c r="Q1263">
        <v>4</v>
      </c>
      <c r="R1263">
        <v>4</v>
      </c>
      <c r="S1263">
        <v>4</v>
      </c>
      <c r="T1263" s="123">
        <f t="shared" si="97"/>
        <v>0</v>
      </c>
      <c r="U1263">
        <f t="shared" si="98"/>
        <v>0</v>
      </c>
      <c r="V1263">
        <f t="shared" si="99"/>
        <v>1</v>
      </c>
      <c r="W1263">
        <f t="shared" si="100"/>
        <v>1</v>
      </c>
      <c r="X1263">
        <f t="shared" si="101"/>
        <v>1</v>
      </c>
    </row>
    <row r="1264" spans="1:24" hidden="1">
      <c r="A1264" t="s">
        <v>268</v>
      </c>
      <c r="B1264">
        <v>2</v>
      </c>
      <c r="C1264">
        <v>1</v>
      </c>
      <c r="D1264">
        <v>0</v>
      </c>
      <c r="E1264">
        <v>100</v>
      </c>
      <c r="F1264">
        <v>100</v>
      </c>
      <c r="G1264">
        <v>100</v>
      </c>
      <c r="H1264">
        <v>0</v>
      </c>
      <c r="I1264">
        <v>0</v>
      </c>
      <c r="J1264">
        <v>0</v>
      </c>
      <c r="K1264">
        <v>0</v>
      </c>
      <c r="L1264">
        <v>1</v>
      </c>
      <c r="M1264">
        <v>0</v>
      </c>
      <c r="N1264">
        <v>37</v>
      </c>
      <c r="O1264">
        <v>120000</v>
      </c>
      <c r="P1264">
        <v>3</v>
      </c>
      <c r="Q1264">
        <v>4</v>
      </c>
      <c r="R1264">
        <v>4</v>
      </c>
      <c r="S1264">
        <v>4</v>
      </c>
      <c r="T1264" s="123">
        <f t="shared" si="97"/>
        <v>1</v>
      </c>
      <c r="U1264">
        <f t="shared" si="98"/>
        <v>0</v>
      </c>
      <c r="V1264">
        <f t="shared" si="99"/>
        <v>1</v>
      </c>
      <c r="W1264">
        <f t="shared" si="100"/>
        <v>1</v>
      </c>
      <c r="X1264">
        <f t="shared" si="101"/>
        <v>1</v>
      </c>
    </row>
    <row r="1265" spans="1:24">
      <c r="A1265" t="s">
        <v>268</v>
      </c>
      <c r="B1265">
        <v>3</v>
      </c>
      <c r="C1265">
        <v>1</v>
      </c>
      <c r="D1265">
        <v>100</v>
      </c>
      <c r="E1265">
        <v>100</v>
      </c>
      <c r="F1265">
        <v>100</v>
      </c>
      <c r="G1265">
        <v>0</v>
      </c>
      <c r="H1265">
        <v>0</v>
      </c>
      <c r="I1265">
        <v>0</v>
      </c>
      <c r="J1265">
        <v>0</v>
      </c>
      <c r="K1265">
        <v>1</v>
      </c>
      <c r="L1265">
        <v>1</v>
      </c>
      <c r="M1265">
        <v>0</v>
      </c>
      <c r="N1265">
        <v>37</v>
      </c>
      <c r="O1265">
        <v>120000</v>
      </c>
      <c r="P1265">
        <v>3</v>
      </c>
      <c r="Q1265">
        <v>4</v>
      </c>
      <c r="R1265">
        <v>4</v>
      </c>
      <c r="S1265">
        <v>4</v>
      </c>
      <c r="T1265" s="123">
        <f t="shared" si="97"/>
        <v>0</v>
      </c>
      <c r="U1265">
        <f t="shared" si="98"/>
        <v>0</v>
      </c>
      <c r="V1265">
        <f t="shared" si="99"/>
        <v>1</v>
      </c>
      <c r="W1265">
        <f t="shared" si="100"/>
        <v>1</v>
      </c>
      <c r="X1265">
        <f t="shared" si="101"/>
        <v>1</v>
      </c>
    </row>
    <row r="1266" spans="1:24" hidden="1">
      <c r="A1266" t="s">
        <v>268</v>
      </c>
      <c r="B1266">
        <v>4</v>
      </c>
      <c r="C1266">
        <v>1</v>
      </c>
      <c r="D1266">
        <v>0</v>
      </c>
      <c r="E1266">
        <v>100</v>
      </c>
      <c r="F1266">
        <v>100</v>
      </c>
      <c r="G1266">
        <v>100</v>
      </c>
      <c r="H1266">
        <v>0</v>
      </c>
      <c r="I1266">
        <v>0</v>
      </c>
      <c r="J1266">
        <v>0</v>
      </c>
      <c r="K1266">
        <v>0</v>
      </c>
      <c r="L1266">
        <v>1</v>
      </c>
      <c r="M1266">
        <v>0</v>
      </c>
      <c r="N1266">
        <v>37</v>
      </c>
      <c r="O1266">
        <v>120000</v>
      </c>
      <c r="P1266">
        <v>3</v>
      </c>
      <c r="Q1266">
        <v>4</v>
      </c>
      <c r="R1266">
        <v>4</v>
      </c>
      <c r="S1266">
        <v>4</v>
      </c>
      <c r="T1266" s="123">
        <f t="shared" si="97"/>
        <v>1</v>
      </c>
      <c r="U1266">
        <f t="shared" si="98"/>
        <v>0</v>
      </c>
      <c r="V1266">
        <f t="shared" si="99"/>
        <v>1</v>
      </c>
      <c r="W1266">
        <f t="shared" si="100"/>
        <v>1</v>
      </c>
      <c r="X1266">
        <f t="shared" si="101"/>
        <v>1</v>
      </c>
    </row>
    <row r="1267" spans="1:24">
      <c r="A1267" t="s">
        <v>268</v>
      </c>
      <c r="B1267">
        <v>5</v>
      </c>
      <c r="C1267">
        <v>1</v>
      </c>
      <c r="D1267">
        <v>100</v>
      </c>
      <c r="E1267">
        <v>100</v>
      </c>
      <c r="F1267">
        <v>0</v>
      </c>
      <c r="G1267">
        <v>100</v>
      </c>
      <c r="H1267">
        <v>0</v>
      </c>
      <c r="I1267">
        <v>0</v>
      </c>
      <c r="J1267">
        <v>0</v>
      </c>
      <c r="K1267">
        <v>1</v>
      </c>
      <c r="L1267">
        <v>1</v>
      </c>
      <c r="M1267">
        <v>0</v>
      </c>
      <c r="N1267">
        <v>37</v>
      </c>
      <c r="O1267">
        <v>120000</v>
      </c>
      <c r="P1267">
        <v>3</v>
      </c>
      <c r="Q1267">
        <v>4</v>
      </c>
      <c r="R1267">
        <v>4</v>
      </c>
      <c r="S1267">
        <v>4</v>
      </c>
      <c r="T1267" s="123">
        <f t="shared" si="97"/>
        <v>0</v>
      </c>
      <c r="U1267">
        <f t="shared" si="98"/>
        <v>0</v>
      </c>
      <c r="V1267">
        <f t="shared" si="99"/>
        <v>1</v>
      </c>
      <c r="W1267">
        <f t="shared" si="100"/>
        <v>1</v>
      </c>
      <c r="X1267">
        <f t="shared" si="101"/>
        <v>1</v>
      </c>
    </row>
    <row r="1268" spans="1:24">
      <c r="A1268" t="s">
        <v>268</v>
      </c>
      <c r="B1268">
        <v>6</v>
      </c>
      <c r="C1268">
        <v>1</v>
      </c>
      <c r="D1268">
        <v>100</v>
      </c>
      <c r="E1268">
        <v>0</v>
      </c>
      <c r="F1268">
        <v>100</v>
      </c>
      <c r="G1268">
        <v>0</v>
      </c>
      <c r="H1268">
        <v>100</v>
      </c>
      <c r="I1268">
        <v>0</v>
      </c>
      <c r="J1268">
        <v>0</v>
      </c>
      <c r="K1268">
        <v>1</v>
      </c>
      <c r="L1268">
        <v>1</v>
      </c>
      <c r="M1268">
        <v>0</v>
      </c>
      <c r="N1268">
        <v>37</v>
      </c>
      <c r="O1268">
        <v>120000</v>
      </c>
      <c r="P1268">
        <v>3</v>
      </c>
      <c r="Q1268">
        <v>4</v>
      </c>
      <c r="R1268">
        <v>4</v>
      </c>
      <c r="S1268">
        <v>4</v>
      </c>
      <c r="T1268" s="123">
        <f t="shared" si="97"/>
        <v>0</v>
      </c>
      <c r="U1268">
        <f t="shared" si="98"/>
        <v>0</v>
      </c>
      <c r="V1268">
        <f t="shared" si="99"/>
        <v>1</v>
      </c>
      <c r="W1268">
        <f t="shared" si="100"/>
        <v>1</v>
      </c>
      <c r="X1268">
        <f t="shared" si="101"/>
        <v>1</v>
      </c>
    </row>
    <row r="1269" spans="1:24">
      <c r="A1269" t="s">
        <v>268</v>
      </c>
      <c r="B1269">
        <v>7</v>
      </c>
      <c r="C1269">
        <v>1</v>
      </c>
      <c r="D1269">
        <v>100</v>
      </c>
      <c r="E1269">
        <v>100</v>
      </c>
      <c r="F1269">
        <v>0</v>
      </c>
      <c r="G1269">
        <v>17.12765957446808</v>
      </c>
      <c r="H1269">
        <v>50</v>
      </c>
      <c r="I1269">
        <v>0</v>
      </c>
      <c r="J1269">
        <v>1</v>
      </c>
      <c r="K1269">
        <v>1</v>
      </c>
      <c r="L1269">
        <v>1</v>
      </c>
      <c r="M1269">
        <v>0</v>
      </c>
      <c r="N1269">
        <v>37</v>
      </c>
      <c r="O1269">
        <v>120000</v>
      </c>
      <c r="P1269">
        <v>3</v>
      </c>
      <c r="Q1269">
        <v>4</v>
      </c>
      <c r="R1269">
        <v>4</v>
      </c>
      <c r="S1269">
        <v>4</v>
      </c>
      <c r="T1269" s="123">
        <f t="shared" si="97"/>
        <v>0</v>
      </c>
      <c r="U1269">
        <f t="shared" si="98"/>
        <v>0</v>
      </c>
      <c r="V1269">
        <f t="shared" si="99"/>
        <v>1</v>
      </c>
      <c r="W1269">
        <f t="shared" si="100"/>
        <v>1</v>
      </c>
      <c r="X1269">
        <f t="shared" si="101"/>
        <v>1</v>
      </c>
    </row>
    <row r="1270" spans="1:24">
      <c r="A1270" t="s">
        <v>269</v>
      </c>
      <c r="B1270">
        <v>1</v>
      </c>
      <c r="C1270">
        <v>1</v>
      </c>
      <c r="D1270">
        <v>100</v>
      </c>
      <c r="E1270">
        <v>100</v>
      </c>
      <c r="F1270">
        <v>100</v>
      </c>
      <c r="G1270">
        <v>0</v>
      </c>
      <c r="H1270">
        <v>0</v>
      </c>
      <c r="I1270">
        <v>1</v>
      </c>
      <c r="J1270">
        <v>0</v>
      </c>
      <c r="K1270">
        <v>1</v>
      </c>
      <c r="L1270">
        <v>1</v>
      </c>
      <c r="M1270">
        <v>0</v>
      </c>
      <c r="N1270">
        <v>28</v>
      </c>
      <c r="O1270">
        <v>85000</v>
      </c>
      <c r="P1270">
        <v>5</v>
      </c>
      <c r="Q1270">
        <v>4</v>
      </c>
      <c r="R1270">
        <v>3</v>
      </c>
      <c r="S1270">
        <v>4</v>
      </c>
      <c r="T1270" s="123">
        <f t="shared" si="97"/>
        <v>0</v>
      </c>
      <c r="U1270">
        <f t="shared" si="98"/>
        <v>1</v>
      </c>
      <c r="V1270">
        <f t="shared" si="99"/>
        <v>1</v>
      </c>
      <c r="W1270">
        <f t="shared" si="100"/>
        <v>0</v>
      </c>
      <c r="X1270">
        <f t="shared" si="101"/>
        <v>1</v>
      </c>
    </row>
    <row r="1271" spans="1:24">
      <c r="A1271" t="s">
        <v>269</v>
      </c>
      <c r="B1271">
        <v>2</v>
      </c>
      <c r="C1271">
        <v>1</v>
      </c>
      <c r="D1271">
        <v>100</v>
      </c>
      <c r="E1271">
        <v>0</v>
      </c>
      <c r="F1271">
        <v>17.01063829787234</v>
      </c>
      <c r="G1271">
        <v>50</v>
      </c>
      <c r="H1271">
        <v>100</v>
      </c>
      <c r="I1271">
        <v>0</v>
      </c>
      <c r="J1271">
        <v>0</v>
      </c>
      <c r="K1271">
        <v>1</v>
      </c>
      <c r="L1271">
        <v>1</v>
      </c>
      <c r="M1271">
        <v>0</v>
      </c>
      <c r="N1271">
        <v>28</v>
      </c>
      <c r="O1271">
        <v>85000</v>
      </c>
      <c r="P1271">
        <v>5</v>
      </c>
      <c r="Q1271">
        <v>4</v>
      </c>
      <c r="R1271">
        <v>3</v>
      </c>
      <c r="S1271">
        <v>4</v>
      </c>
      <c r="T1271" s="123">
        <f t="shared" si="97"/>
        <v>0</v>
      </c>
      <c r="U1271">
        <f t="shared" si="98"/>
        <v>1</v>
      </c>
      <c r="V1271">
        <f t="shared" si="99"/>
        <v>1</v>
      </c>
      <c r="W1271">
        <f t="shared" si="100"/>
        <v>0</v>
      </c>
      <c r="X1271">
        <f t="shared" si="101"/>
        <v>1</v>
      </c>
    </row>
    <row r="1272" spans="1:24" hidden="1">
      <c r="A1272" t="s">
        <v>269</v>
      </c>
      <c r="B1272">
        <v>3</v>
      </c>
      <c r="C1272">
        <v>1</v>
      </c>
      <c r="D1272">
        <v>0</v>
      </c>
      <c r="E1272">
        <v>100</v>
      </c>
      <c r="F1272">
        <v>100</v>
      </c>
      <c r="G1272">
        <v>100</v>
      </c>
      <c r="H1272">
        <v>0</v>
      </c>
      <c r="I1272">
        <v>0</v>
      </c>
      <c r="J1272">
        <v>0</v>
      </c>
      <c r="K1272">
        <v>0</v>
      </c>
      <c r="L1272">
        <v>1</v>
      </c>
      <c r="M1272">
        <v>0</v>
      </c>
      <c r="N1272">
        <v>28</v>
      </c>
      <c r="O1272">
        <v>85000</v>
      </c>
      <c r="P1272">
        <v>5</v>
      </c>
      <c r="Q1272">
        <v>4</v>
      </c>
      <c r="R1272">
        <v>3</v>
      </c>
      <c r="S1272">
        <v>4</v>
      </c>
      <c r="T1272" s="123">
        <f t="shared" si="97"/>
        <v>1</v>
      </c>
      <c r="U1272">
        <f t="shared" si="98"/>
        <v>1</v>
      </c>
      <c r="V1272">
        <f t="shared" si="99"/>
        <v>1</v>
      </c>
      <c r="W1272">
        <f t="shared" si="100"/>
        <v>0</v>
      </c>
      <c r="X1272">
        <f t="shared" si="101"/>
        <v>1</v>
      </c>
    </row>
    <row r="1273" spans="1:24">
      <c r="A1273" t="s">
        <v>269</v>
      </c>
      <c r="B1273">
        <v>4</v>
      </c>
      <c r="C1273">
        <v>1</v>
      </c>
      <c r="D1273">
        <v>100</v>
      </c>
      <c r="E1273">
        <v>0</v>
      </c>
      <c r="F1273">
        <v>0</v>
      </c>
      <c r="G1273">
        <v>100</v>
      </c>
      <c r="H1273">
        <v>100</v>
      </c>
      <c r="I1273">
        <v>0</v>
      </c>
      <c r="J1273">
        <v>0</v>
      </c>
      <c r="K1273">
        <v>1</v>
      </c>
      <c r="L1273">
        <v>1</v>
      </c>
      <c r="M1273">
        <v>0</v>
      </c>
      <c r="N1273">
        <v>28</v>
      </c>
      <c r="O1273">
        <v>85000</v>
      </c>
      <c r="P1273">
        <v>5</v>
      </c>
      <c r="Q1273">
        <v>4</v>
      </c>
      <c r="R1273">
        <v>3</v>
      </c>
      <c r="S1273">
        <v>4</v>
      </c>
      <c r="T1273" s="123">
        <f t="shared" si="97"/>
        <v>0</v>
      </c>
      <c r="U1273">
        <f t="shared" si="98"/>
        <v>1</v>
      </c>
      <c r="V1273">
        <f t="shared" si="99"/>
        <v>1</v>
      </c>
      <c r="W1273">
        <f t="shared" si="100"/>
        <v>0</v>
      </c>
      <c r="X1273">
        <f t="shared" si="101"/>
        <v>1</v>
      </c>
    </row>
    <row r="1274" spans="1:24">
      <c r="A1274" t="s">
        <v>269</v>
      </c>
      <c r="B1274">
        <v>5</v>
      </c>
      <c r="C1274">
        <v>1</v>
      </c>
      <c r="D1274">
        <v>0</v>
      </c>
      <c r="E1274">
        <v>100</v>
      </c>
      <c r="F1274">
        <v>100</v>
      </c>
      <c r="G1274">
        <v>0</v>
      </c>
      <c r="H1274">
        <v>0</v>
      </c>
      <c r="I1274">
        <v>0</v>
      </c>
      <c r="J1274">
        <v>0</v>
      </c>
      <c r="K1274">
        <v>0</v>
      </c>
      <c r="L1274">
        <v>1</v>
      </c>
      <c r="M1274">
        <v>0</v>
      </c>
      <c r="N1274">
        <v>28</v>
      </c>
      <c r="O1274">
        <v>85000</v>
      </c>
      <c r="P1274">
        <v>5</v>
      </c>
      <c r="Q1274">
        <v>4</v>
      </c>
      <c r="R1274">
        <v>3</v>
      </c>
      <c r="S1274">
        <v>4</v>
      </c>
      <c r="T1274" s="123">
        <f t="shared" si="97"/>
        <v>0</v>
      </c>
      <c r="U1274">
        <f t="shared" si="98"/>
        <v>1</v>
      </c>
      <c r="V1274">
        <f t="shared" si="99"/>
        <v>1</v>
      </c>
      <c r="W1274">
        <f t="shared" si="100"/>
        <v>0</v>
      </c>
      <c r="X1274">
        <f t="shared" si="101"/>
        <v>1</v>
      </c>
    </row>
    <row r="1275" spans="1:24" hidden="1">
      <c r="A1275" t="s">
        <v>269</v>
      </c>
      <c r="B1275">
        <v>6</v>
      </c>
      <c r="C1275">
        <v>1</v>
      </c>
      <c r="D1275">
        <v>0</v>
      </c>
      <c r="E1275">
        <v>100</v>
      </c>
      <c r="F1275">
        <v>100</v>
      </c>
      <c r="G1275">
        <v>100</v>
      </c>
      <c r="H1275">
        <v>0</v>
      </c>
      <c r="I1275">
        <v>0</v>
      </c>
      <c r="J1275">
        <v>0</v>
      </c>
      <c r="K1275">
        <v>0</v>
      </c>
      <c r="L1275">
        <v>1</v>
      </c>
      <c r="M1275">
        <v>0</v>
      </c>
      <c r="N1275">
        <v>28</v>
      </c>
      <c r="O1275">
        <v>85000</v>
      </c>
      <c r="P1275">
        <v>5</v>
      </c>
      <c r="Q1275">
        <v>4</v>
      </c>
      <c r="R1275">
        <v>3</v>
      </c>
      <c r="S1275">
        <v>4</v>
      </c>
      <c r="T1275" s="123">
        <f t="shared" si="97"/>
        <v>1</v>
      </c>
      <c r="U1275">
        <f t="shared" si="98"/>
        <v>1</v>
      </c>
      <c r="V1275">
        <f t="shared" si="99"/>
        <v>1</v>
      </c>
      <c r="W1275">
        <f t="shared" si="100"/>
        <v>0</v>
      </c>
      <c r="X1275">
        <f t="shared" si="101"/>
        <v>1</v>
      </c>
    </row>
    <row r="1276" spans="1:24">
      <c r="A1276" t="s">
        <v>269</v>
      </c>
      <c r="B1276">
        <v>7</v>
      </c>
      <c r="C1276">
        <v>1</v>
      </c>
      <c r="D1276">
        <v>100</v>
      </c>
      <c r="E1276">
        <v>100</v>
      </c>
      <c r="F1276">
        <v>0</v>
      </c>
      <c r="G1276">
        <v>0</v>
      </c>
      <c r="H1276">
        <v>100</v>
      </c>
      <c r="I1276">
        <v>0</v>
      </c>
      <c r="J1276">
        <v>1</v>
      </c>
      <c r="K1276">
        <v>1</v>
      </c>
      <c r="L1276">
        <v>1</v>
      </c>
      <c r="M1276">
        <v>0</v>
      </c>
      <c r="N1276">
        <v>28</v>
      </c>
      <c r="O1276">
        <v>85000</v>
      </c>
      <c r="P1276">
        <v>5</v>
      </c>
      <c r="Q1276">
        <v>4</v>
      </c>
      <c r="R1276">
        <v>3</v>
      </c>
      <c r="S1276">
        <v>4</v>
      </c>
      <c r="T1276" s="123">
        <f t="shared" si="97"/>
        <v>0</v>
      </c>
      <c r="U1276">
        <f t="shared" si="98"/>
        <v>1</v>
      </c>
      <c r="V1276">
        <f t="shared" si="99"/>
        <v>1</v>
      </c>
      <c r="W1276">
        <f t="shared" si="100"/>
        <v>0</v>
      </c>
      <c r="X1276">
        <f t="shared" si="101"/>
        <v>1</v>
      </c>
    </row>
    <row r="1277" spans="1:24">
      <c r="A1277" t="s">
        <v>270</v>
      </c>
      <c r="B1277">
        <v>1</v>
      </c>
      <c r="C1277">
        <v>1</v>
      </c>
      <c r="D1277">
        <v>100</v>
      </c>
      <c r="E1277">
        <v>18.20931639443436</v>
      </c>
      <c r="F1277">
        <v>50</v>
      </c>
      <c r="G1277">
        <v>0</v>
      </c>
      <c r="H1277">
        <v>100</v>
      </c>
      <c r="I1277">
        <v>1</v>
      </c>
      <c r="J1277">
        <v>0</v>
      </c>
      <c r="K1277">
        <v>1</v>
      </c>
      <c r="L1277">
        <v>1</v>
      </c>
      <c r="M1277">
        <v>1</v>
      </c>
      <c r="N1277">
        <v>29</v>
      </c>
      <c r="O1277">
        <v>120000</v>
      </c>
      <c r="P1277">
        <v>4</v>
      </c>
      <c r="Q1277">
        <v>4</v>
      </c>
      <c r="R1277">
        <v>3</v>
      </c>
      <c r="S1277">
        <v>4</v>
      </c>
      <c r="T1277" s="123">
        <f t="shared" si="97"/>
        <v>0</v>
      </c>
      <c r="U1277">
        <f t="shared" si="98"/>
        <v>1</v>
      </c>
      <c r="V1277">
        <f t="shared" si="99"/>
        <v>1</v>
      </c>
      <c r="W1277">
        <f t="shared" si="100"/>
        <v>0</v>
      </c>
      <c r="X1277">
        <f t="shared" si="101"/>
        <v>1</v>
      </c>
    </row>
    <row r="1278" spans="1:24">
      <c r="A1278" t="s">
        <v>270</v>
      </c>
      <c r="B1278">
        <v>2</v>
      </c>
      <c r="C1278">
        <v>1</v>
      </c>
      <c r="D1278">
        <v>100</v>
      </c>
      <c r="E1278">
        <v>100</v>
      </c>
      <c r="F1278">
        <v>0</v>
      </c>
      <c r="G1278">
        <v>0</v>
      </c>
      <c r="H1278">
        <v>0</v>
      </c>
      <c r="I1278">
        <v>0</v>
      </c>
      <c r="J1278">
        <v>0</v>
      </c>
      <c r="K1278">
        <v>1</v>
      </c>
      <c r="L1278">
        <v>1</v>
      </c>
      <c r="M1278">
        <v>1</v>
      </c>
      <c r="N1278">
        <v>29</v>
      </c>
      <c r="O1278">
        <v>120000</v>
      </c>
      <c r="P1278">
        <v>4</v>
      </c>
      <c r="Q1278">
        <v>4</v>
      </c>
      <c r="R1278">
        <v>3</v>
      </c>
      <c r="S1278">
        <v>4</v>
      </c>
      <c r="T1278" s="123">
        <f t="shared" si="97"/>
        <v>0</v>
      </c>
      <c r="U1278">
        <f t="shared" si="98"/>
        <v>1</v>
      </c>
      <c r="V1278">
        <f t="shared" si="99"/>
        <v>1</v>
      </c>
      <c r="W1278">
        <f t="shared" si="100"/>
        <v>0</v>
      </c>
      <c r="X1278">
        <f t="shared" si="101"/>
        <v>1</v>
      </c>
    </row>
    <row r="1279" spans="1:24">
      <c r="A1279" t="s">
        <v>270</v>
      </c>
      <c r="B1279">
        <v>3</v>
      </c>
      <c r="C1279">
        <v>1</v>
      </c>
      <c r="D1279">
        <v>100</v>
      </c>
      <c r="E1279">
        <v>0</v>
      </c>
      <c r="F1279">
        <v>100</v>
      </c>
      <c r="G1279">
        <v>0</v>
      </c>
      <c r="H1279">
        <v>100</v>
      </c>
      <c r="I1279">
        <v>0</v>
      </c>
      <c r="J1279">
        <v>0</v>
      </c>
      <c r="K1279">
        <v>1</v>
      </c>
      <c r="L1279">
        <v>1</v>
      </c>
      <c r="M1279">
        <v>1</v>
      </c>
      <c r="N1279">
        <v>29</v>
      </c>
      <c r="O1279">
        <v>120000</v>
      </c>
      <c r="P1279">
        <v>4</v>
      </c>
      <c r="Q1279">
        <v>4</v>
      </c>
      <c r="R1279">
        <v>3</v>
      </c>
      <c r="S1279">
        <v>4</v>
      </c>
      <c r="T1279" s="123">
        <f t="shared" si="97"/>
        <v>0</v>
      </c>
      <c r="U1279">
        <f t="shared" si="98"/>
        <v>1</v>
      </c>
      <c r="V1279">
        <f t="shared" si="99"/>
        <v>1</v>
      </c>
      <c r="W1279">
        <f t="shared" si="100"/>
        <v>0</v>
      </c>
      <c r="X1279">
        <f t="shared" si="101"/>
        <v>1</v>
      </c>
    </row>
    <row r="1280" spans="1:24">
      <c r="A1280" t="s">
        <v>270</v>
      </c>
      <c r="B1280">
        <v>4</v>
      </c>
      <c r="C1280">
        <v>1</v>
      </c>
      <c r="D1280">
        <v>100</v>
      </c>
      <c r="E1280">
        <v>0</v>
      </c>
      <c r="F1280">
        <v>100</v>
      </c>
      <c r="G1280">
        <v>100</v>
      </c>
      <c r="H1280">
        <v>0</v>
      </c>
      <c r="I1280">
        <v>0</v>
      </c>
      <c r="J1280">
        <v>0</v>
      </c>
      <c r="K1280">
        <v>1</v>
      </c>
      <c r="L1280">
        <v>1</v>
      </c>
      <c r="M1280">
        <v>1</v>
      </c>
      <c r="N1280">
        <v>29</v>
      </c>
      <c r="O1280">
        <v>120000</v>
      </c>
      <c r="P1280">
        <v>4</v>
      </c>
      <c r="Q1280">
        <v>4</v>
      </c>
      <c r="R1280">
        <v>3</v>
      </c>
      <c r="S1280">
        <v>4</v>
      </c>
      <c r="T1280" s="123">
        <f t="shared" si="97"/>
        <v>0</v>
      </c>
      <c r="U1280">
        <f t="shared" si="98"/>
        <v>1</v>
      </c>
      <c r="V1280">
        <f t="shared" si="99"/>
        <v>1</v>
      </c>
      <c r="W1280">
        <f t="shared" si="100"/>
        <v>0</v>
      </c>
      <c r="X1280">
        <f t="shared" si="101"/>
        <v>1</v>
      </c>
    </row>
    <row r="1281" spans="1:24">
      <c r="A1281" t="s">
        <v>270</v>
      </c>
      <c r="B1281">
        <v>5</v>
      </c>
      <c r="C1281">
        <v>1</v>
      </c>
      <c r="D1281">
        <v>100</v>
      </c>
      <c r="E1281">
        <v>0</v>
      </c>
      <c r="F1281">
        <v>0</v>
      </c>
      <c r="G1281">
        <v>100</v>
      </c>
      <c r="H1281">
        <v>100</v>
      </c>
      <c r="I1281">
        <v>0</v>
      </c>
      <c r="J1281">
        <v>0</v>
      </c>
      <c r="K1281">
        <v>1</v>
      </c>
      <c r="L1281">
        <v>1</v>
      </c>
      <c r="M1281">
        <v>1</v>
      </c>
      <c r="N1281">
        <v>29</v>
      </c>
      <c r="O1281">
        <v>120000</v>
      </c>
      <c r="P1281">
        <v>4</v>
      </c>
      <c r="Q1281">
        <v>4</v>
      </c>
      <c r="R1281">
        <v>3</v>
      </c>
      <c r="S1281">
        <v>4</v>
      </c>
      <c r="T1281" s="123">
        <f t="shared" si="97"/>
        <v>0</v>
      </c>
      <c r="U1281">
        <f t="shared" si="98"/>
        <v>1</v>
      </c>
      <c r="V1281">
        <f t="shared" si="99"/>
        <v>1</v>
      </c>
      <c r="W1281">
        <f t="shared" si="100"/>
        <v>0</v>
      </c>
      <c r="X1281">
        <f t="shared" si="101"/>
        <v>1</v>
      </c>
    </row>
    <row r="1282" spans="1:24">
      <c r="A1282" t="s">
        <v>270</v>
      </c>
      <c r="B1282">
        <v>6</v>
      </c>
      <c r="C1282">
        <v>1</v>
      </c>
      <c r="D1282">
        <v>100</v>
      </c>
      <c r="E1282">
        <v>0</v>
      </c>
      <c r="F1282">
        <v>100</v>
      </c>
      <c r="G1282">
        <v>100</v>
      </c>
      <c r="H1282">
        <v>0</v>
      </c>
      <c r="I1282">
        <v>0</v>
      </c>
      <c r="J1282">
        <v>0</v>
      </c>
      <c r="K1282">
        <v>1</v>
      </c>
      <c r="L1282">
        <v>1</v>
      </c>
      <c r="M1282">
        <v>1</v>
      </c>
      <c r="N1282">
        <v>29</v>
      </c>
      <c r="O1282">
        <v>120000</v>
      </c>
      <c r="P1282">
        <v>4</v>
      </c>
      <c r="Q1282">
        <v>4</v>
      </c>
      <c r="R1282">
        <v>3</v>
      </c>
      <c r="S1282">
        <v>4</v>
      </c>
      <c r="T1282" s="123">
        <f t="shared" si="97"/>
        <v>0</v>
      </c>
      <c r="U1282">
        <f t="shared" si="98"/>
        <v>1</v>
      </c>
      <c r="V1282">
        <f t="shared" si="99"/>
        <v>1</v>
      </c>
      <c r="W1282">
        <f t="shared" si="100"/>
        <v>0</v>
      </c>
      <c r="X1282">
        <f t="shared" si="101"/>
        <v>1</v>
      </c>
    </row>
    <row r="1283" spans="1:24">
      <c r="A1283" t="s">
        <v>270</v>
      </c>
      <c r="B1283">
        <v>7</v>
      </c>
      <c r="C1283">
        <v>1</v>
      </c>
      <c r="D1283">
        <v>0</v>
      </c>
      <c r="E1283">
        <v>100</v>
      </c>
      <c r="F1283">
        <v>0</v>
      </c>
      <c r="G1283">
        <v>100</v>
      </c>
      <c r="H1283">
        <v>100</v>
      </c>
      <c r="I1283">
        <v>0</v>
      </c>
      <c r="J1283">
        <v>1</v>
      </c>
      <c r="K1283">
        <v>0</v>
      </c>
      <c r="L1283">
        <v>1</v>
      </c>
      <c r="M1283">
        <v>1</v>
      </c>
      <c r="N1283">
        <v>29</v>
      </c>
      <c r="O1283">
        <v>120000</v>
      </c>
      <c r="P1283">
        <v>4</v>
      </c>
      <c r="Q1283">
        <v>4</v>
      </c>
      <c r="R1283">
        <v>3</v>
      </c>
      <c r="S1283">
        <v>4</v>
      </c>
      <c r="T1283" s="123">
        <f t="shared" si="97"/>
        <v>0</v>
      </c>
      <c r="U1283">
        <f t="shared" si="98"/>
        <v>1</v>
      </c>
      <c r="V1283">
        <f t="shared" si="99"/>
        <v>1</v>
      </c>
      <c r="W1283">
        <f t="shared" si="100"/>
        <v>0</v>
      </c>
      <c r="X1283">
        <f t="shared" si="101"/>
        <v>1</v>
      </c>
    </row>
    <row r="1284" spans="1:24">
      <c r="A1284" t="s">
        <v>271</v>
      </c>
      <c r="B1284">
        <v>1</v>
      </c>
      <c r="C1284">
        <v>1</v>
      </c>
      <c r="D1284">
        <v>0</v>
      </c>
      <c r="E1284">
        <v>100</v>
      </c>
      <c r="F1284">
        <v>0</v>
      </c>
      <c r="G1284">
        <v>100</v>
      </c>
      <c r="H1284">
        <v>100</v>
      </c>
      <c r="I1284">
        <v>1</v>
      </c>
      <c r="J1284">
        <v>0</v>
      </c>
      <c r="K1284">
        <v>0</v>
      </c>
      <c r="L1284">
        <v>1</v>
      </c>
      <c r="M1284">
        <v>0</v>
      </c>
      <c r="N1284">
        <v>34</v>
      </c>
      <c r="O1284">
        <v>150000</v>
      </c>
      <c r="P1284">
        <v>4</v>
      </c>
      <c r="Q1284">
        <v>4</v>
      </c>
      <c r="R1284">
        <v>4</v>
      </c>
      <c r="S1284">
        <v>4</v>
      </c>
      <c r="T1284" s="123">
        <f t="shared" ref="T1284:T1347" si="102">IF(OR(IF(AVERAGE(E1284:F1284)-G1284&gt;(10),1,0),IF(AVERAGE(E1284:F1284)-G1284&lt;(-10),1,0)),0,1)</f>
        <v>0</v>
      </c>
      <c r="U1284">
        <f t="shared" ref="U1284:U1347" si="103">IF(P1284&gt;3,1,0)</f>
        <v>1</v>
      </c>
      <c r="V1284">
        <f t="shared" ref="V1284:V1347" si="104">IF(Q1284&gt;3,1,0)</f>
        <v>1</v>
      </c>
      <c r="W1284">
        <f t="shared" ref="W1284:W1347" si="105">IF(R1284&gt;3,1,0)</f>
        <v>1</v>
      </c>
      <c r="X1284">
        <f t="shared" ref="X1284:X1347" si="106">IF(S1284&gt;3,1,0)</f>
        <v>1</v>
      </c>
    </row>
    <row r="1285" spans="1:24">
      <c r="A1285" t="s">
        <v>271</v>
      </c>
      <c r="B1285">
        <v>2</v>
      </c>
      <c r="C1285">
        <v>1</v>
      </c>
      <c r="D1285">
        <v>100</v>
      </c>
      <c r="E1285">
        <v>100</v>
      </c>
      <c r="F1285">
        <v>0</v>
      </c>
      <c r="G1285">
        <v>100</v>
      </c>
      <c r="H1285">
        <v>0</v>
      </c>
      <c r="I1285">
        <v>0</v>
      </c>
      <c r="J1285">
        <v>0</v>
      </c>
      <c r="K1285">
        <v>1</v>
      </c>
      <c r="L1285">
        <v>1</v>
      </c>
      <c r="M1285">
        <v>0</v>
      </c>
      <c r="N1285">
        <v>34</v>
      </c>
      <c r="O1285">
        <v>150000</v>
      </c>
      <c r="P1285">
        <v>4</v>
      </c>
      <c r="Q1285">
        <v>4</v>
      </c>
      <c r="R1285">
        <v>4</v>
      </c>
      <c r="S1285">
        <v>4</v>
      </c>
      <c r="T1285" s="123">
        <f t="shared" si="102"/>
        <v>0</v>
      </c>
      <c r="U1285">
        <f t="shared" si="103"/>
        <v>1</v>
      </c>
      <c r="V1285">
        <f t="shared" si="104"/>
        <v>1</v>
      </c>
      <c r="W1285">
        <f t="shared" si="105"/>
        <v>1</v>
      </c>
      <c r="X1285">
        <f t="shared" si="106"/>
        <v>1</v>
      </c>
    </row>
    <row r="1286" spans="1:24" hidden="1">
      <c r="A1286" t="s">
        <v>271</v>
      </c>
      <c r="B1286">
        <v>3</v>
      </c>
      <c r="C1286">
        <v>1</v>
      </c>
      <c r="D1286">
        <v>0</v>
      </c>
      <c r="E1286">
        <v>100</v>
      </c>
      <c r="F1286">
        <v>100</v>
      </c>
      <c r="G1286">
        <v>100</v>
      </c>
      <c r="H1286">
        <v>0</v>
      </c>
      <c r="I1286">
        <v>0</v>
      </c>
      <c r="J1286">
        <v>0</v>
      </c>
      <c r="K1286">
        <v>0</v>
      </c>
      <c r="L1286">
        <v>1</v>
      </c>
      <c r="M1286">
        <v>0</v>
      </c>
      <c r="N1286">
        <v>34</v>
      </c>
      <c r="O1286">
        <v>150000</v>
      </c>
      <c r="P1286">
        <v>4</v>
      </c>
      <c r="Q1286">
        <v>4</v>
      </c>
      <c r="R1286">
        <v>4</v>
      </c>
      <c r="S1286">
        <v>4</v>
      </c>
      <c r="T1286" s="123">
        <f t="shared" si="102"/>
        <v>1</v>
      </c>
      <c r="U1286">
        <f t="shared" si="103"/>
        <v>1</v>
      </c>
      <c r="V1286">
        <f t="shared" si="104"/>
        <v>1</v>
      </c>
      <c r="W1286">
        <f t="shared" si="105"/>
        <v>1</v>
      </c>
      <c r="X1286">
        <f t="shared" si="106"/>
        <v>1</v>
      </c>
    </row>
    <row r="1287" spans="1:24">
      <c r="A1287" t="s">
        <v>271</v>
      </c>
      <c r="B1287">
        <v>4</v>
      </c>
      <c r="C1287">
        <v>1</v>
      </c>
      <c r="D1287">
        <v>100</v>
      </c>
      <c r="E1287">
        <v>100</v>
      </c>
      <c r="F1287">
        <v>0</v>
      </c>
      <c r="G1287">
        <v>17.074468085106389</v>
      </c>
      <c r="H1287">
        <v>50</v>
      </c>
      <c r="I1287">
        <v>0</v>
      </c>
      <c r="J1287">
        <v>0</v>
      </c>
      <c r="K1287">
        <v>1</v>
      </c>
      <c r="L1287">
        <v>1</v>
      </c>
      <c r="M1287">
        <v>0</v>
      </c>
      <c r="N1287">
        <v>34</v>
      </c>
      <c r="O1287">
        <v>150000</v>
      </c>
      <c r="P1287">
        <v>4</v>
      </c>
      <c r="Q1287">
        <v>4</v>
      </c>
      <c r="R1287">
        <v>4</v>
      </c>
      <c r="S1287">
        <v>4</v>
      </c>
      <c r="T1287" s="123">
        <f t="shared" si="102"/>
        <v>0</v>
      </c>
      <c r="U1287">
        <f t="shared" si="103"/>
        <v>1</v>
      </c>
      <c r="V1287">
        <f t="shared" si="104"/>
        <v>1</v>
      </c>
      <c r="W1287">
        <f t="shared" si="105"/>
        <v>1</v>
      </c>
      <c r="X1287">
        <f t="shared" si="106"/>
        <v>1</v>
      </c>
    </row>
    <row r="1288" spans="1:24">
      <c r="A1288" t="s">
        <v>271</v>
      </c>
      <c r="B1288">
        <v>5</v>
      </c>
      <c r="C1288">
        <v>1</v>
      </c>
      <c r="D1288">
        <v>100</v>
      </c>
      <c r="E1288">
        <v>0</v>
      </c>
      <c r="F1288">
        <v>100</v>
      </c>
      <c r="G1288">
        <v>100</v>
      </c>
      <c r="H1288">
        <v>0</v>
      </c>
      <c r="I1288">
        <v>0</v>
      </c>
      <c r="J1288">
        <v>0</v>
      </c>
      <c r="K1288">
        <v>1</v>
      </c>
      <c r="L1288">
        <v>1</v>
      </c>
      <c r="M1288">
        <v>0</v>
      </c>
      <c r="N1288">
        <v>34</v>
      </c>
      <c r="O1288">
        <v>150000</v>
      </c>
      <c r="P1288">
        <v>4</v>
      </c>
      <c r="Q1288">
        <v>4</v>
      </c>
      <c r="R1288">
        <v>4</v>
      </c>
      <c r="S1288">
        <v>4</v>
      </c>
      <c r="T1288" s="123">
        <f t="shared" si="102"/>
        <v>0</v>
      </c>
      <c r="U1288">
        <f t="shared" si="103"/>
        <v>1</v>
      </c>
      <c r="V1288">
        <f t="shared" si="104"/>
        <v>1</v>
      </c>
      <c r="W1288">
        <f t="shared" si="105"/>
        <v>1</v>
      </c>
      <c r="X1288">
        <f t="shared" si="106"/>
        <v>1</v>
      </c>
    </row>
    <row r="1289" spans="1:24">
      <c r="A1289" t="s">
        <v>271</v>
      </c>
      <c r="B1289">
        <v>6</v>
      </c>
      <c r="C1289">
        <v>1</v>
      </c>
      <c r="D1289">
        <v>100</v>
      </c>
      <c r="E1289">
        <v>100</v>
      </c>
      <c r="F1289">
        <v>100</v>
      </c>
      <c r="G1289">
        <v>0</v>
      </c>
      <c r="H1289">
        <v>0</v>
      </c>
      <c r="I1289">
        <v>0</v>
      </c>
      <c r="J1289">
        <v>0</v>
      </c>
      <c r="K1289">
        <v>1</v>
      </c>
      <c r="L1289">
        <v>1</v>
      </c>
      <c r="M1289">
        <v>0</v>
      </c>
      <c r="N1289">
        <v>34</v>
      </c>
      <c r="O1289">
        <v>150000</v>
      </c>
      <c r="P1289">
        <v>4</v>
      </c>
      <c r="Q1289">
        <v>4</v>
      </c>
      <c r="R1289">
        <v>4</v>
      </c>
      <c r="S1289">
        <v>4</v>
      </c>
      <c r="T1289" s="123">
        <f t="shared" si="102"/>
        <v>0</v>
      </c>
      <c r="U1289">
        <f t="shared" si="103"/>
        <v>1</v>
      </c>
      <c r="V1289">
        <f t="shared" si="104"/>
        <v>1</v>
      </c>
      <c r="W1289">
        <f t="shared" si="105"/>
        <v>1</v>
      </c>
      <c r="X1289">
        <f t="shared" si="106"/>
        <v>1</v>
      </c>
    </row>
    <row r="1290" spans="1:24">
      <c r="A1290" t="s">
        <v>271</v>
      </c>
      <c r="B1290">
        <v>7</v>
      </c>
      <c r="C1290">
        <v>1</v>
      </c>
      <c r="D1290">
        <v>0</v>
      </c>
      <c r="E1290">
        <v>0</v>
      </c>
      <c r="F1290">
        <v>100</v>
      </c>
      <c r="G1290">
        <v>100</v>
      </c>
      <c r="H1290">
        <v>0</v>
      </c>
      <c r="I1290">
        <v>0</v>
      </c>
      <c r="J1290">
        <v>1</v>
      </c>
      <c r="K1290">
        <v>0</v>
      </c>
      <c r="L1290">
        <v>1</v>
      </c>
      <c r="M1290">
        <v>0</v>
      </c>
      <c r="N1290">
        <v>34</v>
      </c>
      <c r="O1290">
        <v>150000</v>
      </c>
      <c r="P1290">
        <v>4</v>
      </c>
      <c r="Q1290">
        <v>4</v>
      </c>
      <c r="R1290">
        <v>4</v>
      </c>
      <c r="S1290">
        <v>4</v>
      </c>
      <c r="T1290" s="123">
        <f t="shared" si="102"/>
        <v>0</v>
      </c>
      <c r="U1290">
        <f t="shared" si="103"/>
        <v>1</v>
      </c>
      <c r="V1290">
        <f t="shared" si="104"/>
        <v>1</v>
      </c>
      <c r="W1290">
        <f t="shared" si="105"/>
        <v>1</v>
      </c>
      <c r="X1290">
        <f t="shared" si="106"/>
        <v>1</v>
      </c>
    </row>
    <row r="1291" spans="1:24">
      <c r="A1291" t="s">
        <v>272</v>
      </c>
      <c r="B1291">
        <v>1</v>
      </c>
      <c r="C1291">
        <v>1</v>
      </c>
      <c r="D1291">
        <v>50</v>
      </c>
      <c r="E1291">
        <v>100</v>
      </c>
      <c r="F1291">
        <v>0</v>
      </c>
      <c r="G1291">
        <v>100</v>
      </c>
      <c r="H1291">
        <v>18.747474747474751</v>
      </c>
      <c r="I1291">
        <v>1</v>
      </c>
      <c r="J1291">
        <v>0</v>
      </c>
      <c r="K1291">
        <v>1</v>
      </c>
      <c r="L1291">
        <v>1</v>
      </c>
      <c r="M1291">
        <v>1</v>
      </c>
      <c r="N1291">
        <v>39</v>
      </c>
      <c r="O1291">
        <v>120000</v>
      </c>
      <c r="P1291">
        <v>3</v>
      </c>
      <c r="Q1291">
        <v>3</v>
      </c>
      <c r="R1291">
        <v>5</v>
      </c>
      <c r="S1291">
        <v>4</v>
      </c>
      <c r="T1291" s="123">
        <f t="shared" si="102"/>
        <v>0</v>
      </c>
      <c r="U1291">
        <f t="shared" si="103"/>
        <v>0</v>
      </c>
      <c r="V1291">
        <f t="shared" si="104"/>
        <v>0</v>
      </c>
      <c r="W1291">
        <f t="shared" si="105"/>
        <v>1</v>
      </c>
      <c r="X1291">
        <f t="shared" si="106"/>
        <v>1</v>
      </c>
    </row>
    <row r="1292" spans="1:24">
      <c r="A1292" t="s">
        <v>272</v>
      </c>
      <c r="B1292">
        <v>2</v>
      </c>
      <c r="C1292">
        <v>1</v>
      </c>
      <c r="D1292">
        <v>0</v>
      </c>
      <c r="E1292">
        <v>100</v>
      </c>
      <c r="F1292">
        <v>100</v>
      </c>
      <c r="G1292">
        <v>0</v>
      </c>
      <c r="H1292">
        <v>100</v>
      </c>
      <c r="I1292">
        <v>0</v>
      </c>
      <c r="J1292">
        <v>0</v>
      </c>
      <c r="K1292">
        <v>0</v>
      </c>
      <c r="L1292">
        <v>1</v>
      </c>
      <c r="M1292">
        <v>1</v>
      </c>
      <c r="N1292">
        <v>39</v>
      </c>
      <c r="O1292">
        <v>120000</v>
      </c>
      <c r="P1292">
        <v>3</v>
      </c>
      <c r="Q1292">
        <v>3</v>
      </c>
      <c r="R1292">
        <v>5</v>
      </c>
      <c r="S1292">
        <v>4</v>
      </c>
      <c r="T1292" s="123">
        <f t="shared" si="102"/>
        <v>0</v>
      </c>
      <c r="U1292">
        <f t="shared" si="103"/>
        <v>0</v>
      </c>
      <c r="V1292">
        <f t="shared" si="104"/>
        <v>0</v>
      </c>
      <c r="W1292">
        <f t="shared" si="105"/>
        <v>1</v>
      </c>
      <c r="X1292">
        <f t="shared" si="106"/>
        <v>1</v>
      </c>
    </row>
    <row r="1293" spans="1:24">
      <c r="A1293" t="s">
        <v>272</v>
      </c>
      <c r="B1293">
        <v>3</v>
      </c>
      <c r="C1293">
        <v>1</v>
      </c>
      <c r="D1293">
        <v>0</v>
      </c>
      <c r="E1293">
        <v>100</v>
      </c>
      <c r="F1293">
        <v>0</v>
      </c>
      <c r="G1293">
        <v>100</v>
      </c>
      <c r="H1293">
        <v>100</v>
      </c>
      <c r="I1293">
        <v>0</v>
      </c>
      <c r="J1293">
        <v>0</v>
      </c>
      <c r="K1293">
        <v>0</v>
      </c>
      <c r="L1293">
        <v>1</v>
      </c>
      <c r="M1293">
        <v>1</v>
      </c>
      <c r="N1293">
        <v>39</v>
      </c>
      <c r="O1293">
        <v>120000</v>
      </c>
      <c r="P1293">
        <v>3</v>
      </c>
      <c r="Q1293">
        <v>3</v>
      </c>
      <c r="R1293">
        <v>5</v>
      </c>
      <c r="S1293">
        <v>4</v>
      </c>
      <c r="T1293" s="123">
        <f t="shared" si="102"/>
        <v>0</v>
      </c>
      <c r="U1293">
        <f t="shared" si="103"/>
        <v>0</v>
      </c>
      <c r="V1293">
        <f t="shared" si="104"/>
        <v>0</v>
      </c>
      <c r="W1293">
        <f t="shared" si="105"/>
        <v>1</v>
      </c>
      <c r="X1293">
        <f t="shared" si="106"/>
        <v>1</v>
      </c>
    </row>
    <row r="1294" spans="1:24">
      <c r="A1294" t="s">
        <v>272</v>
      </c>
      <c r="B1294">
        <v>4</v>
      </c>
      <c r="C1294">
        <v>1</v>
      </c>
      <c r="D1294">
        <v>100</v>
      </c>
      <c r="E1294">
        <v>0</v>
      </c>
      <c r="F1294">
        <v>0</v>
      </c>
      <c r="G1294">
        <v>100</v>
      </c>
      <c r="H1294">
        <v>0</v>
      </c>
      <c r="I1294">
        <v>0</v>
      </c>
      <c r="J1294">
        <v>0</v>
      </c>
      <c r="K1294">
        <v>1</v>
      </c>
      <c r="L1294">
        <v>1</v>
      </c>
      <c r="M1294">
        <v>1</v>
      </c>
      <c r="N1294">
        <v>39</v>
      </c>
      <c r="O1294">
        <v>120000</v>
      </c>
      <c r="P1294">
        <v>3</v>
      </c>
      <c r="Q1294">
        <v>3</v>
      </c>
      <c r="R1294">
        <v>5</v>
      </c>
      <c r="S1294">
        <v>4</v>
      </c>
      <c r="T1294" s="123">
        <f t="shared" si="102"/>
        <v>0</v>
      </c>
      <c r="U1294">
        <f t="shared" si="103"/>
        <v>0</v>
      </c>
      <c r="V1294">
        <f t="shared" si="104"/>
        <v>0</v>
      </c>
      <c r="W1294">
        <f t="shared" si="105"/>
        <v>1</v>
      </c>
      <c r="X1294">
        <f t="shared" si="106"/>
        <v>1</v>
      </c>
    </row>
    <row r="1295" spans="1:24">
      <c r="A1295" t="s">
        <v>272</v>
      </c>
      <c r="B1295">
        <v>5</v>
      </c>
      <c r="C1295">
        <v>1</v>
      </c>
      <c r="D1295">
        <v>100</v>
      </c>
      <c r="E1295">
        <v>100</v>
      </c>
      <c r="F1295">
        <v>0</v>
      </c>
      <c r="G1295">
        <v>0</v>
      </c>
      <c r="H1295">
        <v>100</v>
      </c>
      <c r="I1295">
        <v>0</v>
      </c>
      <c r="J1295">
        <v>0</v>
      </c>
      <c r="K1295">
        <v>1</v>
      </c>
      <c r="L1295">
        <v>1</v>
      </c>
      <c r="M1295">
        <v>1</v>
      </c>
      <c r="N1295">
        <v>39</v>
      </c>
      <c r="O1295">
        <v>120000</v>
      </c>
      <c r="P1295">
        <v>3</v>
      </c>
      <c r="Q1295">
        <v>3</v>
      </c>
      <c r="R1295">
        <v>5</v>
      </c>
      <c r="S1295">
        <v>4</v>
      </c>
      <c r="T1295" s="123">
        <f t="shared" si="102"/>
        <v>0</v>
      </c>
      <c r="U1295">
        <f t="shared" si="103"/>
        <v>0</v>
      </c>
      <c r="V1295">
        <f t="shared" si="104"/>
        <v>0</v>
      </c>
      <c r="W1295">
        <f t="shared" si="105"/>
        <v>1</v>
      </c>
      <c r="X1295">
        <f t="shared" si="106"/>
        <v>1</v>
      </c>
    </row>
    <row r="1296" spans="1:24">
      <c r="A1296" t="s">
        <v>272</v>
      </c>
      <c r="B1296">
        <v>6</v>
      </c>
      <c r="C1296">
        <v>1</v>
      </c>
      <c r="D1296">
        <v>100</v>
      </c>
      <c r="E1296">
        <v>0</v>
      </c>
      <c r="F1296">
        <v>100</v>
      </c>
      <c r="G1296">
        <v>0</v>
      </c>
      <c r="H1296">
        <v>100</v>
      </c>
      <c r="I1296">
        <v>0</v>
      </c>
      <c r="J1296">
        <v>0</v>
      </c>
      <c r="K1296">
        <v>1</v>
      </c>
      <c r="L1296">
        <v>1</v>
      </c>
      <c r="M1296">
        <v>1</v>
      </c>
      <c r="N1296">
        <v>39</v>
      </c>
      <c r="O1296">
        <v>120000</v>
      </c>
      <c r="P1296">
        <v>3</v>
      </c>
      <c r="Q1296">
        <v>3</v>
      </c>
      <c r="R1296">
        <v>5</v>
      </c>
      <c r="S1296">
        <v>4</v>
      </c>
      <c r="T1296" s="123">
        <f t="shared" si="102"/>
        <v>0</v>
      </c>
      <c r="U1296">
        <f t="shared" si="103"/>
        <v>0</v>
      </c>
      <c r="V1296">
        <f t="shared" si="104"/>
        <v>0</v>
      </c>
      <c r="W1296">
        <f t="shared" si="105"/>
        <v>1</v>
      </c>
      <c r="X1296">
        <f t="shared" si="106"/>
        <v>1</v>
      </c>
    </row>
    <row r="1297" spans="1:24">
      <c r="A1297" t="s">
        <v>272</v>
      </c>
      <c r="B1297">
        <v>7</v>
      </c>
      <c r="C1297">
        <v>1</v>
      </c>
      <c r="D1297">
        <v>100</v>
      </c>
      <c r="E1297">
        <v>0</v>
      </c>
      <c r="F1297">
        <v>100</v>
      </c>
      <c r="G1297">
        <v>0</v>
      </c>
      <c r="H1297">
        <v>100</v>
      </c>
      <c r="I1297">
        <v>0</v>
      </c>
      <c r="J1297">
        <v>1</v>
      </c>
      <c r="K1297">
        <v>1</v>
      </c>
      <c r="L1297">
        <v>1</v>
      </c>
      <c r="M1297">
        <v>1</v>
      </c>
      <c r="N1297">
        <v>39</v>
      </c>
      <c r="O1297">
        <v>120000</v>
      </c>
      <c r="P1297">
        <v>3</v>
      </c>
      <c r="Q1297">
        <v>3</v>
      </c>
      <c r="R1297">
        <v>5</v>
      </c>
      <c r="S1297">
        <v>4</v>
      </c>
      <c r="T1297" s="123">
        <f t="shared" si="102"/>
        <v>0</v>
      </c>
      <c r="U1297">
        <f t="shared" si="103"/>
        <v>0</v>
      </c>
      <c r="V1297">
        <f t="shared" si="104"/>
        <v>0</v>
      </c>
      <c r="W1297">
        <f t="shared" si="105"/>
        <v>1</v>
      </c>
      <c r="X1297">
        <f t="shared" si="106"/>
        <v>1</v>
      </c>
    </row>
    <row r="1298" spans="1:24">
      <c r="A1298" t="s">
        <v>273</v>
      </c>
      <c r="B1298">
        <v>1</v>
      </c>
      <c r="C1298">
        <v>1</v>
      </c>
      <c r="D1298">
        <v>100</v>
      </c>
      <c r="E1298">
        <v>100</v>
      </c>
      <c r="F1298">
        <v>0</v>
      </c>
      <c r="G1298">
        <v>100</v>
      </c>
      <c r="H1298">
        <v>0</v>
      </c>
      <c r="I1298">
        <v>1</v>
      </c>
      <c r="J1298">
        <v>0</v>
      </c>
      <c r="K1298">
        <v>1</v>
      </c>
      <c r="L1298">
        <v>1</v>
      </c>
      <c r="M1298">
        <v>0</v>
      </c>
      <c r="N1298">
        <v>32</v>
      </c>
      <c r="O1298">
        <v>150000</v>
      </c>
      <c r="P1298">
        <v>5</v>
      </c>
      <c r="Q1298">
        <v>4</v>
      </c>
      <c r="R1298">
        <v>4</v>
      </c>
      <c r="S1298">
        <v>4</v>
      </c>
      <c r="T1298" s="123">
        <f t="shared" si="102"/>
        <v>0</v>
      </c>
      <c r="U1298">
        <f t="shared" si="103"/>
        <v>1</v>
      </c>
      <c r="V1298">
        <f t="shared" si="104"/>
        <v>1</v>
      </c>
      <c r="W1298">
        <f t="shared" si="105"/>
        <v>1</v>
      </c>
      <c r="X1298">
        <f t="shared" si="106"/>
        <v>1</v>
      </c>
    </row>
    <row r="1299" spans="1:24">
      <c r="A1299" t="s">
        <v>273</v>
      </c>
      <c r="B1299">
        <v>2</v>
      </c>
      <c r="C1299">
        <v>1</v>
      </c>
      <c r="D1299">
        <v>0</v>
      </c>
      <c r="E1299">
        <v>100</v>
      </c>
      <c r="F1299">
        <v>0</v>
      </c>
      <c r="G1299">
        <v>100</v>
      </c>
      <c r="H1299">
        <v>100</v>
      </c>
      <c r="I1299">
        <v>0</v>
      </c>
      <c r="J1299">
        <v>0</v>
      </c>
      <c r="K1299">
        <v>0</v>
      </c>
      <c r="L1299">
        <v>1</v>
      </c>
      <c r="M1299">
        <v>0</v>
      </c>
      <c r="N1299">
        <v>32</v>
      </c>
      <c r="O1299">
        <v>150000</v>
      </c>
      <c r="P1299">
        <v>5</v>
      </c>
      <c r="Q1299">
        <v>4</v>
      </c>
      <c r="R1299">
        <v>4</v>
      </c>
      <c r="S1299">
        <v>4</v>
      </c>
      <c r="T1299" s="123">
        <f t="shared" si="102"/>
        <v>0</v>
      </c>
      <c r="U1299">
        <f t="shared" si="103"/>
        <v>1</v>
      </c>
      <c r="V1299">
        <f t="shared" si="104"/>
        <v>1</v>
      </c>
      <c r="W1299">
        <f t="shared" si="105"/>
        <v>1</v>
      </c>
      <c r="X1299">
        <f t="shared" si="106"/>
        <v>1</v>
      </c>
    </row>
    <row r="1300" spans="1:24">
      <c r="A1300" t="s">
        <v>273</v>
      </c>
      <c r="B1300">
        <v>3</v>
      </c>
      <c r="C1300">
        <v>1</v>
      </c>
      <c r="D1300">
        <v>0</v>
      </c>
      <c r="E1300">
        <v>0</v>
      </c>
      <c r="F1300">
        <v>100</v>
      </c>
      <c r="G1300">
        <v>100</v>
      </c>
      <c r="H1300">
        <v>100</v>
      </c>
      <c r="I1300">
        <v>0</v>
      </c>
      <c r="J1300">
        <v>0</v>
      </c>
      <c r="K1300">
        <v>0</v>
      </c>
      <c r="L1300">
        <v>1</v>
      </c>
      <c r="M1300">
        <v>0</v>
      </c>
      <c r="N1300">
        <v>32</v>
      </c>
      <c r="O1300">
        <v>150000</v>
      </c>
      <c r="P1300">
        <v>5</v>
      </c>
      <c r="Q1300">
        <v>4</v>
      </c>
      <c r="R1300">
        <v>4</v>
      </c>
      <c r="S1300">
        <v>4</v>
      </c>
      <c r="T1300" s="123">
        <f t="shared" si="102"/>
        <v>0</v>
      </c>
      <c r="U1300">
        <f t="shared" si="103"/>
        <v>1</v>
      </c>
      <c r="V1300">
        <f t="shared" si="104"/>
        <v>1</v>
      </c>
      <c r="W1300">
        <f t="shared" si="105"/>
        <v>1</v>
      </c>
      <c r="X1300">
        <f t="shared" si="106"/>
        <v>1</v>
      </c>
    </row>
    <row r="1301" spans="1:24">
      <c r="A1301" t="s">
        <v>273</v>
      </c>
      <c r="B1301">
        <v>4</v>
      </c>
      <c r="C1301">
        <v>1</v>
      </c>
      <c r="D1301">
        <v>100</v>
      </c>
      <c r="E1301">
        <v>100</v>
      </c>
      <c r="F1301">
        <v>17.01063829787234</v>
      </c>
      <c r="G1301">
        <v>0</v>
      </c>
      <c r="H1301">
        <v>50</v>
      </c>
      <c r="I1301">
        <v>0</v>
      </c>
      <c r="J1301">
        <v>0</v>
      </c>
      <c r="K1301">
        <v>1</v>
      </c>
      <c r="L1301">
        <v>1</v>
      </c>
      <c r="M1301">
        <v>0</v>
      </c>
      <c r="N1301">
        <v>32</v>
      </c>
      <c r="O1301">
        <v>150000</v>
      </c>
      <c r="P1301">
        <v>5</v>
      </c>
      <c r="Q1301">
        <v>4</v>
      </c>
      <c r="R1301">
        <v>4</v>
      </c>
      <c r="S1301">
        <v>4</v>
      </c>
      <c r="T1301" s="123">
        <f t="shared" si="102"/>
        <v>0</v>
      </c>
      <c r="U1301">
        <f t="shared" si="103"/>
        <v>1</v>
      </c>
      <c r="V1301">
        <f t="shared" si="104"/>
        <v>1</v>
      </c>
      <c r="W1301">
        <f t="shared" si="105"/>
        <v>1</v>
      </c>
      <c r="X1301">
        <f t="shared" si="106"/>
        <v>1</v>
      </c>
    </row>
    <row r="1302" spans="1:24">
      <c r="A1302" t="s">
        <v>273</v>
      </c>
      <c r="B1302">
        <v>5</v>
      </c>
      <c r="C1302">
        <v>1</v>
      </c>
      <c r="D1302">
        <v>100</v>
      </c>
      <c r="E1302">
        <v>0</v>
      </c>
      <c r="F1302">
        <v>100</v>
      </c>
      <c r="G1302">
        <v>0</v>
      </c>
      <c r="H1302">
        <v>0</v>
      </c>
      <c r="I1302">
        <v>0</v>
      </c>
      <c r="J1302">
        <v>0</v>
      </c>
      <c r="K1302">
        <v>1</v>
      </c>
      <c r="L1302">
        <v>1</v>
      </c>
      <c r="M1302">
        <v>0</v>
      </c>
      <c r="N1302">
        <v>32</v>
      </c>
      <c r="O1302">
        <v>150000</v>
      </c>
      <c r="P1302">
        <v>5</v>
      </c>
      <c r="Q1302">
        <v>4</v>
      </c>
      <c r="R1302">
        <v>4</v>
      </c>
      <c r="S1302">
        <v>4</v>
      </c>
      <c r="T1302" s="123">
        <f t="shared" si="102"/>
        <v>0</v>
      </c>
      <c r="U1302">
        <f t="shared" si="103"/>
        <v>1</v>
      </c>
      <c r="V1302">
        <f t="shared" si="104"/>
        <v>1</v>
      </c>
      <c r="W1302">
        <f t="shared" si="105"/>
        <v>1</v>
      </c>
      <c r="X1302">
        <f t="shared" si="106"/>
        <v>1</v>
      </c>
    </row>
    <row r="1303" spans="1:24">
      <c r="A1303" t="s">
        <v>273</v>
      </c>
      <c r="B1303">
        <v>6</v>
      </c>
      <c r="C1303">
        <v>1</v>
      </c>
      <c r="D1303">
        <v>0</v>
      </c>
      <c r="E1303">
        <v>0</v>
      </c>
      <c r="F1303">
        <v>100</v>
      </c>
      <c r="G1303">
        <v>100</v>
      </c>
      <c r="H1303">
        <v>100</v>
      </c>
      <c r="I1303">
        <v>0</v>
      </c>
      <c r="J1303">
        <v>0</v>
      </c>
      <c r="K1303">
        <v>0</v>
      </c>
      <c r="L1303">
        <v>1</v>
      </c>
      <c r="M1303">
        <v>0</v>
      </c>
      <c r="N1303">
        <v>32</v>
      </c>
      <c r="O1303">
        <v>150000</v>
      </c>
      <c r="P1303">
        <v>5</v>
      </c>
      <c r="Q1303">
        <v>4</v>
      </c>
      <c r="R1303">
        <v>4</v>
      </c>
      <c r="S1303">
        <v>4</v>
      </c>
      <c r="T1303" s="123">
        <f t="shared" si="102"/>
        <v>0</v>
      </c>
      <c r="U1303">
        <f t="shared" si="103"/>
        <v>1</v>
      </c>
      <c r="V1303">
        <f t="shared" si="104"/>
        <v>1</v>
      </c>
      <c r="W1303">
        <f t="shared" si="105"/>
        <v>1</v>
      </c>
      <c r="X1303">
        <f t="shared" si="106"/>
        <v>1</v>
      </c>
    </row>
    <row r="1304" spans="1:24">
      <c r="A1304" t="s">
        <v>273</v>
      </c>
      <c r="B1304">
        <v>7</v>
      </c>
      <c r="C1304">
        <v>1</v>
      </c>
      <c r="D1304">
        <v>100</v>
      </c>
      <c r="E1304">
        <v>100</v>
      </c>
      <c r="F1304">
        <v>0</v>
      </c>
      <c r="G1304">
        <v>0</v>
      </c>
      <c r="H1304">
        <v>100</v>
      </c>
      <c r="I1304">
        <v>0</v>
      </c>
      <c r="J1304">
        <v>1</v>
      </c>
      <c r="K1304">
        <v>1</v>
      </c>
      <c r="L1304">
        <v>1</v>
      </c>
      <c r="M1304">
        <v>0</v>
      </c>
      <c r="N1304">
        <v>32</v>
      </c>
      <c r="O1304">
        <v>150000</v>
      </c>
      <c r="P1304">
        <v>5</v>
      </c>
      <c r="Q1304">
        <v>4</v>
      </c>
      <c r="R1304">
        <v>4</v>
      </c>
      <c r="S1304">
        <v>4</v>
      </c>
      <c r="T1304" s="123">
        <f t="shared" si="102"/>
        <v>0</v>
      </c>
      <c r="U1304">
        <f t="shared" si="103"/>
        <v>1</v>
      </c>
      <c r="V1304">
        <f t="shared" si="104"/>
        <v>1</v>
      </c>
      <c r="W1304">
        <f t="shared" si="105"/>
        <v>1</v>
      </c>
      <c r="X1304">
        <f t="shared" si="106"/>
        <v>1</v>
      </c>
    </row>
    <row r="1305" spans="1:24">
      <c r="A1305" t="s">
        <v>274</v>
      </c>
      <c r="B1305">
        <v>1</v>
      </c>
      <c r="C1305">
        <v>1</v>
      </c>
      <c r="D1305">
        <v>100</v>
      </c>
      <c r="E1305">
        <v>0</v>
      </c>
      <c r="F1305">
        <v>100</v>
      </c>
      <c r="G1305">
        <v>100</v>
      </c>
      <c r="H1305">
        <v>0</v>
      </c>
      <c r="I1305">
        <v>1</v>
      </c>
      <c r="J1305">
        <v>0</v>
      </c>
      <c r="K1305">
        <v>1</v>
      </c>
      <c r="L1305">
        <v>1</v>
      </c>
      <c r="M1305">
        <v>1</v>
      </c>
      <c r="N1305">
        <v>29</v>
      </c>
      <c r="O1305">
        <v>170000</v>
      </c>
      <c r="P1305">
        <v>2</v>
      </c>
      <c r="Q1305">
        <v>2</v>
      </c>
      <c r="R1305">
        <v>4</v>
      </c>
      <c r="S1305">
        <v>4</v>
      </c>
      <c r="T1305" s="123">
        <f t="shared" si="102"/>
        <v>0</v>
      </c>
      <c r="U1305">
        <f t="shared" si="103"/>
        <v>0</v>
      </c>
      <c r="V1305">
        <f t="shared" si="104"/>
        <v>0</v>
      </c>
      <c r="W1305">
        <f t="shared" si="105"/>
        <v>1</v>
      </c>
      <c r="X1305">
        <f t="shared" si="106"/>
        <v>1</v>
      </c>
    </row>
    <row r="1306" spans="1:24">
      <c r="A1306" t="s">
        <v>274</v>
      </c>
      <c r="B1306">
        <v>2</v>
      </c>
      <c r="C1306">
        <v>1</v>
      </c>
      <c r="D1306">
        <v>100</v>
      </c>
      <c r="E1306">
        <v>0</v>
      </c>
      <c r="F1306">
        <v>0</v>
      </c>
      <c r="G1306">
        <v>100</v>
      </c>
      <c r="H1306">
        <v>100</v>
      </c>
      <c r="I1306">
        <v>0</v>
      </c>
      <c r="J1306">
        <v>0</v>
      </c>
      <c r="K1306">
        <v>1</v>
      </c>
      <c r="L1306">
        <v>1</v>
      </c>
      <c r="M1306">
        <v>1</v>
      </c>
      <c r="N1306">
        <v>29</v>
      </c>
      <c r="O1306">
        <v>170000</v>
      </c>
      <c r="P1306">
        <v>2</v>
      </c>
      <c r="Q1306">
        <v>2</v>
      </c>
      <c r="R1306">
        <v>4</v>
      </c>
      <c r="S1306">
        <v>4</v>
      </c>
      <c r="T1306" s="123">
        <f t="shared" si="102"/>
        <v>0</v>
      </c>
      <c r="U1306">
        <f t="shared" si="103"/>
        <v>0</v>
      </c>
      <c r="V1306">
        <f t="shared" si="104"/>
        <v>0</v>
      </c>
      <c r="W1306">
        <f t="shared" si="105"/>
        <v>1</v>
      </c>
      <c r="X1306">
        <f t="shared" si="106"/>
        <v>1</v>
      </c>
    </row>
    <row r="1307" spans="1:24">
      <c r="A1307" t="s">
        <v>274</v>
      </c>
      <c r="B1307">
        <v>3</v>
      </c>
      <c r="C1307">
        <v>1</v>
      </c>
      <c r="D1307">
        <v>0</v>
      </c>
      <c r="E1307">
        <v>100</v>
      </c>
      <c r="F1307">
        <v>0</v>
      </c>
      <c r="G1307">
        <v>100</v>
      </c>
      <c r="H1307">
        <v>0</v>
      </c>
      <c r="I1307">
        <v>0</v>
      </c>
      <c r="J1307">
        <v>0</v>
      </c>
      <c r="K1307">
        <v>0</v>
      </c>
      <c r="L1307">
        <v>1</v>
      </c>
      <c r="M1307">
        <v>1</v>
      </c>
      <c r="N1307">
        <v>29</v>
      </c>
      <c r="O1307">
        <v>170000</v>
      </c>
      <c r="P1307">
        <v>2</v>
      </c>
      <c r="Q1307">
        <v>2</v>
      </c>
      <c r="R1307">
        <v>4</v>
      </c>
      <c r="S1307">
        <v>4</v>
      </c>
      <c r="T1307" s="123">
        <f t="shared" si="102"/>
        <v>0</v>
      </c>
      <c r="U1307">
        <f t="shared" si="103"/>
        <v>0</v>
      </c>
      <c r="V1307">
        <f t="shared" si="104"/>
        <v>0</v>
      </c>
      <c r="W1307">
        <f t="shared" si="105"/>
        <v>1</v>
      </c>
      <c r="X1307">
        <f t="shared" si="106"/>
        <v>1</v>
      </c>
    </row>
    <row r="1308" spans="1:24">
      <c r="A1308" t="s">
        <v>274</v>
      </c>
      <c r="B1308">
        <v>4</v>
      </c>
      <c r="C1308">
        <v>1</v>
      </c>
      <c r="D1308">
        <v>0</v>
      </c>
      <c r="E1308">
        <v>100</v>
      </c>
      <c r="F1308">
        <v>0</v>
      </c>
      <c r="G1308">
        <v>100</v>
      </c>
      <c r="H1308">
        <v>100</v>
      </c>
      <c r="I1308">
        <v>0</v>
      </c>
      <c r="J1308">
        <v>0</v>
      </c>
      <c r="K1308">
        <v>0</v>
      </c>
      <c r="L1308">
        <v>1</v>
      </c>
      <c r="M1308">
        <v>1</v>
      </c>
      <c r="N1308">
        <v>29</v>
      </c>
      <c r="O1308">
        <v>170000</v>
      </c>
      <c r="P1308">
        <v>2</v>
      </c>
      <c r="Q1308">
        <v>2</v>
      </c>
      <c r="R1308">
        <v>4</v>
      </c>
      <c r="S1308">
        <v>4</v>
      </c>
      <c r="T1308" s="123">
        <f t="shared" si="102"/>
        <v>0</v>
      </c>
      <c r="U1308">
        <f t="shared" si="103"/>
        <v>0</v>
      </c>
      <c r="V1308">
        <f t="shared" si="104"/>
        <v>0</v>
      </c>
      <c r="W1308">
        <f t="shared" si="105"/>
        <v>1</v>
      </c>
      <c r="X1308">
        <f t="shared" si="106"/>
        <v>1</v>
      </c>
    </row>
    <row r="1309" spans="1:24" hidden="1">
      <c r="A1309" t="s">
        <v>274</v>
      </c>
      <c r="B1309">
        <v>5</v>
      </c>
      <c r="C1309">
        <v>1</v>
      </c>
      <c r="D1309">
        <v>100</v>
      </c>
      <c r="E1309">
        <v>0</v>
      </c>
      <c r="F1309">
        <v>50</v>
      </c>
      <c r="G1309">
        <v>16.531914893617021</v>
      </c>
      <c r="H1309">
        <v>100</v>
      </c>
      <c r="I1309">
        <v>0</v>
      </c>
      <c r="J1309">
        <v>0</v>
      </c>
      <c r="K1309">
        <v>1</v>
      </c>
      <c r="L1309">
        <v>1</v>
      </c>
      <c r="M1309">
        <v>1</v>
      </c>
      <c r="N1309">
        <v>29</v>
      </c>
      <c r="O1309">
        <v>170000</v>
      </c>
      <c r="P1309">
        <v>2</v>
      </c>
      <c r="Q1309">
        <v>2</v>
      </c>
      <c r="R1309">
        <v>4</v>
      </c>
      <c r="S1309">
        <v>4</v>
      </c>
      <c r="T1309" s="123">
        <f t="shared" si="102"/>
        <v>1</v>
      </c>
      <c r="U1309">
        <f t="shared" si="103"/>
        <v>0</v>
      </c>
      <c r="V1309">
        <f t="shared" si="104"/>
        <v>0</v>
      </c>
      <c r="W1309">
        <f t="shared" si="105"/>
        <v>1</v>
      </c>
      <c r="X1309">
        <f t="shared" si="106"/>
        <v>1</v>
      </c>
    </row>
    <row r="1310" spans="1:24">
      <c r="A1310" t="s">
        <v>274</v>
      </c>
      <c r="B1310">
        <v>6</v>
      </c>
      <c r="C1310">
        <v>1</v>
      </c>
      <c r="D1310">
        <v>100</v>
      </c>
      <c r="E1310">
        <v>100</v>
      </c>
      <c r="F1310">
        <v>0</v>
      </c>
      <c r="G1310">
        <v>100</v>
      </c>
      <c r="H1310">
        <v>0</v>
      </c>
      <c r="I1310">
        <v>0</v>
      </c>
      <c r="J1310">
        <v>0</v>
      </c>
      <c r="K1310">
        <v>1</v>
      </c>
      <c r="L1310">
        <v>1</v>
      </c>
      <c r="M1310">
        <v>1</v>
      </c>
      <c r="N1310">
        <v>29</v>
      </c>
      <c r="O1310">
        <v>170000</v>
      </c>
      <c r="P1310">
        <v>2</v>
      </c>
      <c r="Q1310">
        <v>2</v>
      </c>
      <c r="R1310">
        <v>4</v>
      </c>
      <c r="S1310">
        <v>4</v>
      </c>
      <c r="T1310" s="123">
        <f t="shared" si="102"/>
        <v>0</v>
      </c>
      <c r="U1310">
        <f t="shared" si="103"/>
        <v>0</v>
      </c>
      <c r="V1310">
        <f t="shared" si="104"/>
        <v>0</v>
      </c>
      <c r="W1310">
        <f t="shared" si="105"/>
        <v>1</v>
      </c>
      <c r="X1310">
        <f t="shared" si="106"/>
        <v>1</v>
      </c>
    </row>
    <row r="1311" spans="1:24" hidden="1">
      <c r="A1311" t="s">
        <v>274</v>
      </c>
      <c r="B1311">
        <v>7</v>
      </c>
      <c r="C1311">
        <v>1</v>
      </c>
      <c r="D1311">
        <v>0</v>
      </c>
      <c r="E1311">
        <v>100</v>
      </c>
      <c r="F1311">
        <v>100</v>
      </c>
      <c r="G1311">
        <v>100</v>
      </c>
      <c r="H1311">
        <v>0</v>
      </c>
      <c r="I1311">
        <v>0</v>
      </c>
      <c r="J1311">
        <v>1</v>
      </c>
      <c r="K1311">
        <v>0</v>
      </c>
      <c r="L1311">
        <v>1</v>
      </c>
      <c r="M1311">
        <v>1</v>
      </c>
      <c r="N1311">
        <v>29</v>
      </c>
      <c r="O1311">
        <v>170000</v>
      </c>
      <c r="P1311">
        <v>2</v>
      </c>
      <c r="Q1311">
        <v>2</v>
      </c>
      <c r="R1311">
        <v>4</v>
      </c>
      <c r="S1311">
        <v>4</v>
      </c>
      <c r="T1311" s="123">
        <f t="shared" si="102"/>
        <v>1</v>
      </c>
      <c r="U1311">
        <f t="shared" si="103"/>
        <v>0</v>
      </c>
      <c r="V1311">
        <f t="shared" si="104"/>
        <v>0</v>
      </c>
      <c r="W1311">
        <f t="shared" si="105"/>
        <v>1</v>
      </c>
      <c r="X1311">
        <f t="shared" si="106"/>
        <v>1</v>
      </c>
    </row>
    <row r="1312" spans="1:24">
      <c r="A1312" t="s">
        <v>275</v>
      </c>
      <c r="B1312">
        <v>1</v>
      </c>
      <c r="C1312">
        <v>1</v>
      </c>
      <c r="D1312">
        <v>100</v>
      </c>
      <c r="E1312">
        <v>100</v>
      </c>
      <c r="F1312">
        <v>0</v>
      </c>
      <c r="G1312">
        <v>100</v>
      </c>
      <c r="H1312">
        <v>0</v>
      </c>
      <c r="I1312">
        <v>1</v>
      </c>
      <c r="J1312">
        <v>0</v>
      </c>
      <c r="K1312">
        <v>1</v>
      </c>
      <c r="L1312">
        <v>1</v>
      </c>
      <c r="M1312">
        <v>1</v>
      </c>
      <c r="N1312">
        <v>31</v>
      </c>
      <c r="O1312">
        <v>170000</v>
      </c>
      <c r="P1312">
        <v>4</v>
      </c>
      <c r="Q1312">
        <v>2</v>
      </c>
      <c r="R1312">
        <v>4</v>
      </c>
      <c r="S1312">
        <v>4</v>
      </c>
      <c r="T1312" s="123">
        <f t="shared" si="102"/>
        <v>0</v>
      </c>
      <c r="U1312">
        <f t="shared" si="103"/>
        <v>1</v>
      </c>
      <c r="V1312">
        <f t="shared" si="104"/>
        <v>0</v>
      </c>
      <c r="W1312">
        <f t="shared" si="105"/>
        <v>1</v>
      </c>
      <c r="X1312">
        <f t="shared" si="106"/>
        <v>1</v>
      </c>
    </row>
    <row r="1313" spans="1:24">
      <c r="A1313" t="s">
        <v>275</v>
      </c>
      <c r="B1313">
        <v>2</v>
      </c>
      <c r="C1313">
        <v>1</v>
      </c>
      <c r="D1313">
        <v>100</v>
      </c>
      <c r="E1313">
        <v>100</v>
      </c>
      <c r="F1313">
        <v>100</v>
      </c>
      <c r="G1313">
        <v>0</v>
      </c>
      <c r="H1313">
        <v>0</v>
      </c>
      <c r="I1313">
        <v>0</v>
      </c>
      <c r="J1313">
        <v>0</v>
      </c>
      <c r="K1313">
        <v>1</v>
      </c>
      <c r="L1313">
        <v>1</v>
      </c>
      <c r="M1313">
        <v>1</v>
      </c>
      <c r="N1313">
        <v>31</v>
      </c>
      <c r="O1313">
        <v>170000</v>
      </c>
      <c r="P1313">
        <v>4</v>
      </c>
      <c r="Q1313">
        <v>2</v>
      </c>
      <c r="R1313">
        <v>4</v>
      </c>
      <c r="S1313">
        <v>4</v>
      </c>
      <c r="T1313" s="123">
        <f t="shared" si="102"/>
        <v>0</v>
      </c>
      <c r="U1313">
        <f t="shared" si="103"/>
        <v>1</v>
      </c>
      <c r="V1313">
        <f t="shared" si="104"/>
        <v>0</v>
      </c>
      <c r="W1313">
        <f t="shared" si="105"/>
        <v>1</v>
      </c>
      <c r="X1313">
        <f t="shared" si="106"/>
        <v>1</v>
      </c>
    </row>
    <row r="1314" spans="1:24">
      <c r="A1314" t="s">
        <v>275</v>
      </c>
      <c r="B1314">
        <v>3</v>
      </c>
      <c r="C1314">
        <v>1</v>
      </c>
      <c r="D1314">
        <v>100</v>
      </c>
      <c r="E1314">
        <v>100</v>
      </c>
      <c r="F1314">
        <v>100</v>
      </c>
      <c r="G1314">
        <v>0</v>
      </c>
      <c r="H1314">
        <v>0</v>
      </c>
      <c r="I1314">
        <v>0</v>
      </c>
      <c r="J1314">
        <v>0</v>
      </c>
      <c r="K1314">
        <v>1</v>
      </c>
      <c r="L1314">
        <v>1</v>
      </c>
      <c r="M1314">
        <v>1</v>
      </c>
      <c r="N1314">
        <v>31</v>
      </c>
      <c r="O1314">
        <v>170000</v>
      </c>
      <c r="P1314">
        <v>4</v>
      </c>
      <c r="Q1314">
        <v>2</v>
      </c>
      <c r="R1314">
        <v>4</v>
      </c>
      <c r="S1314">
        <v>4</v>
      </c>
      <c r="T1314" s="123">
        <f t="shared" si="102"/>
        <v>0</v>
      </c>
      <c r="U1314">
        <f t="shared" si="103"/>
        <v>1</v>
      </c>
      <c r="V1314">
        <f t="shared" si="104"/>
        <v>0</v>
      </c>
      <c r="W1314">
        <f t="shared" si="105"/>
        <v>1</v>
      </c>
      <c r="X1314">
        <f t="shared" si="106"/>
        <v>1</v>
      </c>
    </row>
    <row r="1315" spans="1:24" hidden="1">
      <c r="A1315" t="s">
        <v>275</v>
      </c>
      <c r="B1315">
        <v>4</v>
      </c>
      <c r="C1315">
        <v>1</v>
      </c>
      <c r="D1315">
        <v>0</v>
      </c>
      <c r="E1315">
        <v>100</v>
      </c>
      <c r="F1315">
        <v>16.404255319148941</v>
      </c>
      <c r="G1315">
        <v>50</v>
      </c>
      <c r="H1315">
        <v>100</v>
      </c>
      <c r="I1315">
        <v>0</v>
      </c>
      <c r="J1315">
        <v>0</v>
      </c>
      <c r="K1315">
        <v>0</v>
      </c>
      <c r="L1315">
        <v>1</v>
      </c>
      <c r="M1315">
        <v>1</v>
      </c>
      <c r="N1315">
        <v>31</v>
      </c>
      <c r="O1315">
        <v>170000</v>
      </c>
      <c r="P1315">
        <v>4</v>
      </c>
      <c r="Q1315">
        <v>2</v>
      </c>
      <c r="R1315">
        <v>4</v>
      </c>
      <c r="S1315">
        <v>4</v>
      </c>
      <c r="T1315" s="123">
        <f t="shared" si="102"/>
        <v>1</v>
      </c>
      <c r="U1315">
        <f t="shared" si="103"/>
        <v>1</v>
      </c>
      <c r="V1315">
        <f t="shared" si="104"/>
        <v>0</v>
      </c>
      <c r="W1315">
        <f t="shared" si="105"/>
        <v>1</v>
      </c>
      <c r="X1315">
        <f t="shared" si="106"/>
        <v>1</v>
      </c>
    </row>
    <row r="1316" spans="1:24">
      <c r="A1316" t="s">
        <v>275</v>
      </c>
      <c r="B1316">
        <v>5</v>
      </c>
      <c r="C1316">
        <v>1</v>
      </c>
      <c r="D1316">
        <v>0</v>
      </c>
      <c r="E1316">
        <v>100</v>
      </c>
      <c r="F1316">
        <v>0</v>
      </c>
      <c r="G1316">
        <v>100</v>
      </c>
      <c r="H1316">
        <v>100</v>
      </c>
      <c r="I1316">
        <v>0</v>
      </c>
      <c r="J1316">
        <v>0</v>
      </c>
      <c r="K1316">
        <v>0</v>
      </c>
      <c r="L1316">
        <v>1</v>
      </c>
      <c r="M1316">
        <v>1</v>
      </c>
      <c r="N1316">
        <v>31</v>
      </c>
      <c r="O1316">
        <v>170000</v>
      </c>
      <c r="P1316">
        <v>4</v>
      </c>
      <c r="Q1316">
        <v>2</v>
      </c>
      <c r="R1316">
        <v>4</v>
      </c>
      <c r="S1316">
        <v>4</v>
      </c>
      <c r="T1316" s="123">
        <f t="shared" si="102"/>
        <v>0</v>
      </c>
      <c r="U1316">
        <f t="shared" si="103"/>
        <v>1</v>
      </c>
      <c r="V1316">
        <f t="shared" si="104"/>
        <v>0</v>
      </c>
      <c r="W1316">
        <f t="shared" si="105"/>
        <v>1</v>
      </c>
      <c r="X1316">
        <f t="shared" si="106"/>
        <v>1</v>
      </c>
    </row>
    <row r="1317" spans="1:24">
      <c r="A1317" t="s">
        <v>275</v>
      </c>
      <c r="B1317">
        <v>6</v>
      </c>
      <c r="C1317">
        <v>1</v>
      </c>
      <c r="D1317">
        <v>0</v>
      </c>
      <c r="E1317">
        <v>100</v>
      </c>
      <c r="F1317">
        <v>100</v>
      </c>
      <c r="G1317">
        <v>0</v>
      </c>
      <c r="H1317">
        <v>100</v>
      </c>
      <c r="I1317">
        <v>0</v>
      </c>
      <c r="J1317">
        <v>0</v>
      </c>
      <c r="K1317">
        <v>0</v>
      </c>
      <c r="L1317">
        <v>1</v>
      </c>
      <c r="M1317">
        <v>1</v>
      </c>
      <c r="N1317">
        <v>31</v>
      </c>
      <c r="O1317">
        <v>170000</v>
      </c>
      <c r="P1317">
        <v>4</v>
      </c>
      <c r="Q1317">
        <v>2</v>
      </c>
      <c r="R1317">
        <v>4</v>
      </c>
      <c r="S1317">
        <v>4</v>
      </c>
      <c r="T1317" s="123">
        <f t="shared" si="102"/>
        <v>0</v>
      </c>
      <c r="U1317">
        <f t="shared" si="103"/>
        <v>1</v>
      </c>
      <c r="V1317">
        <f t="shared" si="104"/>
        <v>0</v>
      </c>
      <c r="W1317">
        <f t="shared" si="105"/>
        <v>1</v>
      </c>
      <c r="X1317">
        <f t="shared" si="106"/>
        <v>1</v>
      </c>
    </row>
    <row r="1318" spans="1:24">
      <c r="A1318" t="s">
        <v>275</v>
      </c>
      <c r="B1318">
        <v>7</v>
      </c>
      <c r="C1318">
        <v>1</v>
      </c>
      <c r="D1318">
        <v>0</v>
      </c>
      <c r="E1318">
        <v>0</v>
      </c>
      <c r="F1318">
        <v>100</v>
      </c>
      <c r="G1318">
        <v>0</v>
      </c>
      <c r="H1318">
        <v>100</v>
      </c>
      <c r="I1318">
        <v>0</v>
      </c>
      <c r="J1318">
        <v>1</v>
      </c>
      <c r="K1318">
        <v>0</v>
      </c>
      <c r="L1318">
        <v>1</v>
      </c>
      <c r="M1318">
        <v>1</v>
      </c>
      <c r="N1318">
        <v>31</v>
      </c>
      <c r="O1318">
        <v>170000</v>
      </c>
      <c r="P1318">
        <v>4</v>
      </c>
      <c r="Q1318">
        <v>2</v>
      </c>
      <c r="R1318">
        <v>4</v>
      </c>
      <c r="S1318">
        <v>4</v>
      </c>
      <c r="T1318" s="123">
        <f t="shared" si="102"/>
        <v>0</v>
      </c>
      <c r="U1318">
        <f t="shared" si="103"/>
        <v>1</v>
      </c>
      <c r="V1318">
        <f t="shared" si="104"/>
        <v>0</v>
      </c>
      <c r="W1318">
        <f t="shared" si="105"/>
        <v>1</v>
      </c>
      <c r="X1318">
        <f t="shared" si="106"/>
        <v>1</v>
      </c>
    </row>
    <row r="1319" spans="1:24" hidden="1">
      <c r="A1319" t="s">
        <v>276</v>
      </c>
      <c r="B1319">
        <v>1</v>
      </c>
      <c r="C1319">
        <v>1</v>
      </c>
      <c r="D1319">
        <v>0</v>
      </c>
      <c r="E1319">
        <v>100</v>
      </c>
      <c r="F1319">
        <v>100</v>
      </c>
      <c r="G1319">
        <v>100</v>
      </c>
      <c r="H1319">
        <v>0</v>
      </c>
      <c r="I1319">
        <v>1</v>
      </c>
      <c r="J1319">
        <v>0</v>
      </c>
      <c r="K1319">
        <v>0</v>
      </c>
      <c r="L1319">
        <v>1</v>
      </c>
      <c r="M1319">
        <v>0</v>
      </c>
      <c r="N1319">
        <v>31</v>
      </c>
      <c r="O1319">
        <v>85000</v>
      </c>
      <c r="P1319">
        <v>3</v>
      </c>
      <c r="Q1319">
        <v>2</v>
      </c>
      <c r="R1319">
        <v>4</v>
      </c>
      <c r="S1319">
        <v>4</v>
      </c>
      <c r="T1319" s="123">
        <f t="shared" si="102"/>
        <v>1</v>
      </c>
      <c r="U1319">
        <f t="shared" si="103"/>
        <v>0</v>
      </c>
      <c r="V1319">
        <f t="shared" si="104"/>
        <v>0</v>
      </c>
      <c r="W1319">
        <f t="shared" si="105"/>
        <v>1</v>
      </c>
      <c r="X1319">
        <f t="shared" si="106"/>
        <v>1</v>
      </c>
    </row>
    <row r="1320" spans="1:24">
      <c r="A1320" t="s">
        <v>276</v>
      </c>
      <c r="B1320">
        <v>2</v>
      </c>
      <c r="C1320">
        <v>1</v>
      </c>
      <c r="D1320">
        <v>100</v>
      </c>
      <c r="E1320">
        <v>0</v>
      </c>
      <c r="F1320">
        <v>100</v>
      </c>
      <c r="G1320">
        <v>0</v>
      </c>
      <c r="H1320">
        <v>100</v>
      </c>
      <c r="I1320">
        <v>0</v>
      </c>
      <c r="J1320">
        <v>0</v>
      </c>
      <c r="K1320">
        <v>1</v>
      </c>
      <c r="L1320">
        <v>1</v>
      </c>
      <c r="M1320">
        <v>0</v>
      </c>
      <c r="N1320">
        <v>31</v>
      </c>
      <c r="O1320">
        <v>85000</v>
      </c>
      <c r="P1320">
        <v>3</v>
      </c>
      <c r="Q1320">
        <v>2</v>
      </c>
      <c r="R1320">
        <v>4</v>
      </c>
      <c r="S1320">
        <v>4</v>
      </c>
      <c r="T1320" s="123">
        <f t="shared" si="102"/>
        <v>0</v>
      </c>
      <c r="U1320">
        <f t="shared" si="103"/>
        <v>0</v>
      </c>
      <c r="V1320">
        <f t="shared" si="104"/>
        <v>0</v>
      </c>
      <c r="W1320">
        <f t="shared" si="105"/>
        <v>1</v>
      </c>
      <c r="X1320">
        <f t="shared" si="106"/>
        <v>1</v>
      </c>
    </row>
    <row r="1321" spans="1:24">
      <c r="A1321" t="s">
        <v>276</v>
      </c>
      <c r="B1321">
        <v>3</v>
      </c>
      <c r="C1321">
        <v>1</v>
      </c>
      <c r="D1321">
        <v>0</v>
      </c>
      <c r="E1321">
        <v>100</v>
      </c>
      <c r="F1321">
        <v>100</v>
      </c>
      <c r="G1321">
        <v>0</v>
      </c>
      <c r="H1321">
        <v>100</v>
      </c>
      <c r="I1321">
        <v>0</v>
      </c>
      <c r="J1321">
        <v>0</v>
      </c>
      <c r="K1321">
        <v>0</v>
      </c>
      <c r="L1321">
        <v>1</v>
      </c>
      <c r="M1321">
        <v>0</v>
      </c>
      <c r="N1321">
        <v>31</v>
      </c>
      <c r="O1321">
        <v>85000</v>
      </c>
      <c r="P1321">
        <v>3</v>
      </c>
      <c r="Q1321">
        <v>2</v>
      </c>
      <c r="R1321">
        <v>4</v>
      </c>
      <c r="S1321">
        <v>4</v>
      </c>
      <c r="T1321" s="123">
        <f t="shared" si="102"/>
        <v>0</v>
      </c>
      <c r="U1321">
        <f t="shared" si="103"/>
        <v>0</v>
      </c>
      <c r="V1321">
        <f t="shared" si="104"/>
        <v>0</v>
      </c>
      <c r="W1321">
        <f t="shared" si="105"/>
        <v>1</v>
      </c>
      <c r="X1321">
        <f t="shared" si="106"/>
        <v>1</v>
      </c>
    </row>
    <row r="1322" spans="1:24">
      <c r="A1322" t="s">
        <v>276</v>
      </c>
      <c r="B1322">
        <v>4</v>
      </c>
      <c r="C1322">
        <v>1</v>
      </c>
      <c r="D1322">
        <v>100</v>
      </c>
      <c r="E1322">
        <v>0</v>
      </c>
      <c r="F1322">
        <v>100</v>
      </c>
      <c r="G1322">
        <v>100</v>
      </c>
      <c r="H1322">
        <v>0</v>
      </c>
      <c r="I1322">
        <v>0</v>
      </c>
      <c r="J1322">
        <v>0</v>
      </c>
      <c r="K1322">
        <v>1</v>
      </c>
      <c r="L1322">
        <v>1</v>
      </c>
      <c r="M1322">
        <v>0</v>
      </c>
      <c r="N1322">
        <v>31</v>
      </c>
      <c r="O1322">
        <v>85000</v>
      </c>
      <c r="P1322">
        <v>3</v>
      </c>
      <c r="Q1322">
        <v>2</v>
      </c>
      <c r="R1322">
        <v>4</v>
      </c>
      <c r="S1322">
        <v>4</v>
      </c>
      <c r="T1322" s="123">
        <f t="shared" si="102"/>
        <v>0</v>
      </c>
      <c r="U1322">
        <f t="shared" si="103"/>
        <v>0</v>
      </c>
      <c r="V1322">
        <f t="shared" si="104"/>
        <v>0</v>
      </c>
      <c r="W1322">
        <f t="shared" si="105"/>
        <v>1</v>
      </c>
      <c r="X1322">
        <f t="shared" si="106"/>
        <v>1</v>
      </c>
    </row>
    <row r="1323" spans="1:24">
      <c r="A1323" t="s">
        <v>276</v>
      </c>
      <c r="B1323">
        <v>5</v>
      </c>
      <c r="C1323">
        <v>1</v>
      </c>
      <c r="D1323">
        <v>100</v>
      </c>
      <c r="E1323">
        <v>100</v>
      </c>
      <c r="F1323">
        <v>100</v>
      </c>
      <c r="G1323">
        <v>0</v>
      </c>
      <c r="H1323">
        <v>0</v>
      </c>
      <c r="I1323">
        <v>0</v>
      </c>
      <c r="J1323">
        <v>0</v>
      </c>
      <c r="K1323">
        <v>1</v>
      </c>
      <c r="L1323">
        <v>1</v>
      </c>
      <c r="M1323">
        <v>0</v>
      </c>
      <c r="N1323">
        <v>31</v>
      </c>
      <c r="O1323">
        <v>85000</v>
      </c>
      <c r="P1323">
        <v>3</v>
      </c>
      <c r="Q1323">
        <v>2</v>
      </c>
      <c r="R1323">
        <v>4</v>
      </c>
      <c r="S1323">
        <v>4</v>
      </c>
      <c r="T1323" s="123">
        <f t="shared" si="102"/>
        <v>0</v>
      </c>
      <c r="U1323">
        <f t="shared" si="103"/>
        <v>0</v>
      </c>
      <c r="V1323">
        <f t="shared" si="104"/>
        <v>0</v>
      </c>
      <c r="W1323">
        <f t="shared" si="105"/>
        <v>1</v>
      </c>
      <c r="X1323">
        <f t="shared" si="106"/>
        <v>1</v>
      </c>
    </row>
    <row r="1324" spans="1:24">
      <c r="A1324" t="s">
        <v>276</v>
      </c>
      <c r="B1324">
        <v>6</v>
      </c>
      <c r="C1324">
        <v>1</v>
      </c>
      <c r="D1324">
        <v>0</v>
      </c>
      <c r="E1324">
        <v>100</v>
      </c>
      <c r="F1324">
        <v>0</v>
      </c>
      <c r="G1324">
        <v>100</v>
      </c>
      <c r="H1324">
        <v>0</v>
      </c>
      <c r="I1324">
        <v>0</v>
      </c>
      <c r="J1324">
        <v>0</v>
      </c>
      <c r="K1324">
        <v>0</v>
      </c>
      <c r="L1324">
        <v>1</v>
      </c>
      <c r="M1324">
        <v>0</v>
      </c>
      <c r="N1324">
        <v>31</v>
      </c>
      <c r="O1324">
        <v>85000</v>
      </c>
      <c r="P1324">
        <v>3</v>
      </c>
      <c r="Q1324">
        <v>2</v>
      </c>
      <c r="R1324">
        <v>4</v>
      </c>
      <c r="S1324">
        <v>4</v>
      </c>
      <c r="T1324" s="123">
        <f t="shared" si="102"/>
        <v>0</v>
      </c>
      <c r="U1324">
        <f t="shared" si="103"/>
        <v>0</v>
      </c>
      <c r="V1324">
        <f t="shared" si="104"/>
        <v>0</v>
      </c>
      <c r="W1324">
        <f t="shared" si="105"/>
        <v>1</v>
      </c>
      <c r="X1324">
        <f t="shared" si="106"/>
        <v>1</v>
      </c>
    </row>
    <row r="1325" spans="1:24">
      <c r="A1325" t="s">
        <v>276</v>
      </c>
      <c r="B1325">
        <v>7</v>
      </c>
      <c r="C1325">
        <v>1</v>
      </c>
      <c r="D1325">
        <v>50</v>
      </c>
      <c r="E1325">
        <v>100</v>
      </c>
      <c r="F1325">
        <v>100</v>
      </c>
      <c r="G1325">
        <v>17.11702127659575</v>
      </c>
      <c r="H1325">
        <v>0</v>
      </c>
      <c r="I1325">
        <v>0</v>
      </c>
      <c r="J1325">
        <v>1</v>
      </c>
      <c r="K1325">
        <v>1</v>
      </c>
      <c r="L1325">
        <v>1</v>
      </c>
      <c r="M1325">
        <v>0</v>
      </c>
      <c r="N1325">
        <v>31</v>
      </c>
      <c r="O1325">
        <v>85000</v>
      </c>
      <c r="P1325">
        <v>3</v>
      </c>
      <c r="Q1325">
        <v>2</v>
      </c>
      <c r="R1325">
        <v>4</v>
      </c>
      <c r="S1325">
        <v>4</v>
      </c>
      <c r="T1325" s="123">
        <f t="shared" si="102"/>
        <v>0</v>
      </c>
      <c r="U1325">
        <f t="shared" si="103"/>
        <v>0</v>
      </c>
      <c r="V1325">
        <f t="shared" si="104"/>
        <v>0</v>
      </c>
      <c r="W1325">
        <f t="shared" si="105"/>
        <v>1</v>
      </c>
      <c r="X1325">
        <f t="shared" si="106"/>
        <v>1</v>
      </c>
    </row>
    <row r="1326" spans="1:24">
      <c r="A1326" t="s">
        <v>277</v>
      </c>
      <c r="B1326">
        <v>1</v>
      </c>
      <c r="C1326">
        <v>1</v>
      </c>
      <c r="D1326">
        <v>0</v>
      </c>
      <c r="E1326">
        <v>50</v>
      </c>
      <c r="F1326">
        <v>100</v>
      </c>
      <c r="G1326">
        <v>100</v>
      </c>
      <c r="H1326">
        <v>18.741159830268739</v>
      </c>
      <c r="I1326">
        <v>1</v>
      </c>
      <c r="J1326">
        <v>0</v>
      </c>
      <c r="K1326">
        <v>0</v>
      </c>
      <c r="L1326">
        <v>1</v>
      </c>
      <c r="M1326">
        <v>0</v>
      </c>
      <c r="N1326">
        <v>29</v>
      </c>
      <c r="O1326">
        <v>150000</v>
      </c>
      <c r="P1326">
        <v>2</v>
      </c>
      <c r="Q1326">
        <v>3</v>
      </c>
      <c r="R1326">
        <v>5</v>
      </c>
      <c r="S1326">
        <v>4</v>
      </c>
      <c r="T1326" s="123">
        <f t="shared" si="102"/>
        <v>0</v>
      </c>
      <c r="U1326">
        <f t="shared" si="103"/>
        <v>0</v>
      </c>
      <c r="V1326">
        <f t="shared" si="104"/>
        <v>0</v>
      </c>
      <c r="W1326">
        <f t="shared" si="105"/>
        <v>1</v>
      </c>
      <c r="X1326">
        <f t="shared" si="106"/>
        <v>1</v>
      </c>
    </row>
    <row r="1327" spans="1:24">
      <c r="A1327" t="s">
        <v>277</v>
      </c>
      <c r="B1327">
        <v>2</v>
      </c>
      <c r="C1327">
        <v>1</v>
      </c>
      <c r="D1327">
        <v>0</v>
      </c>
      <c r="E1327">
        <v>0</v>
      </c>
      <c r="F1327">
        <v>100</v>
      </c>
      <c r="G1327">
        <v>100</v>
      </c>
      <c r="H1327">
        <v>100</v>
      </c>
      <c r="I1327">
        <v>0</v>
      </c>
      <c r="J1327">
        <v>0</v>
      </c>
      <c r="K1327">
        <v>0</v>
      </c>
      <c r="L1327">
        <v>1</v>
      </c>
      <c r="M1327">
        <v>0</v>
      </c>
      <c r="N1327">
        <v>29</v>
      </c>
      <c r="O1327">
        <v>150000</v>
      </c>
      <c r="P1327">
        <v>2</v>
      </c>
      <c r="Q1327">
        <v>3</v>
      </c>
      <c r="R1327">
        <v>5</v>
      </c>
      <c r="S1327">
        <v>4</v>
      </c>
      <c r="T1327" s="123">
        <f t="shared" si="102"/>
        <v>0</v>
      </c>
      <c r="U1327">
        <f t="shared" si="103"/>
        <v>0</v>
      </c>
      <c r="V1327">
        <f t="shared" si="104"/>
        <v>0</v>
      </c>
      <c r="W1327">
        <f t="shared" si="105"/>
        <v>1</v>
      </c>
      <c r="X1327">
        <f t="shared" si="106"/>
        <v>1</v>
      </c>
    </row>
    <row r="1328" spans="1:24">
      <c r="A1328" t="s">
        <v>277</v>
      </c>
      <c r="B1328">
        <v>3</v>
      </c>
      <c r="C1328">
        <v>1</v>
      </c>
      <c r="D1328">
        <v>0</v>
      </c>
      <c r="E1328">
        <v>100</v>
      </c>
      <c r="F1328">
        <v>100</v>
      </c>
      <c r="G1328">
        <v>0</v>
      </c>
      <c r="H1328">
        <v>100</v>
      </c>
      <c r="I1328">
        <v>0</v>
      </c>
      <c r="J1328">
        <v>0</v>
      </c>
      <c r="K1328">
        <v>0</v>
      </c>
      <c r="L1328">
        <v>1</v>
      </c>
      <c r="M1328">
        <v>0</v>
      </c>
      <c r="N1328">
        <v>29</v>
      </c>
      <c r="O1328">
        <v>150000</v>
      </c>
      <c r="P1328">
        <v>2</v>
      </c>
      <c r="Q1328">
        <v>3</v>
      </c>
      <c r="R1328">
        <v>5</v>
      </c>
      <c r="S1328">
        <v>4</v>
      </c>
      <c r="T1328" s="123">
        <f t="shared" si="102"/>
        <v>0</v>
      </c>
      <c r="U1328">
        <f t="shared" si="103"/>
        <v>0</v>
      </c>
      <c r="V1328">
        <f t="shared" si="104"/>
        <v>0</v>
      </c>
      <c r="W1328">
        <f t="shared" si="105"/>
        <v>1</v>
      </c>
      <c r="X1328">
        <f t="shared" si="106"/>
        <v>1</v>
      </c>
    </row>
    <row r="1329" spans="1:24">
      <c r="A1329" t="s">
        <v>277</v>
      </c>
      <c r="B1329">
        <v>4</v>
      </c>
      <c r="C1329">
        <v>1</v>
      </c>
      <c r="D1329">
        <v>100</v>
      </c>
      <c r="E1329">
        <v>100</v>
      </c>
      <c r="F1329">
        <v>0</v>
      </c>
      <c r="G1329">
        <v>0</v>
      </c>
      <c r="H1329">
        <v>100</v>
      </c>
      <c r="I1329">
        <v>0</v>
      </c>
      <c r="J1329">
        <v>0</v>
      </c>
      <c r="K1329">
        <v>1</v>
      </c>
      <c r="L1329">
        <v>1</v>
      </c>
      <c r="M1329">
        <v>0</v>
      </c>
      <c r="N1329">
        <v>29</v>
      </c>
      <c r="O1329">
        <v>150000</v>
      </c>
      <c r="P1329">
        <v>2</v>
      </c>
      <c r="Q1329">
        <v>3</v>
      </c>
      <c r="R1329">
        <v>5</v>
      </c>
      <c r="S1329">
        <v>4</v>
      </c>
      <c r="T1329" s="123">
        <f t="shared" si="102"/>
        <v>0</v>
      </c>
      <c r="U1329">
        <f t="shared" si="103"/>
        <v>0</v>
      </c>
      <c r="V1329">
        <f t="shared" si="104"/>
        <v>0</v>
      </c>
      <c r="W1329">
        <f t="shared" si="105"/>
        <v>1</v>
      </c>
      <c r="X1329">
        <f t="shared" si="106"/>
        <v>1</v>
      </c>
    </row>
    <row r="1330" spans="1:24">
      <c r="A1330" t="s">
        <v>277</v>
      </c>
      <c r="B1330">
        <v>5</v>
      </c>
      <c r="C1330">
        <v>1</v>
      </c>
      <c r="D1330">
        <v>100</v>
      </c>
      <c r="E1330">
        <v>100</v>
      </c>
      <c r="F1330">
        <v>100</v>
      </c>
      <c r="G1330">
        <v>0</v>
      </c>
      <c r="H1330">
        <v>0</v>
      </c>
      <c r="I1330">
        <v>0</v>
      </c>
      <c r="J1330">
        <v>0</v>
      </c>
      <c r="K1330">
        <v>1</v>
      </c>
      <c r="L1330">
        <v>1</v>
      </c>
      <c r="M1330">
        <v>0</v>
      </c>
      <c r="N1330">
        <v>29</v>
      </c>
      <c r="O1330">
        <v>150000</v>
      </c>
      <c r="P1330">
        <v>2</v>
      </c>
      <c r="Q1330">
        <v>3</v>
      </c>
      <c r="R1330">
        <v>5</v>
      </c>
      <c r="S1330">
        <v>4</v>
      </c>
      <c r="T1330" s="123">
        <f t="shared" si="102"/>
        <v>0</v>
      </c>
      <c r="U1330">
        <f t="shared" si="103"/>
        <v>0</v>
      </c>
      <c r="V1330">
        <f t="shared" si="104"/>
        <v>0</v>
      </c>
      <c r="W1330">
        <f t="shared" si="105"/>
        <v>1</v>
      </c>
      <c r="X1330">
        <f t="shared" si="106"/>
        <v>1</v>
      </c>
    </row>
    <row r="1331" spans="1:24" hidden="1">
      <c r="A1331" t="s">
        <v>277</v>
      </c>
      <c r="B1331">
        <v>6</v>
      </c>
      <c r="C1331">
        <v>1</v>
      </c>
      <c r="D1331">
        <v>100</v>
      </c>
      <c r="E1331">
        <v>0</v>
      </c>
      <c r="F1331">
        <v>0</v>
      </c>
      <c r="G1331">
        <v>0</v>
      </c>
      <c r="H1331">
        <v>100</v>
      </c>
      <c r="I1331">
        <v>0</v>
      </c>
      <c r="J1331">
        <v>0</v>
      </c>
      <c r="K1331">
        <v>1</v>
      </c>
      <c r="L1331">
        <v>1</v>
      </c>
      <c r="M1331">
        <v>0</v>
      </c>
      <c r="N1331">
        <v>29</v>
      </c>
      <c r="O1331">
        <v>150000</v>
      </c>
      <c r="P1331">
        <v>2</v>
      </c>
      <c r="Q1331">
        <v>3</v>
      </c>
      <c r="R1331">
        <v>5</v>
      </c>
      <c r="S1331">
        <v>4</v>
      </c>
      <c r="T1331" s="123">
        <f t="shared" si="102"/>
        <v>1</v>
      </c>
      <c r="U1331">
        <f t="shared" si="103"/>
        <v>0</v>
      </c>
      <c r="V1331">
        <f t="shared" si="104"/>
        <v>0</v>
      </c>
      <c r="W1331">
        <f t="shared" si="105"/>
        <v>1</v>
      </c>
      <c r="X1331">
        <f t="shared" si="106"/>
        <v>1</v>
      </c>
    </row>
    <row r="1332" spans="1:24">
      <c r="A1332" t="s">
        <v>277</v>
      </c>
      <c r="B1332">
        <v>7</v>
      </c>
      <c r="C1332">
        <v>1</v>
      </c>
      <c r="D1332">
        <v>100</v>
      </c>
      <c r="E1332">
        <v>0</v>
      </c>
      <c r="F1332">
        <v>0</v>
      </c>
      <c r="G1332">
        <v>100</v>
      </c>
      <c r="H1332">
        <v>100</v>
      </c>
      <c r="I1332">
        <v>0</v>
      </c>
      <c r="J1332">
        <v>1</v>
      </c>
      <c r="K1332">
        <v>1</v>
      </c>
      <c r="L1332">
        <v>1</v>
      </c>
      <c r="M1332">
        <v>0</v>
      </c>
      <c r="N1332">
        <v>29</v>
      </c>
      <c r="O1332">
        <v>150000</v>
      </c>
      <c r="P1332">
        <v>2</v>
      </c>
      <c r="Q1332">
        <v>3</v>
      </c>
      <c r="R1332">
        <v>5</v>
      </c>
      <c r="S1332">
        <v>4</v>
      </c>
      <c r="T1332" s="123">
        <f t="shared" si="102"/>
        <v>0</v>
      </c>
      <c r="U1332">
        <f t="shared" si="103"/>
        <v>0</v>
      </c>
      <c r="V1332">
        <f t="shared" si="104"/>
        <v>0</v>
      </c>
      <c r="W1332">
        <f t="shared" si="105"/>
        <v>1</v>
      </c>
      <c r="X1332">
        <f t="shared" si="106"/>
        <v>1</v>
      </c>
    </row>
    <row r="1333" spans="1:24">
      <c r="A1333" t="s">
        <v>278</v>
      </c>
      <c r="B1333">
        <v>1</v>
      </c>
      <c r="C1333">
        <v>1</v>
      </c>
      <c r="D1333">
        <v>86.391973504773034</v>
      </c>
      <c r="E1333">
        <v>98.548607052405998</v>
      </c>
      <c r="F1333">
        <v>100</v>
      </c>
      <c r="G1333">
        <v>4.2080654587960282</v>
      </c>
      <c r="H1333">
        <v>6.3413208649912347</v>
      </c>
      <c r="I1333">
        <v>1</v>
      </c>
      <c r="J1333">
        <v>0</v>
      </c>
      <c r="K1333">
        <v>1</v>
      </c>
      <c r="L1333">
        <v>1</v>
      </c>
      <c r="M1333">
        <v>0</v>
      </c>
      <c r="N1333">
        <v>66</v>
      </c>
      <c r="O1333">
        <v>25000</v>
      </c>
      <c r="P1333">
        <v>1</v>
      </c>
      <c r="Q1333">
        <v>3</v>
      </c>
      <c r="R1333">
        <v>4</v>
      </c>
      <c r="S1333">
        <v>3</v>
      </c>
      <c r="T1333" s="123">
        <f t="shared" si="102"/>
        <v>0</v>
      </c>
      <c r="U1333">
        <f t="shared" si="103"/>
        <v>0</v>
      </c>
      <c r="V1333">
        <f t="shared" si="104"/>
        <v>0</v>
      </c>
      <c r="W1333">
        <f t="shared" si="105"/>
        <v>1</v>
      </c>
      <c r="X1333">
        <f t="shared" si="106"/>
        <v>0</v>
      </c>
    </row>
    <row r="1334" spans="1:24">
      <c r="A1334" t="s">
        <v>278</v>
      </c>
      <c r="B1334">
        <v>2</v>
      </c>
      <c r="C1334">
        <v>1</v>
      </c>
      <c r="D1334">
        <v>15.09869264291207</v>
      </c>
      <c r="E1334">
        <v>30.287105870289668</v>
      </c>
      <c r="F1334">
        <v>50</v>
      </c>
      <c r="G1334">
        <v>92.117405793386311</v>
      </c>
      <c r="H1334">
        <v>21.135606254806461</v>
      </c>
      <c r="I1334">
        <v>0</v>
      </c>
      <c r="J1334">
        <v>0</v>
      </c>
      <c r="K1334">
        <v>0</v>
      </c>
      <c r="L1334">
        <v>1</v>
      </c>
      <c r="M1334">
        <v>0</v>
      </c>
      <c r="N1334">
        <v>66</v>
      </c>
      <c r="O1334">
        <v>25000</v>
      </c>
      <c r="P1334">
        <v>1</v>
      </c>
      <c r="Q1334">
        <v>3</v>
      </c>
      <c r="R1334">
        <v>4</v>
      </c>
      <c r="S1334">
        <v>3</v>
      </c>
      <c r="T1334" s="123">
        <f t="shared" si="102"/>
        <v>0</v>
      </c>
      <c r="U1334">
        <f t="shared" si="103"/>
        <v>0</v>
      </c>
      <c r="V1334">
        <f t="shared" si="104"/>
        <v>0</v>
      </c>
      <c r="W1334">
        <f t="shared" si="105"/>
        <v>1</v>
      </c>
      <c r="X1334">
        <f t="shared" si="106"/>
        <v>0</v>
      </c>
    </row>
    <row r="1335" spans="1:24">
      <c r="A1335" t="s">
        <v>278</v>
      </c>
      <c r="B1335">
        <v>3</v>
      </c>
      <c r="C1335">
        <v>1</v>
      </c>
      <c r="D1335">
        <v>6.421430402460909</v>
      </c>
      <c r="E1335">
        <v>10.85619072032812</v>
      </c>
      <c r="F1335">
        <v>6.4086131761086911</v>
      </c>
      <c r="G1335">
        <v>84.67059728274802</v>
      </c>
      <c r="H1335">
        <v>92.963342732632654</v>
      </c>
      <c r="I1335">
        <v>0</v>
      </c>
      <c r="J1335">
        <v>0</v>
      </c>
      <c r="K1335">
        <v>0</v>
      </c>
      <c r="L1335">
        <v>1</v>
      </c>
      <c r="M1335">
        <v>0</v>
      </c>
      <c r="N1335">
        <v>66</v>
      </c>
      <c r="O1335">
        <v>25000</v>
      </c>
      <c r="P1335">
        <v>1</v>
      </c>
      <c r="Q1335">
        <v>3</v>
      </c>
      <c r="R1335">
        <v>4</v>
      </c>
      <c r="S1335">
        <v>3</v>
      </c>
      <c r="T1335" s="123">
        <f t="shared" si="102"/>
        <v>0</v>
      </c>
      <c r="U1335">
        <f t="shared" si="103"/>
        <v>0</v>
      </c>
      <c r="V1335">
        <f t="shared" si="104"/>
        <v>0</v>
      </c>
      <c r="W1335">
        <f t="shared" si="105"/>
        <v>1</v>
      </c>
      <c r="X1335">
        <f t="shared" si="106"/>
        <v>0</v>
      </c>
    </row>
    <row r="1336" spans="1:24" hidden="1">
      <c r="A1336" t="s">
        <v>278</v>
      </c>
      <c r="B1336">
        <v>4</v>
      </c>
      <c r="C1336">
        <v>1</v>
      </c>
      <c r="D1336">
        <v>99.17969751345808</v>
      </c>
      <c r="E1336">
        <v>93.373493975903614</v>
      </c>
      <c r="F1336">
        <v>92.937708279928216</v>
      </c>
      <c r="G1336">
        <v>88.502947962061</v>
      </c>
      <c r="H1336">
        <v>92.74544988464497</v>
      </c>
      <c r="I1336">
        <v>0</v>
      </c>
      <c r="J1336">
        <v>0</v>
      </c>
      <c r="K1336">
        <v>1</v>
      </c>
      <c r="L1336">
        <v>1</v>
      </c>
      <c r="M1336">
        <v>0</v>
      </c>
      <c r="N1336">
        <v>66</v>
      </c>
      <c r="O1336">
        <v>25000</v>
      </c>
      <c r="P1336">
        <v>1</v>
      </c>
      <c r="Q1336">
        <v>3</v>
      </c>
      <c r="R1336">
        <v>4</v>
      </c>
      <c r="S1336">
        <v>3</v>
      </c>
      <c r="T1336" s="123">
        <f t="shared" si="102"/>
        <v>1</v>
      </c>
      <c r="U1336">
        <f t="shared" si="103"/>
        <v>0</v>
      </c>
      <c r="V1336">
        <f t="shared" si="104"/>
        <v>0</v>
      </c>
      <c r="W1336">
        <f t="shared" si="105"/>
        <v>1</v>
      </c>
      <c r="X1336">
        <f t="shared" si="106"/>
        <v>0</v>
      </c>
    </row>
    <row r="1337" spans="1:24" hidden="1">
      <c r="A1337" t="s">
        <v>278</v>
      </c>
      <c r="B1337">
        <v>5</v>
      </c>
      <c r="C1337">
        <v>1</v>
      </c>
      <c r="D1337">
        <v>94.885926685465279</v>
      </c>
      <c r="E1337">
        <v>93.796462445526799</v>
      </c>
      <c r="F1337">
        <v>98.295308895155088</v>
      </c>
      <c r="G1337">
        <v>89.771853370930529</v>
      </c>
      <c r="H1337">
        <v>5.5498590105101284</v>
      </c>
      <c r="I1337">
        <v>0</v>
      </c>
      <c r="J1337">
        <v>0</v>
      </c>
      <c r="K1337">
        <v>1</v>
      </c>
      <c r="L1337">
        <v>1</v>
      </c>
      <c r="M1337">
        <v>0</v>
      </c>
      <c r="N1337">
        <v>66</v>
      </c>
      <c r="O1337">
        <v>25000</v>
      </c>
      <c r="P1337">
        <v>1</v>
      </c>
      <c r="Q1337">
        <v>3</v>
      </c>
      <c r="R1337">
        <v>4</v>
      </c>
      <c r="S1337">
        <v>3</v>
      </c>
      <c r="T1337" s="123">
        <f t="shared" si="102"/>
        <v>1</v>
      </c>
      <c r="U1337">
        <f t="shared" si="103"/>
        <v>0</v>
      </c>
      <c r="V1337">
        <f t="shared" si="104"/>
        <v>0</v>
      </c>
      <c r="W1337">
        <f t="shared" si="105"/>
        <v>1</v>
      </c>
      <c r="X1337">
        <f t="shared" si="106"/>
        <v>0</v>
      </c>
    </row>
    <row r="1338" spans="1:24">
      <c r="A1338" t="s">
        <v>278</v>
      </c>
      <c r="B1338">
        <v>6</v>
      </c>
      <c r="C1338">
        <v>1</v>
      </c>
      <c r="D1338">
        <v>17.277621122789029</v>
      </c>
      <c r="E1338">
        <v>13.00948474750064</v>
      </c>
      <c r="F1338">
        <v>94.693668290182003</v>
      </c>
      <c r="G1338">
        <v>10.023071007433989</v>
      </c>
      <c r="H1338">
        <v>8.1004870546013859</v>
      </c>
      <c r="I1338">
        <v>0</v>
      </c>
      <c r="J1338">
        <v>0</v>
      </c>
      <c r="K1338">
        <v>0</v>
      </c>
      <c r="L1338">
        <v>1</v>
      </c>
      <c r="M1338">
        <v>0</v>
      </c>
      <c r="N1338">
        <v>66</v>
      </c>
      <c r="O1338">
        <v>25000</v>
      </c>
      <c r="P1338">
        <v>1</v>
      </c>
      <c r="Q1338">
        <v>3</v>
      </c>
      <c r="R1338">
        <v>4</v>
      </c>
      <c r="S1338">
        <v>3</v>
      </c>
      <c r="T1338" s="123">
        <f t="shared" si="102"/>
        <v>0</v>
      </c>
      <c r="U1338">
        <f t="shared" si="103"/>
        <v>0</v>
      </c>
      <c r="V1338">
        <f t="shared" si="104"/>
        <v>0</v>
      </c>
      <c r="W1338">
        <f t="shared" si="105"/>
        <v>1</v>
      </c>
      <c r="X1338">
        <f t="shared" si="106"/>
        <v>0</v>
      </c>
    </row>
    <row r="1339" spans="1:24">
      <c r="A1339" t="s">
        <v>278</v>
      </c>
      <c r="B1339">
        <v>7</v>
      </c>
      <c r="C1339">
        <v>1</v>
      </c>
      <c r="D1339">
        <v>5.1268905408869534</v>
      </c>
      <c r="E1339">
        <v>10.45885670340938</v>
      </c>
      <c r="F1339">
        <v>3.2171238144065639</v>
      </c>
      <c r="G1339">
        <v>94.873109459113053</v>
      </c>
      <c r="H1339">
        <v>82.953088951550896</v>
      </c>
      <c r="I1339">
        <v>0</v>
      </c>
      <c r="J1339">
        <v>1</v>
      </c>
      <c r="K1339">
        <v>0</v>
      </c>
      <c r="L1339">
        <v>1</v>
      </c>
      <c r="M1339">
        <v>0</v>
      </c>
      <c r="N1339">
        <v>66</v>
      </c>
      <c r="O1339">
        <v>25000</v>
      </c>
      <c r="P1339">
        <v>1</v>
      </c>
      <c r="Q1339">
        <v>3</v>
      </c>
      <c r="R1339">
        <v>4</v>
      </c>
      <c r="S1339">
        <v>3</v>
      </c>
      <c r="T1339" s="123">
        <f t="shared" si="102"/>
        <v>0</v>
      </c>
      <c r="U1339">
        <f t="shared" si="103"/>
        <v>0</v>
      </c>
      <c r="V1339">
        <f t="shared" si="104"/>
        <v>0</v>
      </c>
      <c r="W1339">
        <f t="shared" si="105"/>
        <v>1</v>
      </c>
      <c r="X1339">
        <f t="shared" si="106"/>
        <v>0</v>
      </c>
    </row>
    <row r="1340" spans="1:24">
      <c r="A1340" t="s">
        <v>279</v>
      </c>
      <c r="B1340">
        <v>1</v>
      </c>
      <c r="C1340">
        <v>1</v>
      </c>
      <c r="D1340">
        <v>76.039625517091224</v>
      </c>
      <c r="E1340">
        <v>50</v>
      </c>
      <c r="F1340">
        <v>2.038606403013183</v>
      </c>
      <c r="G1340">
        <v>0.90866290018832285</v>
      </c>
      <c r="H1340">
        <v>67.74439364249946</v>
      </c>
      <c r="I1340">
        <v>1</v>
      </c>
      <c r="J1340">
        <v>0</v>
      </c>
      <c r="K1340">
        <v>1</v>
      </c>
      <c r="L1340">
        <v>1</v>
      </c>
      <c r="M1340">
        <v>0</v>
      </c>
      <c r="N1340">
        <v>73</v>
      </c>
      <c r="O1340">
        <v>30000</v>
      </c>
      <c r="P1340">
        <v>1</v>
      </c>
      <c r="Q1340">
        <v>1</v>
      </c>
      <c r="R1340">
        <v>3</v>
      </c>
      <c r="S1340">
        <v>3</v>
      </c>
      <c r="T1340" s="123">
        <f t="shared" si="102"/>
        <v>0</v>
      </c>
      <c r="U1340">
        <f t="shared" si="103"/>
        <v>0</v>
      </c>
      <c r="V1340">
        <f t="shared" si="104"/>
        <v>0</v>
      </c>
      <c r="W1340">
        <f t="shared" si="105"/>
        <v>0</v>
      </c>
      <c r="X1340">
        <f t="shared" si="106"/>
        <v>0</v>
      </c>
    </row>
    <row r="1341" spans="1:24" hidden="1">
      <c r="A1341" t="s">
        <v>279</v>
      </c>
      <c r="B1341">
        <v>2</v>
      </c>
      <c r="C1341">
        <v>1</v>
      </c>
      <c r="D1341">
        <v>0</v>
      </c>
      <c r="E1341">
        <v>1.839756150664051</v>
      </c>
      <c r="F1341">
        <v>1.306335728282171</v>
      </c>
      <c r="G1341">
        <v>10.90790333115611</v>
      </c>
      <c r="H1341">
        <v>1.1212715001088609</v>
      </c>
      <c r="I1341">
        <v>0</v>
      </c>
      <c r="J1341">
        <v>0</v>
      </c>
      <c r="K1341">
        <v>0</v>
      </c>
      <c r="L1341">
        <v>1</v>
      </c>
      <c r="M1341">
        <v>0</v>
      </c>
      <c r="N1341">
        <v>73</v>
      </c>
      <c r="O1341">
        <v>30000</v>
      </c>
      <c r="P1341">
        <v>1</v>
      </c>
      <c r="Q1341">
        <v>1</v>
      </c>
      <c r="R1341">
        <v>3</v>
      </c>
      <c r="S1341">
        <v>3</v>
      </c>
      <c r="T1341" s="123">
        <f t="shared" si="102"/>
        <v>1</v>
      </c>
      <c r="U1341">
        <f t="shared" si="103"/>
        <v>0</v>
      </c>
      <c r="V1341">
        <f t="shared" si="104"/>
        <v>0</v>
      </c>
      <c r="W1341">
        <f t="shared" si="105"/>
        <v>0</v>
      </c>
      <c r="X1341">
        <f t="shared" si="106"/>
        <v>0</v>
      </c>
    </row>
    <row r="1342" spans="1:24">
      <c r="A1342" t="s">
        <v>279</v>
      </c>
      <c r="B1342">
        <v>3</v>
      </c>
      <c r="C1342">
        <v>1</v>
      </c>
      <c r="D1342">
        <v>21.086435880688001</v>
      </c>
      <c r="E1342">
        <v>50</v>
      </c>
      <c r="F1342">
        <v>50</v>
      </c>
      <c r="G1342">
        <v>38.31918136294361</v>
      </c>
      <c r="H1342">
        <v>9.6124537339429548</v>
      </c>
      <c r="I1342">
        <v>0</v>
      </c>
      <c r="J1342">
        <v>0</v>
      </c>
      <c r="K1342">
        <v>0</v>
      </c>
      <c r="L1342">
        <v>1</v>
      </c>
      <c r="M1342">
        <v>0</v>
      </c>
      <c r="N1342">
        <v>73</v>
      </c>
      <c r="O1342">
        <v>30000</v>
      </c>
      <c r="P1342">
        <v>1</v>
      </c>
      <c r="Q1342">
        <v>1</v>
      </c>
      <c r="R1342">
        <v>3</v>
      </c>
      <c r="S1342">
        <v>3</v>
      </c>
      <c r="T1342" s="123">
        <f t="shared" si="102"/>
        <v>0</v>
      </c>
      <c r="U1342">
        <f t="shared" si="103"/>
        <v>0</v>
      </c>
      <c r="V1342">
        <f t="shared" si="104"/>
        <v>0</v>
      </c>
      <c r="W1342">
        <f t="shared" si="105"/>
        <v>0</v>
      </c>
      <c r="X1342">
        <f t="shared" si="106"/>
        <v>0</v>
      </c>
    </row>
    <row r="1343" spans="1:24">
      <c r="A1343" t="s">
        <v>279</v>
      </c>
      <c r="B1343">
        <v>4</v>
      </c>
      <c r="C1343">
        <v>1</v>
      </c>
      <c r="D1343">
        <v>11.06030916612236</v>
      </c>
      <c r="E1343">
        <v>43.555410407141302</v>
      </c>
      <c r="F1343">
        <v>28.489005007620289</v>
      </c>
      <c r="G1343">
        <v>12.12715001088613</v>
      </c>
      <c r="H1343">
        <v>13.41171347703026</v>
      </c>
      <c r="I1343">
        <v>0</v>
      </c>
      <c r="J1343">
        <v>0</v>
      </c>
      <c r="K1343">
        <v>0</v>
      </c>
      <c r="L1343">
        <v>1</v>
      </c>
      <c r="M1343">
        <v>0</v>
      </c>
      <c r="N1343">
        <v>73</v>
      </c>
      <c r="O1343">
        <v>30000</v>
      </c>
      <c r="P1343">
        <v>1</v>
      </c>
      <c r="Q1343">
        <v>1</v>
      </c>
      <c r="R1343">
        <v>3</v>
      </c>
      <c r="S1343">
        <v>3</v>
      </c>
      <c r="T1343" s="123">
        <f t="shared" si="102"/>
        <v>0</v>
      </c>
      <c r="U1343">
        <f t="shared" si="103"/>
        <v>0</v>
      </c>
      <c r="V1343">
        <f t="shared" si="104"/>
        <v>0</v>
      </c>
      <c r="W1343">
        <f t="shared" si="105"/>
        <v>0</v>
      </c>
      <c r="X1343">
        <f t="shared" si="106"/>
        <v>0</v>
      </c>
    </row>
    <row r="1344" spans="1:24" hidden="1">
      <c r="A1344" t="s">
        <v>279</v>
      </c>
      <c r="B1344">
        <v>5</v>
      </c>
      <c r="C1344">
        <v>1</v>
      </c>
      <c r="D1344">
        <v>8.2843457435227528</v>
      </c>
      <c r="E1344">
        <v>0.79468756803832141</v>
      </c>
      <c r="F1344">
        <v>2.035706509906376</v>
      </c>
      <c r="G1344">
        <v>0.8817766165904628</v>
      </c>
      <c r="H1344">
        <v>4.2782495101240992</v>
      </c>
      <c r="I1344">
        <v>0</v>
      </c>
      <c r="J1344">
        <v>0</v>
      </c>
      <c r="K1344">
        <v>0</v>
      </c>
      <c r="L1344">
        <v>1</v>
      </c>
      <c r="M1344">
        <v>0</v>
      </c>
      <c r="N1344">
        <v>73</v>
      </c>
      <c r="O1344">
        <v>30000</v>
      </c>
      <c r="P1344">
        <v>1</v>
      </c>
      <c r="Q1344">
        <v>1</v>
      </c>
      <c r="R1344">
        <v>3</v>
      </c>
      <c r="S1344">
        <v>3</v>
      </c>
      <c r="T1344" s="123">
        <f t="shared" si="102"/>
        <v>1</v>
      </c>
      <c r="U1344">
        <f t="shared" si="103"/>
        <v>0</v>
      </c>
      <c r="V1344">
        <f t="shared" si="104"/>
        <v>0</v>
      </c>
      <c r="W1344">
        <f t="shared" si="105"/>
        <v>0</v>
      </c>
      <c r="X1344">
        <f t="shared" si="106"/>
        <v>0</v>
      </c>
    </row>
    <row r="1345" spans="1:24">
      <c r="A1345" t="s">
        <v>279</v>
      </c>
      <c r="B1345">
        <v>6</v>
      </c>
      <c r="C1345">
        <v>1</v>
      </c>
      <c r="D1345">
        <v>2.1772262138036739E-2</v>
      </c>
      <c r="E1345">
        <v>50</v>
      </c>
      <c r="F1345">
        <v>93.729588504245598</v>
      </c>
      <c r="G1345">
        <v>2.1772262138036739E-2</v>
      </c>
      <c r="H1345">
        <v>5.1491399956455464</v>
      </c>
      <c r="I1345">
        <v>0</v>
      </c>
      <c r="J1345">
        <v>0</v>
      </c>
      <c r="K1345">
        <v>0</v>
      </c>
      <c r="L1345">
        <v>1</v>
      </c>
      <c r="M1345">
        <v>0</v>
      </c>
      <c r="N1345">
        <v>73</v>
      </c>
      <c r="O1345">
        <v>30000</v>
      </c>
      <c r="P1345">
        <v>1</v>
      </c>
      <c r="Q1345">
        <v>1</v>
      </c>
      <c r="R1345">
        <v>3</v>
      </c>
      <c r="S1345">
        <v>3</v>
      </c>
      <c r="T1345" s="123">
        <f t="shared" si="102"/>
        <v>0</v>
      </c>
      <c r="U1345">
        <f t="shared" si="103"/>
        <v>0</v>
      </c>
      <c r="V1345">
        <f t="shared" si="104"/>
        <v>0</v>
      </c>
      <c r="W1345">
        <f t="shared" si="105"/>
        <v>0</v>
      </c>
      <c r="X1345">
        <f t="shared" si="106"/>
        <v>0</v>
      </c>
    </row>
    <row r="1346" spans="1:24" hidden="1">
      <c r="A1346" t="s">
        <v>279</v>
      </c>
      <c r="B1346">
        <v>7</v>
      </c>
      <c r="C1346">
        <v>1</v>
      </c>
      <c r="D1346">
        <v>29.283692575658609</v>
      </c>
      <c r="E1346">
        <v>2.5364685390812101</v>
      </c>
      <c r="F1346">
        <v>2.5364685390812101</v>
      </c>
      <c r="G1346">
        <v>5.8349662529936843</v>
      </c>
      <c r="H1346">
        <v>3.069888961463096</v>
      </c>
      <c r="I1346">
        <v>0</v>
      </c>
      <c r="J1346">
        <v>1</v>
      </c>
      <c r="K1346">
        <v>0</v>
      </c>
      <c r="L1346">
        <v>1</v>
      </c>
      <c r="M1346">
        <v>0</v>
      </c>
      <c r="N1346">
        <v>73</v>
      </c>
      <c r="O1346">
        <v>30000</v>
      </c>
      <c r="P1346">
        <v>1</v>
      </c>
      <c r="Q1346">
        <v>1</v>
      </c>
      <c r="R1346">
        <v>3</v>
      </c>
      <c r="S1346">
        <v>3</v>
      </c>
      <c r="T1346" s="123">
        <f t="shared" si="102"/>
        <v>1</v>
      </c>
      <c r="U1346">
        <f t="shared" si="103"/>
        <v>0</v>
      </c>
      <c r="V1346">
        <f t="shared" si="104"/>
        <v>0</v>
      </c>
      <c r="W1346">
        <f t="shared" si="105"/>
        <v>0</v>
      </c>
      <c r="X1346">
        <f t="shared" si="106"/>
        <v>0</v>
      </c>
    </row>
    <row r="1347" spans="1:24" hidden="1">
      <c r="A1347" t="s">
        <v>280</v>
      </c>
      <c r="B1347">
        <v>1</v>
      </c>
      <c r="C1347">
        <v>1</v>
      </c>
      <c r="D1347">
        <v>96.134180353269286</v>
      </c>
      <c r="E1347">
        <v>93.174775333126746</v>
      </c>
      <c r="F1347">
        <v>97.087077781220941</v>
      </c>
      <c r="G1347">
        <v>93.376200805701899</v>
      </c>
      <c r="H1347">
        <v>2.4945770065075918</v>
      </c>
      <c r="I1347">
        <v>1</v>
      </c>
      <c r="J1347">
        <v>0</v>
      </c>
      <c r="K1347">
        <v>1</v>
      </c>
      <c r="L1347">
        <v>1</v>
      </c>
      <c r="M1347">
        <v>0</v>
      </c>
      <c r="N1347">
        <v>23</v>
      </c>
      <c r="O1347">
        <v>-99</v>
      </c>
      <c r="P1347">
        <v>2</v>
      </c>
      <c r="Q1347">
        <v>3</v>
      </c>
      <c r="R1347">
        <v>4</v>
      </c>
      <c r="S1347">
        <v>3</v>
      </c>
      <c r="T1347" s="123">
        <f t="shared" si="102"/>
        <v>1</v>
      </c>
      <c r="U1347">
        <f t="shared" si="103"/>
        <v>0</v>
      </c>
      <c r="V1347">
        <f t="shared" si="104"/>
        <v>0</v>
      </c>
      <c r="W1347">
        <f t="shared" si="105"/>
        <v>1</v>
      </c>
      <c r="X1347">
        <f t="shared" si="106"/>
        <v>0</v>
      </c>
    </row>
    <row r="1348" spans="1:24">
      <c r="A1348" t="s">
        <v>280</v>
      </c>
      <c r="B1348">
        <v>2</v>
      </c>
      <c r="C1348">
        <v>1</v>
      </c>
      <c r="D1348">
        <v>95.777812209482491</v>
      </c>
      <c r="E1348">
        <v>95.622869538270834</v>
      </c>
      <c r="F1348">
        <v>92.725441586612959</v>
      </c>
      <c r="G1348">
        <v>12.511620700340879</v>
      </c>
      <c r="H1348">
        <v>9.5986984815618239</v>
      </c>
      <c r="I1348">
        <v>0</v>
      </c>
      <c r="J1348">
        <v>0</v>
      </c>
      <c r="K1348">
        <v>1</v>
      </c>
      <c r="L1348">
        <v>1</v>
      </c>
      <c r="M1348">
        <v>0</v>
      </c>
      <c r="N1348">
        <v>23</v>
      </c>
      <c r="O1348">
        <v>-99</v>
      </c>
      <c r="P1348">
        <v>2</v>
      </c>
      <c r="Q1348">
        <v>3</v>
      </c>
      <c r="R1348">
        <v>4</v>
      </c>
      <c r="S1348">
        <v>3</v>
      </c>
      <c r="T1348" s="123">
        <f t="shared" ref="T1348:T1395" si="107">IF(OR(IF(AVERAGE(E1348:F1348)-G1348&gt;(10),1,0),IF(AVERAGE(E1348:F1348)-G1348&lt;(-10),1,0)),0,1)</f>
        <v>0</v>
      </c>
      <c r="U1348">
        <f t="shared" ref="U1348:U1395" si="108">IF(P1348&gt;3,1,0)</f>
        <v>0</v>
      </c>
      <c r="V1348">
        <f t="shared" ref="V1348:V1395" si="109">IF(Q1348&gt;3,1,0)</f>
        <v>0</v>
      </c>
      <c r="W1348">
        <f t="shared" ref="W1348:W1395" si="110">IF(R1348&gt;3,1,0)</f>
        <v>1</v>
      </c>
      <c r="X1348">
        <f t="shared" ref="X1348:X1395" si="111">IF(S1348&gt;3,1,0)</f>
        <v>0</v>
      </c>
    </row>
    <row r="1349" spans="1:24">
      <c r="A1349" t="s">
        <v>280</v>
      </c>
      <c r="B1349">
        <v>3</v>
      </c>
      <c r="C1349">
        <v>1</v>
      </c>
      <c r="D1349">
        <v>97.3737217229625</v>
      </c>
      <c r="E1349">
        <v>97.427951657886581</v>
      </c>
      <c r="F1349">
        <v>95.351719863650459</v>
      </c>
      <c r="G1349">
        <v>9.3662844747443472</v>
      </c>
      <c r="H1349">
        <v>4.5553145336225622</v>
      </c>
      <c r="I1349">
        <v>0</v>
      </c>
      <c r="J1349">
        <v>0</v>
      </c>
      <c r="K1349">
        <v>1</v>
      </c>
      <c r="L1349">
        <v>1</v>
      </c>
      <c r="M1349">
        <v>0</v>
      </c>
      <c r="N1349">
        <v>23</v>
      </c>
      <c r="O1349">
        <v>-99</v>
      </c>
      <c r="P1349">
        <v>2</v>
      </c>
      <c r="Q1349">
        <v>3</v>
      </c>
      <c r="R1349">
        <v>4</v>
      </c>
      <c r="S1349">
        <v>3</v>
      </c>
      <c r="T1349" s="123">
        <f t="shared" si="107"/>
        <v>0</v>
      </c>
      <c r="U1349">
        <f t="shared" si="108"/>
        <v>0</v>
      </c>
      <c r="V1349">
        <f t="shared" si="109"/>
        <v>0</v>
      </c>
      <c r="W1349">
        <f t="shared" si="110"/>
        <v>1</v>
      </c>
      <c r="X1349">
        <f t="shared" si="111"/>
        <v>0</v>
      </c>
    </row>
    <row r="1350" spans="1:24">
      <c r="A1350" t="s">
        <v>280</v>
      </c>
      <c r="B1350">
        <v>4</v>
      </c>
      <c r="C1350">
        <v>1</v>
      </c>
      <c r="D1350">
        <v>92.004958165478783</v>
      </c>
      <c r="E1350">
        <v>8.6303067864890011</v>
      </c>
      <c r="F1350">
        <v>86.450263402541054</v>
      </c>
      <c r="G1350">
        <v>30.918810040285091</v>
      </c>
      <c r="H1350">
        <v>91.911992562751777</v>
      </c>
      <c r="I1350">
        <v>0</v>
      </c>
      <c r="J1350">
        <v>0</v>
      </c>
      <c r="K1350">
        <v>1</v>
      </c>
      <c r="L1350">
        <v>1</v>
      </c>
      <c r="M1350">
        <v>0</v>
      </c>
      <c r="N1350">
        <v>23</v>
      </c>
      <c r="O1350">
        <v>-99</v>
      </c>
      <c r="P1350">
        <v>2</v>
      </c>
      <c r="Q1350">
        <v>3</v>
      </c>
      <c r="R1350">
        <v>4</v>
      </c>
      <c r="S1350">
        <v>3</v>
      </c>
      <c r="T1350" s="123">
        <f t="shared" si="107"/>
        <v>0</v>
      </c>
      <c r="U1350">
        <f t="shared" si="108"/>
        <v>0</v>
      </c>
      <c r="V1350">
        <f t="shared" si="109"/>
        <v>0</v>
      </c>
      <c r="W1350">
        <f t="shared" si="110"/>
        <v>1</v>
      </c>
      <c r="X1350">
        <f t="shared" si="111"/>
        <v>0</v>
      </c>
    </row>
    <row r="1351" spans="1:24">
      <c r="A1351" t="s">
        <v>280</v>
      </c>
      <c r="B1351">
        <v>5</v>
      </c>
      <c r="C1351">
        <v>1</v>
      </c>
      <c r="D1351">
        <v>95.096064456151225</v>
      </c>
      <c r="E1351">
        <v>97.451193058568336</v>
      </c>
      <c r="F1351">
        <v>88.47226526185311</v>
      </c>
      <c r="G1351">
        <v>15.85063526495197</v>
      </c>
      <c r="H1351">
        <v>4.214440656956925</v>
      </c>
      <c r="I1351">
        <v>0</v>
      </c>
      <c r="J1351">
        <v>0</v>
      </c>
      <c r="K1351">
        <v>1</v>
      </c>
      <c r="L1351">
        <v>1</v>
      </c>
      <c r="M1351">
        <v>0</v>
      </c>
      <c r="N1351">
        <v>23</v>
      </c>
      <c r="O1351">
        <v>-99</v>
      </c>
      <c r="P1351">
        <v>2</v>
      </c>
      <c r="Q1351">
        <v>3</v>
      </c>
      <c r="R1351">
        <v>4</v>
      </c>
      <c r="S1351">
        <v>3</v>
      </c>
      <c r="T1351" s="123">
        <f t="shared" si="107"/>
        <v>0</v>
      </c>
      <c r="U1351">
        <f t="shared" si="108"/>
        <v>0</v>
      </c>
      <c r="V1351">
        <f t="shared" si="109"/>
        <v>0</v>
      </c>
      <c r="W1351">
        <f t="shared" si="110"/>
        <v>1</v>
      </c>
      <c r="X1351">
        <f t="shared" si="111"/>
        <v>0</v>
      </c>
    </row>
    <row r="1352" spans="1:24">
      <c r="A1352" t="s">
        <v>280</v>
      </c>
      <c r="B1352">
        <v>6</v>
      </c>
      <c r="C1352">
        <v>1</v>
      </c>
      <c r="D1352">
        <v>17.227615965480041</v>
      </c>
      <c r="E1352">
        <v>29.579288025889969</v>
      </c>
      <c r="F1352">
        <v>50</v>
      </c>
      <c r="G1352">
        <v>84.22869471413162</v>
      </c>
      <c r="H1352">
        <v>79.158576051779932</v>
      </c>
      <c r="I1352">
        <v>0</v>
      </c>
      <c r="J1352">
        <v>0</v>
      </c>
      <c r="K1352">
        <v>0</v>
      </c>
      <c r="L1352">
        <v>1</v>
      </c>
      <c r="M1352">
        <v>0</v>
      </c>
      <c r="N1352">
        <v>23</v>
      </c>
      <c r="O1352">
        <v>-99</v>
      </c>
      <c r="P1352">
        <v>2</v>
      </c>
      <c r="Q1352">
        <v>3</v>
      </c>
      <c r="R1352">
        <v>4</v>
      </c>
      <c r="S1352">
        <v>3</v>
      </c>
      <c r="T1352" s="123">
        <f t="shared" si="107"/>
        <v>0</v>
      </c>
      <c r="U1352">
        <f t="shared" si="108"/>
        <v>0</v>
      </c>
      <c r="V1352">
        <f t="shared" si="109"/>
        <v>0</v>
      </c>
      <c r="W1352">
        <f t="shared" si="110"/>
        <v>1</v>
      </c>
      <c r="X1352">
        <f t="shared" si="111"/>
        <v>0</v>
      </c>
    </row>
    <row r="1353" spans="1:24">
      <c r="A1353" t="s">
        <v>280</v>
      </c>
      <c r="B1353">
        <v>7</v>
      </c>
      <c r="C1353">
        <v>1</v>
      </c>
      <c r="D1353">
        <v>8.3063646170442258</v>
      </c>
      <c r="E1353">
        <v>0</v>
      </c>
      <c r="F1353">
        <v>10.04314994606257</v>
      </c>
      <c r="G1353">
        <v>91.693635382955776</v>
      </c>
      <c r="H1353">
        <v>3.193096008629992</v>
      </c>
      <c r="I1353">
        <v>0</v>
      </c>
      <c r="J1353">
        <v>1</v>
      </c>
      <c r="K1353">
        <v>0</v>
      </c>
      <c r="L1353">
        <v>1</v>
      </c>
      <c r="M1353">
        <v>0</v>
      </c>
      <c r="N1353">
        <v>23</v>
      </c>
      <c r="O1353">
        <v>-99</v>
      </c>
      <c r="P1353">
        <v>2</v>
      </c>
      <c r="Q1353">
        <v>3</v>
      </c>
      <c r="R1353">
        <v>4</v>
      </c>
      <c r="S1353">
        <v>3</v>
      </c>
      <c r="T1353" s="123">
        <f t="shared" si="107"/>
        <v>0</v>
      </c>
      <c r="U1353">
        <f t="shared" si="108"/>
        <v>0</v>
      </c>
      <c r="V1353">
        <f t="shared" si="109"/>
        <v>0</v>
      </c>
      <c r="W1353">
        <f t="shared" si="110"/>
        <v>1</v>
      </c>
      <c r="X1353">
        <f t="shared" si="111"/>
        <v>0</v>
      </c>
    </row>
    <row r="1354" spans="1:24">
      <c r="A1354" t="s">
        <v>281</v>
      </c>
      <c r="B1354">
        <v>1</v>
      </c>
      <c r="C1354">
        <v>1</v>
      </c>
      <c r="D1354">
        <v>99.970424265810948</v>
      </c>
      <c r="E1354">
        <v>99.96382367277306</v>
      </c>
      <c r="F1354">
        <v>99.959761769365116</v>
      </c>
      <c r="G1354">
        <v>9.7358747308989857E-2</v>
      </c>
      <c r="H1354">
        <v>0.15651021568707241</v>
      </c>
      <c r="I1354">
        <v>1</v>
      </c>
      <c r="J1354">
        <v>0</v>
      </c>
      <c r="K1354">
        <v>1</v>
      </c>
      <c r="L1354">
        <v>1</v>
      </c>
      <c r="M1354">
        <v>0</v>
      </c>
      <c r="N1354">
        <v>31</v>
      </c>
      <c r="O1354">
        <v>75000</v>
      </c>
      <c r="P1354">
        <v>1</v>
      </c>
      <c r="Q1354">
        <v>2</v>
      </c>
      <c r="R1354">
        <v>4</v>
      </c>
      <c r="S1354">
        <v>2</v>
      </c>
      <c r="T1354" s="123">
        <f t="shared" si="107"/>
        <v>0</v>
      </c>
      <c r="U1354">
        <f t="shared" si="108"/>
        <v>0</v>
      </c>
      <c r="V1354">
        <f t="shared" si="109"/>
        <v>0</v>
      </c>
      <c r="W1354">
        <f t="shared" si="110"/>
        <v>1</v>
      </c>
      <c r="X1354">
        <f t="shared" si="111"/>
        <v>0</v>
      </c>
    </row>
    <row r="1355" spans="1:24">
      <c r="A1355" t="s">
        <v>281</v>
      </c>
      <c r="B1355">
        <v>2</v>
      </c>
      <c r="C1355">
        <v>1</v>
      </c>
      <c r="D1355">
        <v>4.6584954709777422E-2</v>
      </c>
      <c r="E1355">
        <v>50</v>
      </c>
      <c r="F1355">
        <v>4.6584954709777422E-2</v>
      </c>
      <c r="G1355">
        <v>99.933994069621022</v>
      </c>
      <c r="H1355">
        <v>32.333485401459853</v>
      </c>
      <c r="I1355">
        <v>0</v>
      </c>
      <c r="J1355">
        <v>0</v>
      </c>
      <c r="K1355">
        <v>0</v>
      </c>
      <c r="L1355">
        <v>1</v>
      </c>
      <c r="M1355">
        <v>0</v>
      </c>
      <c r="N1355">
        <v>31</v>
      </c>
      <c r="O1355">
        <v>75000</v>
      </c>
      <c r="P1355">
        <v>1</v>
      </c>
      <c r="Q1355">
        <v>2</v>
      </c>
      <c r="R1355">
        <v>4</v>
      </c>
      <c r="S1355">
        <v>2</v>
      </c>
      <c r="T1355" s="123">
        <f t="shared" si="107"/>
        <v>0</v>
      </c>
      <c r="U1355">
        <f t="shared" si="108"/>
        <v>0</v>
      </c>
      <c r="V1355">
        <f t="shared" si="109"/>
        <v>0</v>
      </c>
      <c r="W1355">
        <f t="shared" si="110"/>
        <v>1</v>
      </c>
      <c r="X1355">
        <f t="shared" si="111"/>
        <v>0</v>
      </c>
    </row>
    <row r="1356" spans="1:24">
      <c r="A1356" t="s">
        <v>281</v>
      </c>
      <c r="B1356">
        <v>3</v>
      </c>
      <c r="C1356">
        <v>1</v>
      </c>
      <c r="D1356">
        <v>12.557025547445249</v>
      </c>
      <c r="E1356">
        <v>97.53649635036497</v>
      </c>
      <c r="F1356">
        <v>7.0369525547445244</v>
      </c>
      <c r="G1356">
        <v>8.1774635036496353</v>
      </c>
      <c r="H1356">
        <v>5.5200729927007313</v>
      </c>
      <c r="I1356">
        <v>0</v>
      </c>
      <c r="J1356">
        <v>0</v>
      </c>
      <c r="K1356">
        <v>0</v>
      </c>
      <c r="L1356">
        <v>1</v>
      </c>
      <c r="M1356">
        <v>0</v>
      </c>
      <c r="N1356">
        <v>31</v>
      </c>
      <c r="O1356">
        <v>75000</v>
      </c>
      <c r="P1356">
        <v>1</v>
      </c>
      <c r="Q1356">
        <v>2</v>
      </c>
      <c r="R1356">
        <v>4</v>
      </c>
      <c r="S1356">
        <v>2</v>
      </c>
      <c r="T1356" s="123">
        <f t="shared" si="107"/>
        <v>0</v>
      </c>
      <c r="U1356">
        <f t="shared" si="108"/>
        <v>0</v>
      </c>
      <c r="V1356">
        <f t="shared" si="109"/>
        <v>0</v>
      </c>
      <c r="W1356">
        <f t="shared" si="110"/>
        <v>1</v>
      </c>
      <c r="X1356">
        <f t="shared" si="111"/>
        <v>0</v>
      </c>
    </row>
    <row r="1357" spans="1:24">
      <c r="A1357" t="s">
        <v>281</v>
      </c>
      <c r="B1357">
        <v>4</v>
      </c>
      <c r="C1357">
        <v>1</v>
      </c>
      <c r="D1357">
        <v>99.612226277372258</v>
      </c>
      <c r="E1357">
        <v>96.384580291970806</v>
      </c>
      <c r="F1357">
        <v>100</v>
      </c>
      <c r="G1357">
        <v>3.0679744525547452</v>
      </c>
      <c r="H1357">
        <v>99.612226277372258</v>
      </c>
      <c r="I1357">
        <v>0</v>
      </c>
      <c r="J1357">
        <v>0</v>
      </c>
      <c r="K1357">
        <v>1</v>
      </c>
      <c r="L1357">
        <v>1</v>
      </c>
      <c r="M1357">
        <v>0</v>
      </c>
      <c r="N1357">
        <v>31</v>
      </c>
      <c r="O1357">
        <v>75000</v>
      </c>
      <c r="P1357">
        <v>1</v>
      </c>
      <c r="Q1357">
        <v>2</v>
      </c>
      <c r="R1357">
        <v>4</v>
      </c>
      <c r="S1357">
        <v>2</v>
      </c>
      <c r="T1357" s="123">
        <f t="shared" si="107"/>
        <v>0</v>
      </c>
      <c r="U1357">
        <f t="shared" si="108"/>
        <v>0</v>
      </c>
      <c r="V1357">
        <f t="shared" si="109"/>
        <v>0</v>
      </c>
      <c r="W1357">
        <f t="shared" si="110"/>
        <v>1</v>
      </c>
      <c r="X1357">
        <f t="shared" si="111"/>
        <v>0</v>
      </c>
    </row>
    <row r="1358" spans="1:24" hidden="1">
      <c r="A1358" t="s">
        <v>281</v>
      </c>
      <c r="B1358">
        <v>5</v>
      </c>
      <c r="C1358">
        <v>1</v>
      </c>
      <c r="D1358">
        <v>8.1888686131386894</v>
      </c>
      <c r="E1358">
        <v>6.4210766423357661</v>
      </c>
      <c r="F1358">
        <v>4.3795620437956204</v>
      </c>
      <c r="G1358">
        <v>10.67518248175182</v>
      </c>
      <c r="H1358">
        <v>50</v>
      </c>
      <c r="I1358">
        <v>0</v>
      </c>
      <c r="J1358">
        <v>0</v>
      </c>
      <c r="K1358">
        <v>0</v>
      </c>
      <c r="L1358">
        <v>1</v>
      </c>
      <c r="M1358">
        <v>0</v>
      </c>
      <c r="N1358">
        <v>31</v>
      </c>
      <c r="O1358">
        <v>75000</v>
      </c>
      <c r="P1358">
        <v>1</v>
      </c>
      <c r="Q1358">
        <v>2</v>
      </c>
      <c r="R1358">
        <v>4</v>
      </c>
      <c r="S1358">
        <v>2</v>
      </c>
      <c r="T1358" s="123">
        <f t="shared" si="107"/>
        <v>1</v>
      </c>
      <c r="U1358">
        <f t="shared" si="108"/>
        <v>0</v>
      </c>
      <c r="V1358">
        <f t="shared" si="109"/>
        <v>0</v>
      </c>
      <c r="W1358">
        <f t="shared" si="110"/>
        <v>1</v>
      </c>
      <c r="X1358">
        <f t="shared" si="111"/>
        <v>0</v>
      </c>
    </row>
    <row r="1359" spans="1:24">
      <c r="A1359" t="s">
        <v>281</v>
      </c>
      <c r="B1359">
        <v>6</v>
      </c>
      <c r="C1359">
        <v>1</v>
      </c>
      <c r="D1359">
        <v>97.182937956204384</v>
      </c>
      <c r="E1359">
        <v>97.137317518248167</v>
      </c>
      <c r="F1359">
        <v>9.5004562043795602</v>
      </c>
      <c r="G1359">
        <v>17.529653284671529</v>
      </c>
      <c r="H1359">
        <v>5.2919708029197103</v>
      </c>
      <c r="I1359">
        <v>0</v>
      </c>
      <c r="J1359">
        <v>0</v>
      </c>
      <c r="K1359">
        <v>1</v>
      </c>
      <c r="L1359">
        <v>1</v>
      </c>
      <c r="M1359">
        <v>0</v>
      </c>
      <c r="N1359">
        <v>31</v>
      </c>
      <c r="O1359">
        <v>75000</v>
      </c>
      <c r="P1359">
        <v>1</v>
      </c>
      <c r="Q1359">
        <v>2</v>
      </c>
      <c r="R1359">
        <v>4</v>
      </c>
      <c r="S1359">
        <v>2</v>
      </c>
      <c r="T1359" s="123">
        <f t="shared" si="107"/>
        <v>0</v>
      </c>
      <c r="U1359">
        <f t="shared" si="108"/>
        <v>0</v>
      </c>
      <c r="V1359">
        <f t="shared" si="109"/>
        <v>0</v>
      </c>
      <c r="W1359">
        <f t="shared" si="110"/>
        <v>1</v>
      </c>
      <c r="X1359">
        <f t="shared" si="111"/>
        <v>0</v>
      </c>
    </row>
    <row r="1360" spans="1:24">
      <c r="A1360" t="s">
        <v>281</v>
      </c>
      <c r="B1360">
        <v>7</v>
      </c>
      <c r="C1360">
        <v>1</v>
      </c>
      <c r="D1360">
        <v>11.78147810218978</v>
      </c>
      <c r="E1360">
        <v>6.272810218978103</v>
      </c>
      <c r="F1360">
        <v>44.445711678832119</v>
      </c>
      <c r="G1360">
        <v>13.67472627737226</v>
      </c>
      <c r="H1360">
        <v>91.434762773722625</v>
      </c>
      <c r="I1360">
        <v>0</v>
      </c>
      <c r="J1360">
        <v>1</v>
      </c>
      <c r="K1360">
        <v>0</v>
      </c>
      <c r="L1360">
        <v>1</v>
      </c>
      <c r="M1360">
        <v>0</v>
      </c>
      <c r="N1360">
        <v>31</v>
      </c>
      <c r="O1360">
        <v>75000</v>
      </c>
      <c r="P1360">
        <v>1</v>
      </c>
      <c r="Q1360">
        <v>2</v>
      </c>
      <c r="R1360">
        <v>4</v>
      </c>
      <c r="S1360">
        <v>2</v>
      </c>
      <c r="T1360" s="123">
        <f t="shared" si="107"/>
        <v>0</v>
      </c>
      <c r="U1360">
        <f t="shared" si="108"/>
        <v>0</v>
      </c>
      <c r="V1360">
        <f t="shared" si="109"/>
        <v>0</v>
      </c>
      <c r="W1360">
        <f t="shared" si="110"/>
        <v>1</v>
      </c>
      <c r="X1360">
        <f t="shared" si="111"/>
        <v>0</v>
      </c>
    </row>
    <row r="1361" spans="1:24">
      <c r="A1361" t="s">
        <v>282</v>
      </c>
      <c r="B1361">
        <v>1</v>
      </c>
      <c r="C1361">
        <v>1</v>
      </c>
      <c r="D1361">
        <v>98.399742930591259</v>
      </c>
      <c r="E1361">
        <v>95.514138817480728</v>
      </c>
      <c r="F1361">
        <v>94.76221079691517</v>
      </c>
      <c r="G1361">
        <v>3.7403598971722349</v>
      </c>
      <c r="H1361">
        <v>97.011568123393317</v>
      </c>
      <c r="I1361">
        <v>1</v>
      </c>
      <c r="J1361">
        <v>0</v>
      </c>
      <c r="K1361">
        <v>1</v>
      </c>
      <c r="L1361">
        <v>1</v>
      </c>
      <c r="M1361">
        <v>0</v>
      </c>
      <c r="N1361">
        <v>36</v>
      </c>
      <c r="O1361">
        <v>30000</v>
      </c>
      <c r="P1361">
        <v>3</v>
      </c>
      <c r="Q1361">
        <v>2</v>
      </c>
      <c r="R1361">
        <v>4</v>
      </c>
      <c r="S1361">
        <v>3</v>
      </c>
      <c r="T1361" s="123">
        <f t="shared" si="107"/>
        <v>0</v>
      </c>
      <c r="U1361">
        <f t="shared" si="108"/>
        <v>0</v>
      </c>
      <c r="V1361">
        <f t="shared" si="109"/>
        <v>0</v>
      </c>
      <c r="W1361">
        <f t="shared" si="110"/>
        <v>1</v>
      </c>
      <c r="X1361">
        <f t="shared" si="111"/>
        <v>0</v>
      </c>
    </row>
    <row r="1362" spans="1:24" hidden="1">
      <c r="A1362" t="s">
        <v>282</v>
      </c>
      <c r="B1362">
        <v>2</v>
      </c>
      <c r="C1362">
        <v>1</v>
      </c>
      <c r="D1362">
        <v>8.1948291782086784</v>
      </c>
      <c r="E1362">
        <v>50</v>
      </c>
      <c r="F1362">
        <v>50</v>
      </c>
      <c r="G1362">
        <v>50</v>
      </c>
      <c r="H1362">
        <v>9.4067405355494014</v>
      </c>
      <c r="I1362">
        <v>0</v>
      </c>
      <c r="J1362">
        <v>0</v>
      </c>
      <c r="K1362">
        <v>0</v>
      </c>
      <c r="L1362">
        <v>1</v>
      </c>
      <c r="M1362">
        <v>0</v>
      </c>
      <c r="N1362">
        <v>36</v>
      </c>
      <c r="O1362">
        <v>30000</v>
      </c>
      <c r="P1362">
        <v>3</v>
      </c>
      <c r="Q1362">
        <v>2</v>
      </c>
      <c r="R1362">
        <v>4</v>
      </c>
      <c r="S1362">
        <v>3</v>
      </c>
      <c r="T1362" s="123">
        <f t="shared" si="107"/>
        <v>1</v>
      </c>
      <c r="U1362">
        <f t="shared" si="108"/>
        <v>0</v>
      </c>
      <c r="V1362">
        <f t="shared" si="109"/>
        <v>0</v>
      </c>
      <c r="W1362">
        <f t="shared" si="110"/>
        <v>1</v>
      </c>
      <c r="X1362">
        <f t="shared" si="111"/>
        <v>0</v>
      </c>
    </row>
    <row r="1363" spans="1:24" hidden="1">
      <c r="A1363" t="s">
        <v>282</v>
      </c>
      <c r="B1363">
        <v>3</v>
      </c>
      <c r="C1363">
        <v>1</v>
      </c>
      <c r="D1363">
        <v>4.9861495844875368</v>
      </c>
      <c r="E1363">
        <v>4.0050784856879016</v>
      </c>
      <c r="F1363">
        <v>7.6869806094182813</v>
      </c>
      <c r="G1363">
        <v>2.100646352723917</v>
      </c>
      <c r="H1363">
        <v>14.79686057248384</v>
      </c>
      <c r="I1363">
        <v>0</v>
      </c>
      <c r="J1363">
        <v>0</v>
      </c>
      <c r="K1363">
        <v>0</v>
      </c>
      <c r="L1363">
        <v>1</v>
      </c>
      <c r="M1363">
        <v>0</v>
      </c>
      <c r="N1363">
        <v>36</v>
      </c>
      <c r="O1363">
        <v>30000</v>
      </c>
      <c r="P1363">
        <v>3</v>
      </c>
      <c r="Q1363">
        <v>2</v>
      </c>
      <c r="R1363">
        <v>4</v>
      </c>
      <c r="S1363">
        <v>3</v>
      </c>
      <c r="T1363" s="123">
        <f t="shared" si="107"/>
        <v>1</v>
      </c>
      <c r="U1363">
        <f t="shared" si="108"/>
        <v>0</v>
      </c>
      <c r="V1363">
        <f t="shared" si="109"/>
        <v>0</v>
      </c>
      <c r="W1363">
        <f t="shared" si="110"/>
        <v>1</v>
      </c>
      <c r="X1363">
        <f t="shared" si="111"/>
        <v>0</v>
      </c>
    </row>
    <row r="1364" spans="1:24" hidden="1">
      <c r="A1364" t="s">
        <v>282</v>
      </c>
      <c r="B1364">
        <v>4</v>
      </c>
      <c r="C1364">
        <v>1</v>
      </c>
      <c r="D1364">
        <v>10.20313942751616</v>
      </c>
      <c r="E1364">
        <v>3.8434903047091411</v>
      </c>
      <c r="F1364">
        <v>8.8180978762696203</v>
      </c>
      <c r="G1364">
        <v>4.8130193905817187</v>
      </c>
      <c r="H1364">
        <v>5.9095106186518924</v>
      </c>
      <c r="I1364">
        <v>0</v>
      </c>
      <c r="J1364">
        <v>0</v>
      </c>
      <c r="K1364">
        <v>0</v>
      </c>
      <c r="L1364">
        <v>1</v>
      </c>
      <c r="M1364">
        <v>0</v>
      </c>
      <c r="N1364">
        <v>36</v>
      </c>
      <c r="O1364">
        <v>30000</v>
      </c>
      <c r="P1364">
        <v>3</v>
      </c>
      <c r="Q1364">
        <v>2</v>
      </c>
      <c r="R1364">
        <v>4</v>
      </c>
      <c r="S1364">
        <v>3</v>
      </c>
      <c r="T1364" s="123">
        <f t="shared" si="107"/>
        <v>1</v>
      </c>
      <c r="U1364">
        <f t="shared" si="108"/>
        <v>0</v>
      </c>
      <c r="V1364">
        <f t="shared" si="109"/>
        <v>0</v>
      </c>
      <c r="W1364">
        <f t="shared" si="110"/>
        <v>1</v>
      </c>
      <c r="X1364">
        <f t="shared" si="111"/>
        <v>0</v>
      </c>
    </row>
    <row r="1365" spans="1:24" hidden="1">
      <c r="A1365" t="s">
        <v>282</v>
      </c>
      <c r="B1365">
        <v>5</v>
      </c>
      <c r="C1365">
        <v>1</v>
      </c>
      <c r="D1365">
        <v>1.9044321329639899</v>
      </c>
      <c r="E1365">
        <v>2.8739612188365631</v>
      </c>
      <c r="F1365">
        <v>0</v>
      </c>
      <c r="G1365">
        <v>4.4205909510618646</v>
      </c>
      <c r="H1365">
        <v>1.7082179132040629</v>
      </c>
      <c r="I1365">
        <v>0</v>
      </c>
      <c r="J1365">
        <v>0</v>
      </c>
      <c r="K1365">
        <v>0</v>
      </c>
      <c r="L1365">
        <v>1</v>
      </c>
      <c r="M1365">
        <v>0</v>
      </c>
      <c r="N1365">
        <v>36</v>
      </c>
      <c r="O1365">
        <v>30000</v>
      </c>
      <c r="P1365">
        <v>3</v>
      </c>
      <c r="Q1365">
        <v>2</v>
      </c>
      <c r="R1365">
        <v>4</v>
      </c>
      <c r="S1365">
        <v>3</v>
      </c>
      <c r="T1365" s="123">
        <f t="shared" si="107"/>
        <v>1</v>
      </c>
      <c r="U1365">
        <f t="shared" si="108"/>
        <v>0</v>
      </c>
      <c r="V1365">
        <f t="shared" si="109"/>
        <v>0</v>
      </c>
      <c r="W1365">
        <f t="shared" si="110"/>
        <v>1</v>
      </c>
      <c r="X1365">
        <f t="shared" si="111"/>
        <v>0</v>
      </c>
    </row>
    <row r="1366" spans="1:24" hidden="1">
      <c r="A1366" t="s">
        <v>282</v>
      </c>
      <c r="B1366">
        <v>6</v>
      </c>
      <c r="C1366">
        <v>1</v>
      </c>
      <c r="D1366">
        <v>3.2548476454293649</v>
      </c>
      <c r="E1366">
        <v>6.8905817174515214</v>
      </c>
      <c r="F1366">
        <v>4.7783933518005526</v>
      </c>
      <c r="G1366">
        <v>9.7991689750692501</v>
      </c>
      <c r="H1366">
        <v>2.5046168051708229</v>
      </c>
      <c r="I1366">
        <v>0</v>
      </c>
      <c r="J1366">
        <v>0</v>
      </c>
      <c r="K1366">
        <v>0</v>
      </c>
      <c r="L1366">
        <v>1</v>
      </c>
      <c r="M1366">
        <v>0</v>
      </c>
      <c r="N1366">
        <v>36</v>
      </c>
      <c r="O1366">
        <v>30000</v>
      </c>
      <c r="P1366">
        <v>3</v>
      </c>
      <c r="Q1366">
        <v>2</v>
      </c>
      <c r="R1366">
        <v>4</v>
      </c>
      <c r="S1366">
        <v>3</v>
      </c>
      <c r="T1366" s="123">
        <f t="shared" si="107"/>
        <v>1</v>
      </c>
      <c r="U1366">
        <f t="shared" si="108"/>
        <v>0</v>
      </c>
      <c r="V1366">
        <f t="shared" si="109"/>
        <v>0</v>
      </c>
      <c r="W1366">
        <f t="shared" si="110"/>
        <v>1</v>
      </c>
      <c r="X1366">
        <f t="shared" si="111"/>
        <v>0</v>
      </c>
    </row>
    <row r="1367" spans="1:24" hidden="1">
      <c r="A1367" t="s">
        <v>282</v>
      </c>
      <c r="B1367">
        <v>7</v>
      </c>
      <c r="C1367">
        <v>1</v>
      </c>
      <c r="D1367">
        <v>6.5327793167128334</v>
      </c>
      <c r="E1367">
        <v>5.3554939981532774</v>
      </c>
      <c r="F1367">
        <v>6.9136657433056303</v>
      </c>
      <c r="G1367">
        <v>15.177746999076639</v>
      </c>
      <c r="H1367">
        <v>93.467220683287167</v>
      </c>
      <c r="I1367">
        <v>0</v>
      </c>
      <c r="J1367">
        <v>1</v>
      </c>
      <c r="K1367">
        <v>0</v>
      </c>
      <c r="L1367">
        <v>1</v>
      </c>
      <c r="M1367">
        <v>0</v>
      </c>
      <c r="N1367">
        <v>36</v>
      </c>
      <c r="O1367">
        <v>30000</v>
      </c>
      <c r="P1367">
        <v>3</v>
      </c>
      <c r="Q1367">
        <v>2</v>
      </c>
      <c r="R1367">
        <v>4</v>
      </c>
      <c r="S1367">
        <v>3</v>
      </c>
      <c r="T1367" s="123">
        <f t="shared" si="107"/>
        <v>1</v>
      </c>
      <c r="U1367">
        <f t="shared" si="108"/>
        <v>0</v>
      </c>
      <c r="V1367">
        <f t="shared" si="109"/>
        <v>0</v>
      </c>
      <c r="W1367">
        <f t="shared" si="110"/>
        <v>1</v>
      </c>
      <c r="X1367">
        <f t="shared" si="111"/>
        <v>0</v>
      </c>
    </row>
    <row r="1368" spans="1:24">
      <c r="A1368" t="s">
        <v>283</v>
      </c>
      <c r="B1368">
        <v>1</v>
      </c>
      <c r="C1368">
        <v>1</v>
      </c>
      <c r="D1368">
        <v>98.707478401727869</v>
      </c>
      <c r="E1368">
        <v>98.808720302375804</v>
      </c>
      <c r="F1368">
        <v>95.771463282937361</v>
      </c>
      <c r="G1368">
        <v>3.7729481641468658</v>
      </c>
      <c r="H1368">
        <v>4.4917656587472976</v>
      </c>
      <c r="I1368">
        <v>1</v>
      </c>
      <c r="J1368">
        <v>0</v>
      </c>
      <c r="K1368">
        <v>1</v>
      </c>
      <c r="L1368">
        <v>1</v>
      </c>
      <c r="M1368">
        <v>1</v>
      </c>
      <c r="N1368">
        <v>19</v>
      </c>
      <c r="O1368">
        <v>50000</v>
      </c>
      <c r="P1368">
        <v>1</v>
      </c>
      <c r="Q1368">
        <v>1</v>
      </c>
      <c r="R1368">
        <v>1</v>
      </c>
      <c r="S1368">
        <v>3</v>
      </c>
      <c r="T1368" s="123">
        <f t="shared" si="107"/>
        <v>0</v>
      </c>
      <c r="U1368">
        <f t="shared" si="108"/>
        <v>0</v>
      </c>
      <c r="V1368">
        <f t="shared" si="109"/>
        <v>0</v>
      </c>
      <c r="W1368">
        <f t="shared" si="110"/>
        <v>0</v>
      </c>
      <c r="X1368">
        <f t="shared" si="111"/>
        <v>0</v>
      </c>
    </row>
    <row r="1369" spans="1:24">
      <c r="A1369" t="s">
        <v>283</v>
      </c>
      <c r="B1369">
        <v>2</v>
      </c>
      <c r="C1369">
        <v>1</v>
      </c>
      <c r="D1369">
        <v>50</v>
      </c>
      <c r="E1369">
        <v>95.3847942338991</v>
      </c>
      <c r="F1369">
        <v>97.357586393088553</v>
      </c>
      <c r="G1369">
        <v>33.933968844454768</v>
      </c>
      <c r="H1369">
        <v>4.7887419006479472</v>
      </c>
      <c r="I1369">
        <v>0</v>
      </c>
      <c r="J1369">
        <v>0</v>
      </c>
      <c r="K1369">
        <v>1</v>
      </c>
      <c r="L1369">
        <v>1</v>
      </c>
      <c r="M1369">
        <v>1</v>
      </c>
      <c r="N1369">
        <v>19</v>
      </c>
      <c r="O1369">
        <v>50000</v>
      </c>
      <c r="P1369">
        <v>1</v>
      </c>
      <c r="Q1369">
        <v>1</v>
      </c>
      <c r="R1369">
        <v>1</v>
      </c>
      <c r="S1369">
        <v>3</v>
      </c>
      <c r="T1369" s="123">
        <f t="shared" si="107"/>
        <v>0</v>
      </c>
      <c r="U1369">
        <f t="shared" si="108"/>
        <v>0</v>
      </c>
      <c r="V1369">
        <f t="shared" si="109"/>
        <v>0</v>
      </c>
      <c r="W1369">
        <f t="shared" si="110"/>
        <v>0</v>
      </c>
      <c r="X1369">
        <f t="shared" si="111"/>
        <v>0</v>
      </c>
    </row>
    <row r="1370" spans="1:24" hidden="1">
      <c r="A1370" t="s">
        <v>283</v>
      </c>
      <c r="B1370">
        <v>3</v>
      </c>
      <c r="C1370">
        <v>1</v>
      </c>
      <c r="D1370">
        <v>3.5224366426412468</v>
      </c>
      <c r="E1370">
        <v>6.9983724715182554</v>
      </c>
      <c r="F1370">
        <v>0</v>
      </c>
      <c r="G1370">
        <v>4.4757033248081832</v>
      </c>
      <c r="H1370">
        <v>50</v>
      </c>
      <c r="I1370">
        <v>0</v>
      </c>
      <c r="J1370">
        <v>0</v>
      </c>
      <c r="K1370">
        <v>0</v>
      </c>
      <c r="L1370">
        <v>1</v>
      </c>
      <c r="M1370">
        <v>1</v>
      </c>
      <c r="N1370">
        <v>19</v>
      </c>
      <c r="O1370">
        <v>50000</v>
      </c>
      <c r="P1370">
        <v>1</v>
      </c>
      <c r="Q1370">
        <v>1</v>
      </c>
      <c r="R1370">
        <v>1</v>
      </c>
      <c r="S1370">
        <v>3</v>
      </c>
      <c r="T1370" s="123">
        <f t="shared" si="107"/>
        <v>1</v>
      </c>
      <c r="U1370">
        <f t="shared" si="108"/>
        <v>0</v>
      </c>
      <c r="V1370">
        <f t="shared" si="109"/>
        <v>0</v>
      </c>
      <c r="W1370">
        <f t="shared" si="110"/>
        <v>0</v>
      </c>
      <c r="X1370">
        <f t="shared" si="111"/>
        <v>0</v>
      </c>
    </row>
    <row r="1371" spans="1:24">
      <c r="A1371" t="s">
        <v>283</v>
      </c>
      <c r="B1371">
        <v>4</v>
      </c>
      <c r="C1371">
        <v>1</v>
      </c>
      <c r="D1371">
        <v>4.1734480353406216</v>
      </c>
      <c r="E1371">
        <v>4.1734480353406216</v>
      </c>
      <c r="F1371">
        <v>2.534294350151129</v>
      </c>
      <c r="G1371">
        <v>89.118809579167632</v>
      </c>
      <c r="H1371">
        <v>0.52313415484770975</v>
      </c>
      <c r="I1371">
        <v>0</v>
      </c>
      <c r="J1371">
        <v>0</v>
      </c>
      <c r="K1371">
        <v>0</v>
      </c>
      <c r="L1371">
        <v>1</v>
      </c>
      <c r="M1371">
        <v>1</v>
      </c>
      <c r="N1371">
        <v>19</v>
      </c>
      <c r="O1371">
        <v>50000</v>
      </c>
      <c r="P1371">
        <v>1</v>
      </c>
      <c r="Q1371">
        <v>1</v>
      </c>
      <c r="R1371">
        <v>1</v>
      </c>
      <c r="S1371">
        <v>3</v>
      </c>
      <c r="T1371" s="123">
        <f t="shared" si="107"/>
        <v>0</v>
      </c>
      <c r="U1371">
        <f t="shared" si="108"/>
        <v>0</v>
      </c>
      <c r="V1371">
        <f t="shared" si="109"/>
        <v>0</v>
      </c>
      <c r="W1371">
        <f t="shared" si="110"/>
        <v>0</v>
      </c>
      <c r="X1371">
        <f t="shared" si="111"/>
        <v>0</v>
      </c>
    </row>
    <row r="1372" spans="1:24" hidden="1">
      <c r="A1372" t="s">
        <v>283</v>
      </c>
      <c r="B1372">
        <v>5</v>
      </c>
      <c r="C1372">
        <v>1</v>
      </c>
      <c r="D1372">
        <v>11.03231806556615</v>
      </c>
      <c r="E1372">
        <v>5.4173448035340632</v>
      </c>
      <c r="F1372">
        <v>17.286677516856539</v>
      </c>
      <c r="G1372">
        <v>7.3703789816321752</v>
      </c>
      <c r="H1372">
        <v>32.980702162287841</v>
      </c>
      <c r="I1372">
        <v>0</v>
      </c>
      <c r="J1372">
        <v>0</v>
      </c>
      <c r="K1372">
        <v>0</v>
      </c>
      <c r="L1372">
        <v>1</v>
      </c>
      <c r="M1372">
        <v>1</v>
      </c>
      <c r="N1372">
        <v>19</v>
      </c>
      <c r="O1372">
        <v>50000</v>
      </c>
      <c r="P1372">
        <v>1</v>
      </c>
      <c r="Q1372">
        <v>1</v>
      </c>
      <c r="R1372">
        <v>1</v>
      </c>
      <c r="S1372">
        <v>3</v>
      </c>
      <c r="T1372" s="123">
        <f t="shared" si="107"/>
        <v>1</v>
      </c>
      <c r="U1372">
        <f t="shared" si="108"/>
        <v>0</v>
      </c>
      <c r="V1372">
        <f t="shared" si="109"/>
        <v>0</v>
      </c>
      <c r="W1372">
        <f t="shared" si="110"/>
        <v>0</v>
      </c>
      <c r="X1372">
        <f t="shared" si="111"/>
        <v>0</v>
      </c>
    </row>
    <row r="1373" spans="1:24">
      <c r="A1373" t="s">
        <v>283</v>
      </c>
      <c r="B1373">
        <v>6</v>
      </c>
      <c r="C1373">
        <v>1</v>
      </c>
      <c r="D1373">
        <v>59.288537549407117</v>
      </c>
      <c r="E1373">
        <v>50</v>
      </c>
      <c r="F1373">
        <v>7.5680074401302031</v>
      </c>
      <c r="G1373">
        <v>50</v>
      </c>
      <c r="H1373">
        <v>12.369216461288071</v>
      </c>
      <c r="I1373">
        <v>0</v>
      </c>
      <c r="J1373">
        <v>0</v>
      </c>
      <c r="K1373">
        <v>1</v>
      </c>
      <c r="L1373">
        <v>1</v>
      </c>
      <c r="M1373">
        <v>1</v>
      </c>
      <c r="N1373">
        <v>19</v>
      </c>
      <c r="O1373">
        <v>50000</v>
      </c>
      <c r="P1373">
        <v>1</v>
      </c>
      <c r="Q1373">
        <v>1</v>
      </c>
      <c r="R1373">
        <v>1</v>
      </c>
      <c r="S1373">
        <v>3</v>
      </c>
      <c r="T1373" s="123">
        <f t="shared" si="107"/>
        <v>0</v>
      </c>
      <c r="U1373">
        <f t="shared" si="108"/>
        <v>0</v>
      </c>
      <c r="V1373">
        <f t="shared" si="109"/>
        <v>0</v>
      </c>
      <c r="W1373">
        <f t="shared" si="110"/>
        <v>0</v>
      </c>
      <c r="X1373">
        <f t="shared" si="111"/>
        <v>0</v>
      </c>
    </row>
    <row r="1374" spans="1:24">
      <c r="A1374" t="s">
        <v>283</v>
      </c>
      <c r="B1374">
        <v>7</v>
      </c>
      <c r="C1374">
        <v>1</v>
      </c>
      <c r="D1374">
        <v>13.75261567077424</v>
      </c>
      <c r="E1374">
        <v>93.106254359451285</v>
      </c>
      <c r="F1374">
        <v>7.1727505231341526</v>
      </c>
      <c r="G1374">
        <v>16.519414089746569</v>
      </c>
      <c r="H1374">
        <v>8.1492676121832144</v>
      </c>
      <c r="I1374">
        <v>0</v>
      </c>
      <c r="J1374">
        <v>1</v>
      </c>
      <c r="K1374">
        <v>0</v>
      </c>
      <c r="L1374">
        <v>1</v>
      </c>
      <c r="M1374">
        <v>1</v>
      </c>
      <c r="N1374">
        <v>19</v>
      </c>
      <c r="O1374">
        <v>50000</v>
      </c>
      <c r="P1374">
        <v>1</v>
      </c>
      <c r="Q1374">
        <v>1</v>
      </c>
      <c r="R1374">
        <v>1</v>
      </c>
      <c r="S1374">
        <v>3</v>
      </c>
      <c r="T1374" s="123">
        <f t="shared" si="107"/>
        <v>0</v>
      </c>
      <c r="U1374">
        <f t="shared" si="108"/>
        <v>0</v>
      </c>
      <c r="V1374">
        <f t="shared" si="109"/>
        <v>0</v>
      </c>
      <c r="W1374">
        <f t="shared" si="110"/>
        <v>0</v>
      </c>
      <c r="X1374">
        <f t="shared" si="111"/>
        <v>0</v>
      </c>
    </row>
    <row r="1375" spans="1:24">
      <c r="A1375" t="s">
        <v>284</v>
      </c>
      <c r="B1375">
        <v>1</v>
      </c>
      <c r="C1375">
        <v>1</v>
      </c>
      <c r="D1375">
        <v>69.423558897243112</v>
      </c>
      <c r="E1375">
        <v>7.4416811258916526</v>
      </c>
      <c r="F1375">
        <v>0.32774243300558997</v>
      </c>
      <c r="G1375">
        <v>30.576441102756888</v>
      </c>
      <c r="H1375">
        <v>0.89647194910352779</v>
      </c>
      <c r="I1375">
        <v>1</v>
      </c>
      <c r="J1375">
        <v>0</v>
      </c>
      <c r="K1375">
        <v>1</v>
      </c>
      <c r="L1375">
        <v>1</v>
      </c>
      <c r="M1375">
        <v>1</v>
      </c>
      <c r="N1375">
        <v>43</v>
      </c>
      <c r="O1375">
        <v>35000</v>
      </c>
      <c r="P1375">
        <v>1</v>
      </c>
      <c r="Q1375">
        <v>1</v>
      </c>
      <c r="R1375">
        <v>4</v>
      </c>
      <c r="S1375">
        <v>2</v>
      </c>
      <c r="T1375" s="123">
        <f t="shared" si="107"/>
        <v>0</v>
      </c>
      <c r="U1375">
        <f t="shared" si="108"/>
        <v>0</v>
      </c>
      <c r="V1375">
        <f t="shared" si="109"/>
        <v>0</v>
      </c>
      <c r="W1375">
        <f t="shared" si="110"/>
        <v>1</v>
      </c>
      <c r="X1375">
        <f t="shared" si="111"/>
        <v>0</v>
      </c>
    </row>
    <row r="1376" spans="1:24" hidden="1">
      <c r="A1376" t="s">
        <v>284</v>
      </c>
      <c r="B1376">
        <v>2</v>
      </c>
      <c r="C1376">
        <v>1</v>
      </c>
      <c r="D1376">
        <v>6.7283593599383078</v>
      </c>
      <c r="E1376">
        <v>4.1160593792172744</v>
      </c>
      <c r="F1376">
        <v>0.48197416618468991</v>
      </c>
      <c r="G1376">
        <v>5.4655870445344146</v>
      </c>
      <c r="H1376">
        <v>10.41064198958936</v>
      </c>
      <c r="I1376">
        <v>0</v>
      </c>
      <c r="J1376">
        <v>0</v>
      </c>
      <c r="K1376">
        <v>0</v>
      </c>
      <c r="L1376">
        <v>1</v>
      </c>
      <c r="M1376">
        <v>1</v>
      </c>
      <c r="N1376">
        <v>43</v>
      </c>
      <c r="O1376">
        <v>35000</v>
      </c>
      <c r="P1376">
        <v>1</v>
      </c>
      <c r="Q1376">
        <v>1</v>
      </c>
      <c r="R1376">
        <v>4</v>
      </c>
      <c r="S1376">
        <v>2</v>
      </c>
      <c r="T1376" s="123">
        <f t="shared" si="107"/>
        <v>1</v>
      </c>
      <c r="U1376">
        <f t="shared" si="108"/>
        <v>0</v>
      </c>
      <c r="V1376">
        <f t="shared" si="109"/>
        <v>0</v>
      </c>
      <c r="W1376">
        <f t="shared" si="110"/>
        <v>1</v>
      </c>
      <c r="X1376">
        <f t="shared" si="111"/>
        <v>0</v>
      </c>
    </row>
    <row r="1377" spans="1:24" hidden="1">
      <c r="A1377" t="s">
        <v>284</v>
      </c>
      <c r="B1377">
        <v>3</v>
      </c>
      <c r="C1377">
        <v>1</v>
      </c>
      <c r="D1377">
        <v>5.9090032774243291</v>
      </c>
      <c r="E1377">
        <v>1.9568151147098529</v>
      </c>
      <c r="F1377">
        <v>0.88683246577983543</v>
      </c>
      <c r="G1377">
        <v>5.4945054945054972</v>
      </c>
      <c r="H1377">
        <v>0</v>
      </c>
      <c r="I1377">
        <v>0</v>
      </c>
      <c r="J1377">
        <v>0</v>
      </c>
      <c r="K1377">
        <v>0</v>
      </c>
      <c r="L1377">
        <v>1</v>
      </c>
      <c r="M1377">
        <v>1</v>
      </c>
      <c r="N1377">
        <v>43</v>
      </c>
      <c r="O1377">
        <v>35000</v>
      </c>
      <c r="P1377">
        <v>1</v>
      </c>
      <c r="Q1377">
        <v>1</v>
      </c>
      <c r="R1377">
        <v>4</v>
      </c>
      <c r="S1377">
        <v>2</v>
      </c>
      <c r="T1377" s="123">
        <f t="shared" si="107"/>
        <v>1</v>
      </c>
      <c r="U1377">
        <f t="shared" si="108"/>
        <v>0</v>
      </c>
      <c r="V1377">
        <f t="shared" si="109"/>
        <v>0</v>
      </c>
      <c r="W1377">
        <f t="shared" si="110"/>
        <v>1</v>
      </c>
      <c r="X1377">
        <f t="shared" si="111"/>
        <v>0</v>
      </c>
    </row>
    <row r="1378" spans="1:24">
      <c r="A1378" t="s">
        <v>284</v>
      </c>
      <c r="B1378">
        <v>4</v>
      </c>
      <c r="C1378">
        <v>1</v>
      </c>
      <c r="D1378">
        <v>98.370927318295742</v>
      </c>
      <c r="E1378">
        <v>0.50125313283208017</v>
      </c>
      <c r="F1378">
        <v>1.0507036822826279</v>
      </c>
      <c r="G1378">
        <v>81.656063235010606</v>
      </c>
      <c r="H1378">
        <v>1.503759398496241</v>
      </c>
      <c r="I1378">
        <v>0</v>
      </c>
      <c r="J1378">
        <v>0</v>
      </c>
      <c r="K1378">
        <v>1</v>
      </c>
      <c r="L1378">
        <v>1</v>
      </c>
      <c r="M1378">
        <v>1</v>
      </c>
      <c r="N1378">
        <v>43</v>
      </c>
      <c r="O1378">
        <v>35000</v>
      </c>
      <c r="P1378">
        <v>1</v>
      </c>
      <c r="Q1378">
        <v>1</v>
      </c>
      <c r="R1378">
        <v>4</v>
      </c>
      <c r="S1378">
        <v>2</v>
      </c>
      <c r="T1378" s="123">
        <f t="shared" si="107"/>
        <v>0</v>
      </c>
      <c r="U1378">
        <f t="shared" si="108"/>
        <v>0</v>
      </c>
      <c r="V1378">
        <f t="shared" si="109"/>
        <v>0</v>
      </c>
      <c r="W1378">
        <f t="shared" si="110"/>
        <v>1</v>
      </c>
      <c r="X1378">
        <f t="shared" si="111"/>
        <v>0</v>
      </c>
    </row>
    <row r="1379" spans="1:24" hidden="1">
      <c r="A1379" t="s">
        <v>284</v>
      </c>
      <c r="B1379">
        <v>5</v>
      </c>
      <c r="C1379">
        <v>1</v>
      </c>
      <c r="D1379">
        <v>5.4848660111817988</v>
      </c>
      <c r="E1379">
        <v>7.0946597262386728</v>
      </c>
      <c r="F1379">
        <v>10.266049739733949</v>
      </c>
      <c r="G1379">
        <v>13.061499903605171</v>
      </c>
      <c r="H1379">
        <v>7.6633892423366099</v>
      </c>
      <c r="I1379">
        <v>0</v>
      </c>
      <c r="J1379">
        <v>0</v>
      </c>
      <c r="K1379">
        <v>0</v>
      </c>
      <c r="L1379">
        <v>1</v>
      </c>
      <c r="M1379">
        <v>1</v>
      </c>
      <c r="N1379">
        <v>43</v>
      </c>
      <c r="O1379">
        <v>35000</v>
      </c>
      <c r="P1379">
        <v>1</v>
      </c>
      <c r="Q1379">
        <v>1</v>
      </c>
      <c r="R1379">
        <v>4</v>
      </c>
      <c r="S1379">
        <v>2</v>
      </c>
      <c r="T1379" s="123">
        <f t="shared" si="107"/>
        <v>1</v>
      </c>
      <c r="U1379">
        <f t="shared" si="108"/>
        <v>0</v>
      </c>
      <c r="V1379">
        <f t="shared" si="109"/>
        <v>0</v>
      </c>
      <c r="W1379">
        <f t="shared" si="110"/>
        <v>1</v>
      </c>
      <c r="X1379">
        <f t="shared" si="111"/>
        <v>0</v>
      </c>
    </row>
    <row r="1380" spans="1:24" hidden="1">
      <c r="A1380" t="s">
        <v>284</v>
      </c>
      <c r="B1380">
        <v>6</v>
      </c>
      <c r="C1380">
        <v>1</v>
      </c>
      <c r="D1380">
        <v>12.762675920570651</v>
      </c>
      <c r="E1380">
        <v>15.24966261808367</v>
      </c>
      <c r="F1380">
        <v>7.2585309427414701</v>
      </c>
      <c r="G1380">
        <v>6.940427993059572</v>
      </c>
      <c r="H1380">
        <v>7.3452862926547127</v>
      </c>
      <c r="I1380">
        <v>0</v>
      </c>
      <c r="J1380">
        <v>0</v>
      </c>
      <c r="K1380">
        <v>0</v>
      </c>
      <c r="L1380">
        <v>1</v>
      </c>
      <c r="M1380">
        <v>1</v>
      </c>
      <c r="N1380">
        <v>43</v>
      </c>
      <c r="O1380">
        <v>35000</v>
      </c>
      <c r="P1380">
        <v>1</v>
      </c>
      <c r="Q1380">
        <v>1</v>
      </c>
      <c r="R1380">
        <v>4</v>
      </c>
      <c r="S1380">
        <v>2</v>
      </c>
      <c r="T1380" s="123">
        <f t="shared" si="107"/>
        <v>1</v>
      </c>
      <c r="U1380">
        <f t="shared" si="108"/>
        <v>0</v>
      </c>
      <c r="V1380">
        <f t="shared" si="109"/>
        <v>0</v>
      </c>
      <c r="W1380">
        <f t="shared" si="110"/>
        <v>1</v>
      </c>
      <c r="X1380">
        <f t="shared" si="111"/>
        <v>0</v>
      </c>
    </row>
    <row r="1381" spans="1:24">
      <c r="A1381" t="s">
        <v>284</v>
      </c>
      <c r="B1381">
        <v>7</v>
      </c>
      <c r="C1381">
        <v>1</v>
      </c>
      <c r="D1381">
        <v>50</v>
      </c>
      <c r="E1381">
        <v>66.571239815018714</v>
      </c>
      <c r="F1381">
        <v>8.8636864126844301</v>
      </c>
      <c r="G1381">
        <v>88.218454085003302</v>
      </c>
      <c r="H1381">
        <v>8.6654921823386903</v>
      </c>
      <c r="I1381">
        <v>0</v>
      </c>
      <c r="J1381">
        <v>1</v>
      </c>
      <c r="K1381">
        <v>0</v>
      </c>
      <c r="L1381">
        <v>1</v>
      </c>
      <c r="M1381">
        <v>1</v>
      </c>
      <c r="N1381">
        <v>43</v>
      </c>
      <c r="O1381">
        <v>35000</v>
      </c>
      <c r="P1381">
        <v>1</v>
      </c>
      <c r="Q1381">
        <v>1</v>
      </c>
      <c r="R1381">
        <v>4</v>
      </c>
      <c r="S1381">
        <v>2</v>
      </c>
      <c r="T1381" s="123">
        <f t="shared" si="107"/>
        <v>0</v>
      </c>
      <c r="U1381">
        <f t="shared" si="108"/>
        <v>0</v>
      </c>
      <c r="V1381">
        <f t="shared" si="109"/>
        <v>0</v>
      </c>
      <c r="W1381">
        <f t="shared" si="110"/>
        <v>1</v>
      </c>
      <c r="X1381">
        <f t="shared" si="111"/>
        <v>0</v>
      </c>
    </row>
    <row r="1382" spans="1:24">
      <c r="A1382" t="s">
        <v>285</v>
      </c>
      <c r="B1382">
        <v>1</v>
      </c>
      <c r="C1382">
        <v>1</v>
      </c>
      <c r="D1382">
        <v>100</v>
      </c>
      <c r="E1382">
        <v>100</v>
      </c>
      <c r="F1382">
        <v>0</v>
      </c>
      <c r="G1382">
        <v>0</v>
      </c>
      <c r="H1382">
        <v>0</v>
      </c>
      <c r="I1382">
        <v>1</v>
      </c>
      <c r="J1382">
        <v>0</v>
      </c>
      <c r="K1382">
        <v>1</v>
      </c>
      <c r="L1382">
        <v>1</v>
      </c>
      <c r="M1382">
        <v>1</v>
      </c>
      <c r="N1382">
        <v>40</v>
      </c>
      <c r="O1382">
        <v>120000</v>
      </c>
      <c r="P1382">
        <v>2</v>
      </c>
      <c r="Q1382">
        <v>3</v>
      </c>
      <c r="R1382">
        <v>5</v>
      </c>
      <c r="S1382">
        <v>5</v>
      </c>
      <c r="T1382" s="123">
        <f t="shared" si="107"/>
        <v>0</v>
      </c>
      <c r="U1382">
        <f t="shared" si="108"/>
        <v>0</v>
      </c>
      <c r="V1382">
        <f t="shared" si="109"/>
        <v>0</v>
      </c>
      <c r="W1382">
        <f t="shared" si="110"/>
        <v>1</v>
      </c>
      <c r="X1382">
        <f t="shared" si="111"/>
        <v>1</v>
      </c>
    </row>
    <row r="1383" spans="1:24">
      <c r="A1383" t="s">
        <v>285</v>
      </c>
      <c r="B1383">
        <v>2</v>
      </c>
      <c r="C1383">
        <v>1</v>
      </c>
      <c r="D1383">
        <v>100</v>
      </c>
      <c r="E1383">
        <v>0.35765379113018581</v>
      </c>
      <c r="F1383">
        <v>100</v>
      </c>
      <c r="G1383">
        <v>100</v>
      </c>
      <c r="H1383">
        <v>100</v>
      </c>
      <c r="I1383">
        <v>0</v>
      </c>
      <c r="J1383">
        <v>0</v>
      </c>
      <c r="K1383">
        <v>1</v>
      </c>
      <c r="L1383">
        <v>1</v>
      </c>
      <c r="M1383">
        <v>1</v>
      </c>
      <c r="N1383">
        <v>40</v>
      </c>
      <c r="O1383">
        <v>120000</v>
      </c>
      <c r="P1383">
        <v>2</v>
      </c>
      <c r="Q1383">
        <v>3</v>
      </c>
      <c r="R1383">
        <v>5</v>
      </c>
      <c r="S1383">
        <v>5</v>
      </c>
      <c r="T1383" s="123">
        <f t="shared" si="107"/>
        <v>0</v>
      </c>
      <c r="U1383">
        <f t="shared" si="108"/>
        <v>0</v>
      </c>
      <c r="V1383">
        <f t="shared" si="109"/>
        <v>0</v>
      </c>
      <c r="W1383">
        <f t="shared" si="110"/>
        <v>1</v>
      </c>
      <c r="X1383">
        <f t="shared" si="111"/>
        <v>1</v>
      </c>
    </row>
    <row r="1384" spans="1:24">
      <c r="A1384" t="s">
        <v>285</v>
      </c>
      <c r="B1384">
        <v>3</v>
      </c>
      <c r="C1384">
        <v>1</v>
      </c>
      <c r="D1384">
        <v>100</v>
      </c>
      <c r="E1384">
        <v>100</v>
      </c>
      <c r="F1384">
        <v>100</v>
      </c>
      <c r="G1384">
        <v>50</v>
      </c>
      <c r="H1384">
        <v>100</v>
      </c>
      <c r="I1384">
        <v>0</v>
      </c>
      <c r="J1384">
        <v>0</v>
      </c>
      <c r="K1384">
        <v>1</v>
      </c>
      <c r="L1384">
        <v>1</v>
      </c>
      <c r="M1384">
        <v>1</v>
      </c>
      <c r="N1384">
        <v>40</v>
      </c>
      <c r="O1384">
        <v>120000</v>
      </c>
      <c r="P1384">
        <v>2</v>
      </c>
      <c r="Q1384">
        <v>3</v>
      </c>
      <c r="R1384">
        <v>5</v>
      </c>
      <c r="S1384">
        <v>5</v>
      </c>
      <c r="T1384" s="123">
        <f t="shared" si="107"/>
        <v>0</v>
      </c>
      <c r="U1384">
        <f t="shared" si="108"/>
        <v>0</v>
      </c>
      <c r="V1384">
        <f t="shared" si="109"/>
        <v>0</v>
      </c>
      <c r="W1384">
        <f t="shared" si="110"/>
        <v>1</v>
      </c>
      <c r="X1384">
        <f t="shared" si="111"/>
        <v>1</v>
      </c>
    </row>
    <row r="1385" spans="1:24" hidden="1">
      <c r="A1385" t="s">
        <v>285</v>
      </c>
      <c r="B1385">
        <v>4</v>
      </c>
      <c r="C1385">
        <v>1</v>
      </c>
      <c r="D1385">
        <v>100</v>
      </c>
      <c r="E1385">
        <v>100</v>
      </c>
      <c r="F1385">
        <v>100</v>
      </c>
      <c r="G1385">
        <v>100</v>
      </c>
      <c r="H1385">
        <v>100</v>
      </c>
      <c r="I1385">
        <v>0</v>
      </c>
      <c r="J1385">
        <v>0</v>
      </c>
      <c r="K1385">
        <v>1</v>
      </c>
      <c r="L1385">
        <v>1</v>
      </c>
      <c r="M1385">
        <v>1</v>
      </c>
      <c r="N1385">
        <v>40</v>
      </c>
      <c r="O1385">
        <v>120000</v>
      </c>
      <c r="P1385">
        <v>2</v>
      </c>
      <c r="Q1385">
        <v>3</v>
      </c>
      <c r="R1385">
        <v>5</v>
      </c>
      <c r="S1385">
        <v>5</v>
      </c>
      <c r="T1385" s="123">
        <f t="shared" si="107"/>
        <v>1</v>
      </c>
      <c r="U1385">
        <f t="shared" si="108"/>
        <v>0</v>
      </c>
      <c r="V1385">
        <f t="shared" si="109"/>
        <v>0</v>
      </c>
      <c r="W1385">
        <f t="shared" si="110"/>
        <v>1</v>
      </c>
      <c r="X1385">
        <f t="shared" si="111"/>
        <v>1</v>
      </c>
    </row>
    <row r="1386" spans="1:24">
      <c r="A1386" t="s">
        <v>285</v>
      </c>
      <c r="B1386">
        <v>5</v>
      </c>
      <c r="C1386">
        <v>1</v>
      </c>
      <c r="D1386">
        <v>0</v>
      </c>
      <c r="E1386">
        <v>0</v>
      </c>
      <c r="F1386">
        <v>100</v>
      </c>
      <c r="G1386">
        <v>100</v>
      </c>
      <c r="H1386">
        <v>100</v>
      </c>
      <c r="I1386">
        <v>0</v>
      </c>
      <c r="J1386">
        <v>0</v>
      </c>
      <c r="K1386">
        <v>0</v>
      </c>
      <c r="L1386">
        <v>1</v>
      </c>
      <c r="M1386">
        <v>1</v>
      </c>
      <c r="N1386">
        <v>40</v>
      </c>
      <c r="O1386">
        <v>120000</v>
      </c>
      <c r="P1386">
        <v>2</v>
      </c>
      <c r="Q1386">
        <v>3</v>
      </c>
      <c r="R1386">
        <v>5</v>
      </c>
      <c r="S1386">
        <v>5</v>
      </c>
      <c r="T1386" s="123">
        <f t="shared" si="107"/>
        <v>0</v>
      </c>
      <c r="U1386">
        <f t="shared" si="108"/>
        <v>0</v>
      </c>
      <c r="V1386">
        <f t="shared" si="109"/>
        <v>0</v>
      </c>
      <c r="W1386">
        <f t="shared" si="110"/>
        <v>1</v>
      </c>
      <c r="X1386">
        <f t="shared" si="111"/>
        <v>1</v>
      </c>
    </row>
    <row r="1387" spans="1:24" hidden="1">
      <c r="A1387" t="s">
        <v>285</v>
      </c>
      <c r="B1387">
        <v>6</v>
      </c>
      <c r="C1387">
        <v>1</v>
      </c>
      <c r="D1387">
        <v>100</v>
      </c>
      <c r="E1387">
        <v>100</v>
      </c>
      <c r="F1387">
        <v>100</v>
      </c>
      <c r="G1387">
        <v>100</v>
      </c>
      <c r="H1387">
        <v>100</v>
      </c>
      <c r="I1387">
        <v>0</v>
      </c>
      <c r="J1387">
        <v>0</v>
      </c>
      <c r="K1387">
        <v>1</v>
      </c>
      <c r="L1387">
        <v>1</v>
      </c>
      <c r="M1387">
        <v>1</v>
      </c>
      <c r="N1387">
        <v>40</v>
      </c>
      <c r="O1387">
        <v>120000</v>
      </c>
      <c r="P1387">
        <v>2</v>
      </c>
      <c r="Q1387">
        <v>3</v>
      </c>
      <c r="R1387">
        <v>5</v>
      </c>
      <c r="S1387">
        <v>5</v>
      </c>
      <c r="T1387" s="123">
        <f t="shared" si="107"/>
        <v>1</v>
      </c>
      <c r="U1387">
        <f t="shared" si="108"/>
        <v>0</v>
      </c>
      <c r="V1387">
        <f t="shared" si="109"/>
        <v>0</v>
      </c>
      <c r="W1387">
        <f t="shared" si="110"/>
        <v>1</v>
      </c>
      <c r="X1387">
        <f t="shared" si="111"/>
        <v>1</v>
      </c>
    </row>
    <row r="1388" spans="1:24" hidden="1">
      <c r="A1388" t="s">
        <v>285</v>
      </c>
      <c r="B1388">
        <v>7</v>
      </c>
      <c r="C1388">
        <v>1</v>
      </c>
      <c r="D1388">
        <v>100</v>
      </c>
      <c r="E1388">
        <v>100</v>
      </c>
      <c r="F1388">
        <v>100</v>
      </c>
      <c r="G1388">
        <v>100</v>
      </c>
      <c r="H1388">
        <v>100</v>
      </c>
      <c r="I1388">
        <v>0</v>
      </c>
      <c r="J1388">
        <v>1</v>
      </c>
      <c r="K1388">
        <v>1</v>
      </c>
      <c r="L1388">
        <v>1</v>
      </c>
      <c r="M1388">
        <v>1</v>
      </c>
      <c r="N1388">
        <v>40</v>
      </c>
      <c r="O1388">
        <v>120000</v>
      </c>
      <c r="P1388">
        <v>2</v>
      </c>
      <c r="Q1388">
        <v>3</v>
      </c>
      <c r="R1388">
        <v>5</v>
      </c>
      <c r="S1388">
        <v>5</v>
      </c>
      <c r="T1388" s="123">
        <f t="shared" si="107"/>
        <v>1</v>
      </c>
      <c r="U1388">
        <f t="shared" si="108"/>
        <v>0</v>
      </c>
      <c r="V1388">
        <f t="shared" si="109"/>
        <v>0</v>
      </c>
      <c r="W1388">
        <f t="shared" si="110"/>
        <v>1</v>
      </c>
      <c r="X1388">
        <f t="shared" si="111"/>
        <v>1</v>
      </c>
    </row>
    <row r="1389" spans="1:24">
      <c r="A1389" t="s">
        <v>286</v>
      </c>
      <c r="B1389">
        <v>1</v>
      </c>
      <c r="C1389">
        <v>1</v>
      </c>
      <c r="D1389">
        <v>96.603808128890506</v>
      </c>
      <c r="E1389">
        <v>92.475283778835589</v>
      </c>
      <c r="F1389">
        <v>2.3343097766385941</v>
      </c>
      <c r="G1389">
        <v>6.5269132186012433</v>
      </c>
      <c r="H1389">
        <v>1.876601977297693</v>
      </c>
      <c r="I1389">
        <v>1</v>
      </c>
      <c r="J1389">
        <v>0</v>
      </c>
      <c r="K1389">
        <v>1</v>
      </c>
      <c r="L1389">
        <v>1</v>
      </c>
      <c r="M1389">
        <v>1</v>
      </c>
      <c r="N1389">
        <v>49</v>
      </c>
      <c r="O1389">
        <v>50000</v>
      </c>
      <c r="P1389">
        <v>4</v>
      </c>
      <c r="Q1389">
        <v>4</v>
      </c>
      <c r="R1389">
        <v>5</v>
      </c>
      <c r="S1389">
        <v>5</v>
      </c>
      <c r="T1389" s="123">
        <f t="shared" si="107"/>
        <v>0</v>
      </c>
      <c r="U1389">
        <f t="shared" si="108"/>
        <v>1</v>
      </c>
      <c r="V1389">
        <f t="shared" si="109"/>
        <v>1</v>
      </c>
      <c r="W1389">
        <f t="shared" si="110"/>
        <v>1</v>
      </c>
      <c r="X1389">
        <f t="shared" si="111"/>
        <v>1</v>
      </c>
    </row>
    <row r="1390" spans="1:24">
      <c r="A1390" t="s">
        <v>286</v>
      </c>
      <c r="B1390">
        <v>2</v>
      </c>
      <c r="C1390">
        <v>1</v>
      </c>
      <c r="D1390">
        <v>96.622116440864161</v>
      </c>
      <c r="E1390">
        <v>89.921274258513364</v>
      </c>
      <c r="F1390">
        <v>91.999267667521053</v>
      </c>
      <c r="G1390">
        <v>5.336872940314902</v>
      </c>
      <c r="H1390">
        <v>4.7235444891980949</v>
      </c>
      <c r="I1390">
        <v>0</v>
      </c>
      <c r="J1390">
        <v>0</v>
      </c>
      <c r="K1390">
        <v>1</v>
      </c>
      <c r="L1390">
        <v>1</v>
      </c>
      <c r="M1390">
        <v>1</v>
      </c>
      <c r="N1390">
        <v>49</v>
      </c>
      <c r="O1390">
        <v>50000</v>
      </c>
      <c r="P1390">
        <v>4</v>
      </c>
      <c r="Q1390">
        <v>4</v>
      </c>
      <c r="R1390">
        <v>5</v>
      </c>
      <c r="S1390">
        <v>5</v>
      </c>
      <c r="T1390" s="123">
        <f t="shared" si="107"/>
        <v>0</v>
      </c>
      <c r="U1390">
        <f t="shared" si="108"/>
        <v>1</v>
      </c>
      <c r="V1390">
        <f t="shared" si="109"/>
        <v>1</v>
      </c>
      <c r="W1390">
        <f t="shared" si="110"/>
        <v>1</v>
      </c>
      <c r="X1390">
        <f t="shared" si="111"/>
        <v>1</v>
      </c>
    </row>
    <row r="1391" spans="1:24">
      <c r="A1391" t="s">
        <v>286</v>
      </c>
      <c r="B1391">
        <v>3</v>
      </c>
      <c r="C1391">
        <v>1</v>
      </c>
      <c r="D1391">
        <v>91.429324894514764</v>
      </c>
      <c r="E1391">
        <v>50</v>
      </c>
      <c r="F1391">
        <v>35.838607594936711</v>
      </c>
      <c r="G1391">
        <v>3.190928270042193</v>
      </c>
      <c r="H1391">
        <v>11.761603375527431</v>
      </c>
      <c r="I1391">
        <v>0</v>
      </c>
      <c r="J1391">
        <v>0</v>
      </c>
      <c r="K1391">
        <v>1</v>
      </c>
      <c r="L1391">
        <v>1</v>
      </c>
      <c r="M1391">
        <v>1</v>
      </c>
      <c r="N1391">
        <v>49</v>
      </c>
      <c r="O1391">
        <v>50000</v>
      </c>
      <c r="P1391">
        <v>4</v>
      </c>
      <c r="Q1391">
        <v>4</v>
      </c>
      <c r="R1391">
        <v>5</v>
      </c>
      <c r="S1391">
        <v>5</v>
      </c>
      <c r="T1391" s="123">
        <f t="shared" si="107"/>
        <v>0</v>
      </c>
      <c r="U1391">
        <f t="shared" si="108"/>
        <v>1</v>
      </c>
      <c r="V1391">
        <f t="shared" si="109"/>
        <v>1</v>
      </c>
      <c r="W1391">
        <f t="shared" si="110"/>
        <v>1</v>
      </c>
      <c r="X1391">
        <f t="shared" si="111"/>
        <v>1</v>
      </c>
    </row>
    <row r="1392" spans="1:24">
      <c r="A1392" t="s">
        <v>286</v>
      </c>
      <c r="B1392">
        <v>4</v>
      </c>
      <c r="C1392">
        <v>1</v>
      </c>
      <c r="D1392">
        <v>8.0828059071729967</v>
      </c>
      <c r="E1392">
        <v>72.494725738396625</v>
      </c>
      <c r="F1392">
        <v>2.8085443037974671</v>
      </c>
      <c r="G1392">
        <v>5.0105485232067482</v>
      </c>
      <c r="H1392">
        <v>5.6830168776371313</v>
      </c>
      <c r="I1392">
        <v>0</v>
      </c>
      <c r="J1392">
        <v>0</v>
      </c>
      <c r="K1392">
        <v>0</v>
      </c>
      <c r="L1392">
        <v>1</v>
      </c>
      <c r="M1392">
        <v>1</v>
      </c>
      <c r="N1392">
        <v>49</v>
      </c>
      <c r="O1392">
        <v>50000</v>
      </c>
      <c r="P1392">
        <v>4</v>
      </c>
      <c r="Q1392">
        <v>4</v>
      </c>
      <c r="R1392">
        <v>5</v>
      </c>
      <c r="S1392">
        <v>5</v>
      </c>
      <c r="T1392" s="123">
        <f t="shared" si="107"/>
        <v>0</v>
      </c>
      <c r="U1392">
        <f t="shared" si="108"/>
        <v>1</v>
      </c>
      <c r="V1392">
        <f t="shared" si="109"/>
        <v>1</v>
      </c>
      <c r="W1392">
        <f t="shared" si="110"/>
        <v>1</v>
      </c>
      <c r="X1392">
        <f t="shared" si="111"/>
        <v>1</v>
      </c>
    </row>
    <row r="1393" spans="1:24">
      <c r="A1393" t="s">
        <v>286</v>
      </c>
      <c r="B1393">
        <v>5</v>
      </c>
      <c r="C1393">
        <v>1</v>
      </c>
      <c r="D1393">
        <v>97.006856540084385</v>
      </c>
      <c r="E1393">
        <v>96.031118143459921</v>
      </c>
      <c r="F1393">
        <v>3.085443037974684</v>
      </c>
      <c r="G1393">
        <v>13.27795358649789</v>
      </c>
      <c r="H1393">
        <v>0</v>
      </c>
      <c r="I1393">
        <v>0</v>
      </c>
      <c r="J1393">
        <v>0</v>
      </c>
      <c r="K1393">
        <v>1</v>
      </c>
      <c r="L1393">
        <v>1</v>
      </c>
      <c r="M1393">
        <v>1</v>
      </c>
      <c r="N1393">
        <v>49</v>
      </c>
      <c r="O1393">
        <v>50000</v>
      </c>
      <c r="P1393">
        <v>4</v>
      </c>
      <c r="Q1393">
        <v>4</v>
      </c>
      <c r="R1393">
        <v>5</v>
      </c>
      <c r="S1393">
        <v>5</v>
      </c>
      <c r="T1393" s="123">
        <f t="shared" si="107"/>
        <v>0</v>
      </c>
      <c r="U1393">
        <f t="shared" si="108"/>
        <v>1</v>
      </c>
      <c r="V1393">
        <f t="shared" si="109"/>
        <v>1</v>
      </c>
      <c r="W1393">
        <f t="shared" si="110"/>
        <v>1</v>
      </c>
      <c r="X1393">
        <f t="shared" si="111"/>
        <v>1</v>
      </c>
    </row>
    <row r="1394" spans="1:24">
      <c r="A1394" t="s">
        <v>286</v>
      </c>
      <c r="B1394">
        <v>6</v>
      </c>
      <c r="C1394">
        <v>1</v>
      </c>
      <c r="D1394">
        <v>20.582805907173</v>
      </c>
      <c r="E1394">
        <v>92.286392405063282</v>
      </c>
      <c r="F1394">
        <v>12.27584388185654</v>
      </c>
      <c r="G1394">
        <v>7.4103375527426181</v>
      </c>
      <c r="H1394">
        <v>24.498945147679329</v>
      </c>
      <c r="I1394">
        <v>0</v>
      </c>
      <c r="J1394">
        <v>0</v>
      </c>
      <c r="K1394">
        <v>0</v>
      </c>
      <c r="L1394">
        <v>1</v>
      </c>
      <c r="M1394">
        <v>1</v>
      </c>
      <c r="N1394">
        <v>49</v>
      </c>
      <c r="O1394">
        <v>50000</v>
      </c>
      <c r="P1394">
        <v>4</v>
      </c>
      <c r="Q1394">
        <v>4</v>
      </c>
      <c r="R1394">
        <v>5</v>
      </c>
      <c r="S1394">
        <v>5</v>
      </c>
      <c r="T1394" s="123">
        <f t="shared" si="107"/>
        <v>0</v>
      </c>
      <c r="U1394">
        <f t="shared" si="108"/>
        <v>1</v>
      </c>
      <c r="V1394">
        <f t="shared" si="109"/>
        <v>1</v>
      </c>
      <c r="W1394">
        <f t="shared" si="110"/>
        <v>1</v>
      </c>
      <c r="X1394">
        <f t="shared" si="111"/>
        <v>1</v>
      </c>
    </row>
    <row r="1395" spans="1:24">
      <c r="A1395" t="s">
        <v>286</v>
      </c>
      <c r="B1395">
        <v>7</v>
      </c>
      <c r="C1395">
        <v>1</v>
      </c>
      <c r="D1395">
        <v>4.3512658227848107</v>
      </c>
      <c r="E1395">
        <v>7.1993670886075947</v>
      </c>
      <c r="F1395">
        <v>6.1181434599156148</v>
      </c>
      <c r="G1395">
        <v>93.39398734177216</v>
      </c>
      <c r="H1395">
        <v>4.3512658227848107</v>
      </c>
      <c r="I1395">
        <v>0</v>
      </c>
      <c r="J1395">
        <v>1</v>
      </c>
      <c r="K1395">
        <v>0</v>
      </c>
      <c r="L1395">
        <v>1</v>
      </c>
      <c r="M1395">
        <v>1</v>
      </c>
      <c r="N1395">
        <v>49</v>
      </c>
      <c r="O1395">
        <v>50000</v>
      </c>
      <c r="P1395">
        <v>4</v>
      </c>
      <c r="Q1395">
        <v>4</v>
      </c>
      <c r="R1395">
        <v>5</v>
      </c>
      <c r="S1395">
        <v>5</v>
      </c>
      <c r="T1395" s="123">
        <f t="shared" si="107"/>
        <v>0</v>
      </c>
      <c r="U1395">
        <f t="shared" si="108"/>
        <v>1</v>
      </c>
      <c r="V1395">
        <f t="shared" si="109"/>
        <v>1</v>
      </c>
      <c r="W1395">
        <f t="shared" si="110"/>
        <v>1</v>
      </c>
      <c r="X1395">
        <f t="shared" si="111"/>
        <v>1</v>
      </c>
    </row>
    <row r="1396" spans="1:24" hidden="1"/>
    <row r="1397" spans="1:24" hidden="1"/>
    <row r="1398" spans="1:24" hidden="1"/>
    <row r="1399" spans="1:24" hidden="1"/>
    <row r="1400" spans="1:24" hidden="1"/>
    <row r="1401" spans="1:24" hidden="1"/>
    <row r="1402" spans="1:24" hidden="1"/>
    <row r="1403" spans="1:24" hidden="1"/>
    <row r="1404" spans="1:24" hidden="1"/>
    <row r="1405" spans="1:24" hidden="1"/>
    <row r="1406" spans="1:24" hidden="1"/>
    <row r="1407" spans="1:24" hidden="1"/>
    <row r="1408" spans="1:24"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hidden="1"/>
    <row r="2002" hidden="1"/>
    <row r="2003" hidden="1"/>
    <row r="2004" hidden="1"/>
    <row r="2005" hidden="1"/>
    <row r="2006" hidden="1"/>
    <row r="2007" hidden="1"/>
    <row r="2008" hidden="1"/>
    <row r="2009" hidden="1"/>
    <row r="2010" hidden="1"/>
    <row r="2011" hidden="1"/>
    <row r="2012" hidden="1"/>
    <row r="2013" hidden="1"/>
    <row r="2014" hidden="1"/>
    <row r="2015" hidden="1"/>
    <row r="2016" hidden="1"/>
    <row r="2017" hidden="1"/>
    <row r="2018" hidden="1"/>
    <row r="2019" hidden="1"/>
    <row r="2020" hidden="1"/>
    <row r="2021" hidden="1"/>
    <row r="2022" hidden="1"/>
    <row r="2023" hidden="1"/>
    <row r="2024" hidden="1"/>
    <row r="2025" hidden="1"/>
    <row r="2026" hidden="1"/>
    <row r="2027" hidden="1"/>
    <row r="2028" hidden="1"/>
    <row r="2029" hidden="1"/>
    <row r="2030" hidden="1"/>
    <row r="2031" hidden="1"/>
    <row r="2032" hidden="1"/>
    <row r="2033" hidden="1"/>
    <row r="2034" hidden="1"/>
    <row r="2035" hidden="1"/>
    <row r="2036" hidden="1"/>
    <row r="2037" hidden="1"/>
    <row r="2038" hidden="1"/>
    <row r="2039" hidden="1"/>
    <row r="2040" hidden="1"/>
    <row r="2041" hidden="1"/>
    <row r="2042" hidden="1"/>
    <row r="2043" hidden="1"/>
    <row r="2044" hidden="1"/>
    <row r="2045" hidden="1"/>
    <row r="2046" hidden="1"/>
    <row r="2047" hidden="1"/>
    <row r="2048" hidden="1"/>
    <row r="2049" hidden="1"/>
    <row r="2050" hidden="1"/>
    <row r="2051" hidden="1"/>
    <row r="2052" hidden="1"/>
    <row r="2053" hidden="1"/>
    <row r="2054" hidden="1"/>
    <row r="2055" hidden="1"/>
    <row r="2056" hidden="1"/>
    <row r="2057" hidden="1"/>
    <row r="2058" hidden="1"/>
    <row r="2059" hidden="1"/>
    <row r="2060" hidden="1"/>
    <row r="2061" hidden="1"/>
    <row r="2062" hidden="1"/>
    <row r="2063" hidden="1"/>
    <row r="2064" hidden="1"/>
    <row r="2065" hidden="1"/>
    <row r="2066" hidden="1"/>
    <row r="2067" hidden="1"/>
    <row r="2068" hidden="1"/>
    <row r="2069" hidden="1"/>
    <row r="2070" hidden="1"/>
    <row r="2071" hidden="1"/>
    <row r="2072" hidden="1"/>
    <row r="2073" hidden="1"/>
    <row r="2074" hidden="1"/>
    <row r="2075" hidden="1"/>
    <row r="2076" hidden="1"/>
    <row r="2077" hidden="1"/>
    <row r="2078" hidden="1"/>
    <row r="2079" hidden="1"/>
    <row r="2080" hidden="1"/>
    <row r="2081" hidden="1"/>
    <row r="2082" hidden="1"/>
    <row r="2083" hidden="1"/>
    <row r="2084" hidden="1"/>
    <row r="2085" hidden="1"/>
    <row r="2086" hidden="1"/>
    <row r="2087" hidden="1"/>
    <row r="2088" hidden="1"/>
    <row r="2089" hidden="1"/>
    <row r="2090" hidden="1"/>
    <row r="2091" hidden="1"/>
    <row r="2092" hidden="1"/>
    <row r="2093" hidden="1"/>
    <row r="2094" hidden="1"/>
    <row r="2095" hidden="1"/>
    <row r="2096" hidden="1"/>
    <row r="2097" hidden="1"/>
    <row r="2098" hidden="1"/>
    <row r="2099" hidden="1"/>
    <row r="2100" hidden="1"/>
    <row r="2101" hidden="1"/>
    <row r="2102" hidden="1"/>
    <row r="2103" hidden="1"/>
    <row r="2104" hidden="1"/>
    <row r="2105" hidden="1"/>
    <row r="2106" hidden="1"/>
    <row r="2107" hidden="1"/>
    <row r="2108" hidden="1"/>
    <row r="2109" hidden="1"/>
    <row r="2110" hidden="1"/>
    <row r="2111" hidden="1"/>
    <row r="2112" hidden="1"/>
    <row r="2113" hidden="1"/>
    <row r="2114" hidden="1"/>
    <row r="2115" hidden="1"/>
    <row r="2116" hidden="1"/>
    <row r="2117" hidden="1"/>
    <row r="2118" hidden="1"/>
    <row r="2119" hidden="1"/>
    <row r="2120" hidden="1"/>
    <row r="2121" hidden="1"/>
    <row r="2122" hidden="1"/>
    <row r="2123" hidden="1"/>
    <row r="2124" hidden="1"/>
    <row r="2125" hidden="1"/>
    <row r="2126" hidden="1"/>
    <row r="2127" hidden="1"/>
    <row r="2128" hidden="1"/>
    <row r="2129" hidden="1"/>
    <row r="2130" hidden="1"/>
    <row r="2131" hidden="1"/>
    <row r="2132" hidden="1"/>
    <row r="2133" hidden="1"/>
    <row r="2134" hidden="1"/>
    <row r="2135" hidden="1"/>
    <row r="2136" hidden="1"/>
    <row r="2137" hidden="1"/>
    <row r="2138" hidden="1"/>
    <row r="2139" hidden="1"/>
    <row r="2140" hidden="1"/>
    <row r="2141" hidden="1"/>
    <row r="2142" hidden="1"/>
    <row r="2143" hidden="1"/>
    <row r="2144" hidden="1"/>
    <row r="2145" hidden="1"/>
    <row r="2146" hidden="1"/>
    <row r="2147" hidden="1"/>
    <row r="2148" hidden="1"/>
    <row r="2149" hidden="1"/>
    <row r="2150" hidden="1"/>
    <row r="2151" hidden="1"/>
    <row r="2152" hidden="1"/>
    <row r="2153" hidden="1"/>
    <row r="2154" hidden="1"/>
    <row r="2155" hidden="1"/>
    <row r="2156" hidden="1"/>
    <row r="2157" hidden="1"/>
    <row r="2158" hidden="1"/>
    <row r="2159" hidden="1"/>
    <row r="2160" hidden="1"/>
    <row r="2161" hidden="1"/>
    <row r="2162" hidden="1"/>
    <row r="2163" hidden="1"/>
    <row r="2164" hidden="1"/>
    <row r="2165" hidden="1"/>
    <row r="6620" spans="24:24">
      <c r="X6620" s="116"/>
    </row>
  </sheetData>
  <autoFilter ref="A2:T2165" xr:uid="{00000000-0009-0000-0000-000004000000}">
    <filterColumn colId="19">
      <filters>
        <filter val="0"/>
      </filters>
    </filterColumn>
  </autoFilter>
  <conditionalFormatting sqref="B2">
    <cfRule type="duplicateValues" dxfId="0" priority="1"/>
  </conditionalFormatting>
  <conditionalFormatting sqref="B3:B1157">
    <cfRule type="dataBar" priority="2">
      <dataBar>
        <cfvo type="min"/>
        <cfvo type="max"/>
        <color rgb="FF638EC6"/>
      </dataBar>
      <extLst>
        <ext xmlns:x14="http://schemas.microsoft.com/office/spreadsheetml/2009/9/main" uri="{B025F937-C7B1-47D3-B67F-A62EFF666E3E}">
          <x14:id>{108FA1AC-B8E7-43E0-B73D-8525A721DB7A}</x14:id>
        </ext>
      </extLst>
    </cfRule>
  </conditionalFormatting>
  <conditionalFormatting sqref="D3:H1157">
    <cfRule type="dataBar" priority="3">
      <dataBar>
        <cfvo type="min"/>
        <cfvo type="max"/>
        <color rgb="FF638EC6"/>
      </dataBar>
      <extLst>
        <ext xmlns:x14="http://schemas.microsoft.com/office/spreadsheetml/2009/9/main" uri="{B025F937-C7B1-47D3-B67F-A62EFF666E3E}">
          <x14:id>{10AEFC85-77B7-441D-B6B0-60B5C10A3F82}</x14:id>
        </ext>
      </extLst>
    </cfRule>
  </conditionalFormatting>
  <pageMargins left="0.78740157499999996" right="0.78740157499999996" top="0.984251969" bottom="0.984251969" header="0.4921259845" footer="0.4921259845"/>
  <headerFooter alignWithMargins="0"/>
  <extLst>
    <ext xmlns:x14="http://schemas.microsoft.com/office/spreadsheetml/2009/9/main" uri="{78C0D931-6437-407d-A8EE-F0AAD7539E65}">
      <x14:conditionalFormattings>
        <x14:conditionalFormatting xmlns:xm="http://schemas.microsoft.com/office/excel/2006/main">
          <x14:cfRule type="dataBar" id="{108FA1AC-B8E7-43E0-B73D-8525A721DB7A}">
            <x14:dataBar minLength="0" maxLength="100" gradient="0">
              <x14:cfvo type="autoMin"/>
              <x14:cfvo type="autoMax"/>
              <x14:negativeFillColor rgb="FFFF0000"/>
              <x14:axisColor rgb="FF000000"/>
            </x14:dataBar>
          </x14:cfRule>
          <xm:sqref>B3:B1157</xm:sqref>
        </x14:conditionalFormatting>
        <x14:conditionalFormatting xmlns:xm="http://schemas.microsoft.com/office/excel/2006/main">
          <x14:cfRule type="dataBar" id="{10AEFC85-77B7-441D-B6B0-60B5C10A3F82}">
            <x14:dataBar minLength="0" maxLength="100" gradient="0">
              <x14:cfvo type="autoMin"/>
              <x14:cfvo type="autoMax"/>
              <x14:negativeFillColor rgb="FFFF0000"/>
              <x14:axisColor rgb="FF000000"/>
            </x14:dataBar>
          </x14:cfRule>
          <xm:sqref>D3:H1157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13"/>
  <sheetViews>
    <sheetView workbookViewId="0">
      <selection activeCell="M15" sqref="M15"/>
    </sheetView>
  </sheetViews>
  <sheetFormatPr defaultColWidth="11.5703125" defaultRowHeight="13.15"/>
  <cols>
    <col min="1" max="1" width="23" customWidth="1"/>
    <col min="2" max="2" width="11.140625" style="130"/>
  </cols>
  <sheetData>
    <row r="2" spans="1:14">
      <c r="A2" t="s">
        <v>16</v>
      </c>
      <c r="B2" s="130">
        <v>0.47738693467336685</v>
      </c>
    </row>
    <row r="3" spans="1:14">
      <c r="A3" t="s">
        <v>17</v>
      </c>
      <c r="B3" s="125">
        <v>39</v>
      </c>
    </row>
    <row r="10" spans="1:14" ht="28.9">
      <c r="A10" s="83" t="s">
        <v>19</v>
      </c>
      <c r="B10" s="130">
        <v>0.37573385518591002</v>
      </c>
      <c r="K10">
        <v>0.37573385518591002</v>
      </c>
      <c r="L10">
        <v>0.37084148727984345</v>
      </c>
      <c r="M10">
        <v>0.55381604696673192</v>
      </c>
      <c r="N10">
        <v>0.5880626223091977</v>
      </c>
    </row>
    <row r="11" spans="1:14" ht="28.9">
      <c r="A11" s="83" t="s">
        <v>20</v>
      </c>
      <c r="B11" s="130">
        <v>0.37084148727984345</v>
      </c>
    </row>
    <row r="12" spans="1:14" ht="43.15">
      <c r="A12" s="83" t="s">
        <v>21</v>
      </c>
      <c r="B12" s="130">
        <v>0.55381604696673192</v>
      </c>
    </row>
    <row r="13" spans="1:14" ht="57.6">
      <c r="A13" s="83" t="s">
        <v>22</v>
      </c>
      <c r="B13" s="130">
        <v>0.5880626223091977</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E33"/>
  <sheetViews>
    <sheetView workbookViewId="0">
      <selection activeCell="B19" sqref="B19"/>
    </sheetView>
  </sheetViews>
  <sheetFormatPr defaultColWidth="9" defaultRowHeight="13.15"/>
  <cols>
    <col min="1" max="1" width="21.28515625" customWidth="1"/>
    <col min="2" max="2" width="9.85546875" customWidth="1"/>
    <col min="4" max="4" width="82.28515625" bestFit="1" customWidth="1"/>
  </cols>
  <sheetData>
    <row r="1" spans="1:5">
      <c r="B1" s="116" t="s">
        <v>291</v>
      </c>
      <c r="D1" s="117" t="s">
        <v>292</v>
      </c>
    </row>
    <row r="2" spans="1:5">
      <c r="A2" s="89" t="s">
        <v>4</v>
      </c>
      <c r="B2">
        <v>0</v>
      </c>
      <c r="D2" s="116" t="s">
        <v>293</v>
      </c>
    </row>
    <row r="3" spans="1:5">
      <c r="A3" s="89" t="s">
        <v>5</v>
      </c>
      <c r="B3">
        <v>1</v>
      </c>
      <c r="D3" s="118" t="s">
        <v>294</v>
      </c>
    </row>
    <row r="4" spans="1:5">
      <c r="A4" s="89" t="s">
        <v>6</v>
      </c>
      <c r="B4">
        <v>2</v>
      </c>
      <c r="D4" s="118" t="s">
        <v>295</v>
      </c>
    </row>
    <row r="5" spans="1:5">
      <c r="A5" s="89" t="s">
        <v>7</v>
      </c>
      <c r="B5">
        <v>3</v>
      </c>
      <c r="D5" s="118" t="s">
        <v>296</v>
      </c>
    </row>
    <row r="6" spans="1:5">
      <c r="A6" s="89" t="s">
        <v>8</v>
      </c>
      <c r="B6">
        <v>8</v>
      </c>
      <c r="D6" s="116" t="s">
        <v>297</v>
      </c>
      <c r="E6" s="116" t="s">
        <v>298</v>
      </c>
    </row>
    <row r="7" spans="1:5">
      <c r="A7" s="89" t="s">
        <v>9</v>
      </c>
      <c r="B7">
        <v>8</v>
      </c>
      <c r="D7" s="116" t="s">
        <v>299</v>
      </c>
      <c r="E7" s="116" t="s">
        <v>298</v>
      </c>
    </row>
    <row r="8" spans="1:5">
      <c r="A8" s="89" t="s">
        <v>10</v>
      </c>
      <c r="B8">
        <v>8</v>
      </c>
      <c r="D8" s="116" t="s">
        <v>300</v>
      </c>
      <c r="E8" s="116" t="s">
        <v>298</v>
      </c>
    </row>
    <row r="9" spans="1:5">
      <c r="A9" s="89" t="s">
        <v>11</v>
      </c>
      <c r="B9">
        <v>8</v>
      </c>
      <c r="D9" s="116" t="s">
        <v>301</v>
      </c>
      <c r="E9" s="116" t="s">
        <v>298</v>
      </c>
    </row>
    <row r="10" spans="1:5">
      <c r="A10" s="89" t="s">
        <v>12</v>
      </c>
      <c r="B10">
        <v>0</v>
      </c>
      <c r="D10" s="116" t="s">
        <v>302</v>
      </c>
      <c r="E10" s="116"/>
    </row>
    <row r="11" spans="1:5">
      <c r="A11" s="89" t="s">
        <v>13</v>
      </c>
      <c r="B11">
        <v>0</v>
      </c>
      <c r="D11" s="116" t="s">
        <v>303</v>
      </c>
      <c r="E11" s="116" t="s">
        <v>304</v>
      </c>
    </row>
    <row r="12" spans="1:5">
      <c r="A12" s="89" t="s">
        <v>14</v>
      </c>
      <c r="B12">
        <v>0</v>
      </c>
      <c r="D12" s="116" t="s">
        <v>305</v>
      </c>
      <c r="E12" s="116" t="s">
        <v>304</v>
      </c>
    </row>
    <row r="13" spans="1:5">
      <c r="A13" s="89" t="s">
        <v>15</v>
      </c>
      <c r="B13">
        <v>7</v>
      </c>
      <c r="D13" s="116" t="s">
        <v>306</v>
      </c>
      <c r="E13" s="116" t="s">
        <v>304</v>
      </c>
    </row>
    <row r="14" spans="1:5">
      <c r="A14" s="89" t="s">
        <v>16</v>
      </c>
      <c r="B14">
        <v>4</v>
      </c>
      <c r="D14" s="116" t="s">
        <v>307</v>
      </c>
      <c r="E14" s="116" t="s">
        <v>304</v>
      </c>
    </row>
    <row r="15" spans="1:5">
      <c r="A15" s="89" t="s">
        <v>17</v>
      </c>
      <c r="B15">
        <v>5</v>
      </c>
      <c r="D15" s="116" t="s">
        <v>308</v>
      </c>
      <c r="E15" s="116" t="s">
        <v>304</v>
      </c>
    </row>
    <row r="16" spans="1:5">
      <c r="A16" s="89" t="s">
        <v>18</v>
      </c>
      <c r="B16">
        <v>5</v>
      </c>
    </row>
    <row r="17" spans="1:2" ht="39.6">
      <c r="A17" s="89" t="s">
        <v>19</v>
      </c>
      <c r="B17">
        <v>5</v>
      </c>
    </row>
    <row r="18" spans="1:2" ht="26.45">
      <c r="A18" s="89" t="s">
        <v>20</v>
      </c>
      <c r="B18">
        <v>5</v>
      </c>
    </row>
    <row r="19" spans="1:2" ht="39.6">
      <c r="A19" s="89" t="s">
        <v>21</v>
      </c>
      <c r="B19">
        <v>5</v>
      </c>
    </row>
    <row r="20" spans="1:2" ht="52.9">
      <c r="A20" s="89" t="s">
        <v>22</v>
      </c>
      <c r="B20">
        <v>5</v>
      </c>
    </row>
    <row r="21" spans="1:2">
      <c r="A21">
        <f>[3]Project!A21</f>
        <v>0</v>
      </c>
      <c r="B21">
        <v>0</v>
      </c>
    </row>
    <row r="22" spans="1:2">
      <c r="A22">
        <f>[3]Project!A22</f>
        <v>0</v>
      </c>
      <c r="B22">
        <v>0</v>
      </c>
    </row>
    <row r="23" spans="1:2">
      <c r="A23">
        <f>[3]Project!A23</f>
        <v>0</v>
      </c>
      <c r="B23">
        <v>0</v>
      </c>
    </row>
    <row r="24" spans="1:2">
      <c r="A24">
        <f>[3]Project!A24</f>
        <v>0</v>
      </c>
      <c r="B24">
        <v>0</v>
      </c>
    </row>
    <row r="25" spans="1:2">
      <c r="A25">
        <f>[3]Project!A25</f>
        <v>0</v>
      </c>
      <c r="B25">
        <v>0</v>
      </c>
    </row>
    <row r="26" spans="1:2">
      <c r="A26">
        <f>[3]Project!A26</f>
        <v>0</v>
      </c>
      <c r="B26">
        <v>0</v>
      </c>
    </row>
    <row r="27" spans="1:2">
      <c r="A27">
        <f>[3]Project!A27</f>
        <v>0</v>
      </c>
      <c r="B27">
        <v>0</v>
      </c>
    </row>
    <row r="28" spans="1:2">
      <c r="A28">
        <f>[3]Project!A28</f>
        <v>0</v>
      </c>
      <c r="B28">
        <v>0</v>
      </c>
    </row>
    <row r="29" spans="1:2">
      <c r="A29">
        <f>[3]Project!A29</f>
        <v>0</v>
      </c>
      <c r="B29">
        <v>0</v>
      </c>
    </row>
    <row r="30" spans="1:2">
      <c r="A30">
        <f>[3]Project!A30</f>
        <v>0</v>
      </c>
      <c r="B30">
        <v>0</v>
      </c>
    </row>
    <row r="31" spans="1:2">
      <c r="A31">
        <f>[3]Project!A31</f>
        <v>0</v>
      </c>
      <c r="B31">
        <v>0</v>
      </c>
    </row>
    <row r="32" spans="1:2">
      <c r="A32">
        <f>[3]Project!A32</f>
        <v>0</v>
      </c>
      <c r="B32">
        <v>0</v>
      </c>
    </row>
    <row r="33" spans="1:2">
      <c r="A33">
        <f>[3]Project!A33</f>
        <v>0</v>
      </c>
      <c r="B33">
        <v>0</v>
      </c>
    </row>
  </sheetData>
  <conditionalFormatting sqref="B1:B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14"/>
  <sheetViews>
    <sheetView workbookViewId="0">
      <selection activeCell="B13" sqref="B13"/>
    </sheetView>
  </sheetViews>
  <sheetFormatPr defaultColWidth="9" defaultRowHeight="13.15"/>
  <cols>
    <col min="2" max="2" width="35.140625" customWidth="1"/>
  </cols>
  <sheetData>
    <row r="2" spans="1:2">
      <c r="A2">
        <v>1</v>
      </c>
      <c r="B2" s="116" t="s">
        <v>309</v>
      </c>
    </row>
    <row r="3" spans="1:2">
      <c r="A3">
        <v>2</v>
      </c>
      <c r="B3" s="116" t="s">
        <v>310</v>
      </c>
    </row>
    <row r="4" spans="1:2">
      <c r="A4">
        <v>3</v>
      </c>
      <c r="B4" s="116" t="s">
        <v>311</v>
      </c>
    </row>
    <row r="5" spans="1:2">
      <c r="A5">
        <v>4</v>
      </c>
      <c r="B5" s="116" t="s">
        <v>312</v>
      </c>
    </row>
    <row r="6" spans="1:2">
      <c r="A6">
        <v>5</v>
      </c>
      <c r="B6" s="116" t="s">
        <v>313</v>
      </c>
    </row>
    <row r="7" spans="1:2">
      <c r="A7">
        <v>6</v>
      </c>
      <c r="B7" s="116" t="s">
        <v>314</v>
      </c>
    </row>
    <row r="8" spans="1:2">
      <c r="A8">
        <v>7</v>
      </c>
      <c r="B8" s="116" t="s">
        <v>315</v>
      </c>
    </row>
    <row r="9" spans="1:2">
      <c r="A9">
        <v>9</v>
      </c>
      <c r="B9" s="116" t="s">
        <v>316</v>
      </c>
    </row>
    <row r="10" spans="1:2">
      <c r="A10">
        <v>11</v>
      </c>
      <c r="B10" s="116" t="s">
        <v>317</v>
      </c>
    </row>
    <row r="11" spans="1:2">
      <c r="A11">
        <v>12</v>
      </c>
      <c r="B11" s="116" t="s">
        <v>318</v>
      </c>
    </row>
    <row r="12" spans="1:2">
      <c r="A12">
        <v>13</v>
      </c>
      <c r="B12" s="116" t="s">
        <v>319</v>
      </c>
    </row>
    <row r="13" spans="1:2">
      <c r="B13" s="116"/>
    </row>
    <row r="14" spans="1:2">
      <c r="B14" s="1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4"/>
  <sheetViews>
    <sheetView workbookViewId="0">
      <selection activeCell="A10" sqref="A10"/>
    </sheetView>
  </sheetViews>
  <sheetFormatPr defaultColWidth="9.28515625" defaultRowHeight="13.15"/>
  <sheetData>
    <row r="1" spans="1:4">
      <c r="A1" t="s">
        <v>320</v>
      </c>
      <c r="B1" s="124">
        <v>45862.631423611114</v>
      </c>
    </row>
    <row r="2" spans="1:4">
      <c r="A2" t="s">
        <v>321</v>
      </c>
      <c r="B2">
        <v>0</v>
      </c>
      <c r="C2">
        <v>0</v>
      </c>
      <c r="D2">
        <v>0</v>
      </c>
    </row>
    <row r="3" spans="1:4">
      <c r="A3" t="s">
        <v>322</v>
      </c>
      <c r="B3">
        <v>1022</v>
      </c>
    </row>
    <row r="5" spans="1:4">
      <c r="A5" t="s">
        <v>323</v>
      </c>
    </row>
    <row r="6" spans="1:4">
      <c r="A6" t="s">
        <v>324</v>
      </c>
      <c r="B6">
        <v>1</v>
      </c>
    </row>
    <row r="7" spans="1:4">
      <c r="A7" t="s">
        <v>325</v>
      </c>
      <c r="B7">
        <v>3.3246227556169319</v>
      </c>
    </row>
    <row r="10" spans="1:4">
      <c r="A10" t="s">
        <v>326</v>
      </c>
      <c r="B10" t="s">
        <v>7</v>
      </c>
    </row>
    <row r="11" spans="1:4">
      <c r="A11" t="s">
        <v>327</v>
      </c>
      <c r="B11">
        <v>0.58174297195610114</v>
      </c>
    </row>
    <row r="12" spans="1:4">
      <c r="A12" t="s">
        <v>328</v>
      </c>
      <c r="B12">
        <v>0.46268934401176598</v>
      </c>
    </row>
    <row r="13" spans="1:4">
      <c r="A13" t="s">
        <v>329</v>
      </c>
    </row>
    <row r="20" spans="1:2">
      <c r="A20" t="s">
        <v>330</v>
      </c>
    </row>
    <row r="21" spans="1:2">
      <c r="B21" t="s">
        <v>7</v>
      </c>
    </row>
    <row r="22" spans="1:2">
      <c r="A22" t="s">
        <v>331</v>
      </c>
      <c r="B22">
        <v>0.25730790969179451</v>
      </c>
    </row>
    <row r="23" spans="1:2">
      <c r="A23" t="s">
        <v>332</v>
      </c>
      <c r="B23">
        <v>0</v>
      </c>
    </row>
    <row r="24" spans="1:2">
      <c r="A24" t="s">
        <v>333</v>
      </c>
      <c r="B24">
        <v>0.25730790969179451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3"/>
  <sheetViews>
    <sheetView workbookViewId="0">
      <selection activeCell="B1" sqref="B1"/>
    </sheetView>
  </sheetViews>
  <sheetFormatPr defaultColWidth="9.28515625" defaultRowHeight="13.15"/>
  <sheetData>
    <row r="1" spans="1:2">
      <c r="B1" t="s">
        <v>334</v>
      </c>
    </row>
    <row r="2" spans="1:2">
      <c r="A2" t="s">
        <v>4</v>
      </c>
      <c r="B2">
        <v>1</v>
      </c>
    </row>
    <row r="3" spans="1:2">
      <c r="A3" t="s">
        <v>5</v>
      </c>
      <c r="B3">
        <v>1</v>
      </c>
    </row>
    <row r="4" spans="1:2">
      <c r="A4" t="s">
        <v>6</v>
      </c>
      <c r="B4">
        <v>1</v>
      </c>
    </row>
    <row r="5" spans="1:2">
      <c r="A5" t="s">
        <v>7</v>
      </c>
      <c r="B5">
        <v>1</v>
      </c>
    </row>
    <row r="6" spans="1:2">
      <c r="A6" t="s">
        <v>8</v>
      </c>
      <c r="B6">
        <v>1</v>
      </c>
    </row>
    <row r="7" spans="1:2">
      <c r="A7" t="s">
        <v>9</v>
      </c>
      <c r="B7">
        <v>1</v>
      </c>
    </row>
    <row r="8" spans="1:2">
      <c r="A8" t="s">
        <v>10</v>
      </c>
      <c r="B8">
        <v>1</v>
      </c>
    </row>
    <row r="9" spans="1:2">
      <c r="A9" t="s">
        <v>11</v>
      </c>
      <c r="B9">
        <v>1</v>
      </c>
    </row>
    <row r="10" spans="1:2">
      <c r="A10" t="s">
        <v>12</v>
      </c>
      <c r="B10">
        <v>1</v>
      </c>
    </row>
    <row r="11" spans="1:2">
      <c r="A11" t="s">
        <v>13</v>
      </c>
      <c r="B11">
        <v>1</v>
      </c>
    </row>
    <row r="12" spans="1:2">
      <c r="A12" t="s">
        <v>14</v>
      </c>
      <c r="B12">
        <v>1</v>
      </c>
    </row>
    <row r="13" spans="1:2">
      <c r="A13" t="s">
        <v>15</v>
      </c>
      <c r="B13">
        <v>1</v>
      </c>
    </row>
    <row r="14" spans="1:2">
      <c r="A14" t="s">
        <v>16</v>
      </c>
      <c r="B14">
        <v>1</v>
      </c>
    </row>
    <row r="15" spans="1:2">
      <c r="A15" t="s">
        <v>17</v>
      </c>
      <c r="B15">
        <v>1</v>
      </c>
    </row>
    <row r="16" spans="1:2">
      <c r="A16" t="s">
        <v>18</v>
      </c>
      <c r="B16">
        <v>1</v>
      </c>
    </row>
    <row r="17" spans="1:2">
      <c r="A17" t="s">
        <v>19</v>
      </c>
      <c r="B17">
        <v>1</v>
      </c>
    </row>
    <row r="18" spans="1:2">
      <c r="A18" t="s">
        <v>20</v>
      </c>
      <c r="B18">
        <v>1</v>
      </c>
    </row>
    <row r="19" spans="1:2">
      <c r="A19" t="s">
        <v>21</v>
      </c>
      <c r="B19">
        <v>1</v>
      </c>
    </row>
    <row r="20" spans="1:2">
      <c r="A20" t="s">
        <v>22</v>
      </c>
      <c r="B20">
        <v>1</v>
      </c>
    </row>
    <row r="22" spans="1:2">
      <c r="B22" t="s">
        <v>335</v>
      </c>
    </row>
    <row r="23" spans="1:2">
      <c r="A23" t="s">
        <v>4</v>
      </c>
      <c r="B23">
        <v>1</v>
      </c>
    </row>
    <row r="24" spans="1:2">
      <c r="A24" t="s">
        <v>5</v>
      </c>
      <c r="B24">
        <v>1</v>
      </c>
    </row>
    <row r="25" spans="1:2">
      <c r="A25" t="s">
        <v>6</v>
      </c>
      <c r="B25">
        <v>1</v>
      </c>
    </row>
    <row r="26" spans="1:2">
      <c r="A26" t="s">
        <v>7</v>
      </c>
      <c r="B26">
        <v>1</v>
      </c>
    </row>
    <row r="27" spans="1:2">
      <c r="A27" t="s">
        <v>8</v>
      </c>
      <c r="B27">
        <v>1</v>
      </c>
    </row>
    <row r="28" spans="1:2">
      <c r="A28" t="s">
        <v>9</v>
      </c>
      <c r="B28">
        <v>1</v>
      </c>
    </row>
    <row r="29" spans="1:2">
      <c r="A29" t="s">
        <v>10</v>
      </c>
      <c r="B29">
        <v>1</v>
      </c>
    </row>
    <row r="30" spans="1:2">
      <c r="A30" t="s">
        <v>11</v>
      </c>
      <c r="B30">
        <v>1</v>
      </c>
    </row>
    <row r="31" spans="1:2">
      <c r="A31" t="s">
        <v>12</v>
      </c>
      <c r="B31">
        <v>1</v>
      </c>
    </row>
    <row r="32" spans="1:2">
      <c r="A32" t="s">
        <v>13</v>
      </c>
      <c r="B32">
        <v>1</v>
      </c>
    </row>
    <row r="33" spans="1:4">
      <c r="A33" t="s">
        <v>14</v>
      </c>
      <c r="B33">
        <v>1</v>
      </c>
    </row>
    <row r="34" spans="1:4">
      <c r="A34" t="s">
        <v>15</v>
      </c>
      <c r="B34">
        <v>1</v>
      </c>
    </row>
    <row r="35" spans="1:4">
      <c r="A35" t="s">
        <v>16</v>
      </c>
      <c r="B35">
        <v>1</v>
      </c>
    </row>
    <row r="36" spans="1:4">
      <c r="A36" t="s">
        <v>17</v>
      </c>
      <c r="B36">
        <v>1</v>
      </c>
    </row>
    <row r="37" spans="1:4">
      <c r="A37" t="s">
        <v>18</v>
      </c>
      <c r="B37">
        <v>1</v>
      </c>
    </row>
    <row r="38" spans="1:4">
      <c r="A38" t="s">
        <v>19</v>
      </c>
      <c r="B38">
        <v>1</v>
      </c>
    </row>
    <row r="39" spans="1:4">
      <c r="A39" t="s">
        <v>20</v>
      </c>
      <c r="B39">
        <v>1</v>
      </c>
    </row>
    <row r="40" spans="1:4">
      <c r="A40" t="s">
        <v>21</v>
      </c>
      <c r="B40">
        <v>1</v>
      </c>
    </row>
    <row r="41" spans="1:4">
      <c r="A41" t="s">
        <v>22</v>
      </c>
      <c r="B41">
        <v>1</v>
      </c>
    </row>
    <row r="44" spans="1:4">
      <c r="B44" t="s">
        <v>336</v>
      </c>
      <c r="C44" t="s">
        <v>337</v>
      </c>
      <c r="D44" t="s">
        <v>338</v>
      </c>
    </row>
    <row r="45" spans="1:4">
      <c r="A45" t="s">
        <v>4</v>
      </c>
      <c r="B45">
        <v>0</v>
      </c>
      <c r="C45">
        <v>0</v>
      </c>
      <c r="D45">
        <v>0</v>
      </c>
    </row>
    <row r="46" spans="1:4">
      <c r="A46" t="s">
        <v>5</v>
      </c>
      <c r="B46">
        <v>0</v>
      </c>
      <c r="C46">
        <v>0</v>
      </c>
      <c r="D46">
        <v>0</v>
      </c>
    </row>
    <row r="47" spans="1:4">
      <c r="A47" t="s">
        <v>6</v>
      </c>
      <c r="B47">
        <v>0</v>
      </c>
      <c r="C47">
        <v>0</v>
      </c>
      <c r="D47">
        <v>0</v>
      </c>
    </row>
    <row r="48" spans="1:4">
      <c r="A48" t="s">
        <v>7</v>
      </c>
      <c r="B48">
        <v>0</v>
      </c>
      <c r="C48">
        <v>0</v>
      </c>
      <c r="D48">
        <v>0</v>
      </c>
    </row>
    <row r="49" spans="1:4">
      <c r="A49" t="s">
        <v>8</v>
      </c>
      <c r="B49">
        <v>0</v>
      </c>
      <c r="C49">
        <v>0</v>
      </c>
      <c r="D49">
        <v>0</v>
      </c>
    </row>
    <row r="50" spans="1:4">
      <c r="A50" t="s">
        <v>9</v>
      </c>
      <c r="B50">
        <v>0</v>
      </c>
      <c r="C50">
        <v>0</v>
      </c>
      <c r="D50">
        <v>0</v>
      </c>
    </row>
    <row r="51" spans="1:4">
      <c r="A51" t="s">
        <v>10</v>
      </c>
      <c r="B51">
        <v>0</v>
      </c>
      <c r="C51">
        <v>0</v>
      </c>
      <c r="D51">
        <v>0</v>
      </c>
    </row>
    <row r="52" spans="1:4">
      <c r="A52" t="s">
        <v>11</v>
      </c>
      <c r="B52">
        <v>0</v>
      </c>
      <c r="C52">
        <v>0</v>
      </c>
      <c r="D52">
        <v>0</v>
      </c>
    </row>
    <row r="53" spans="1:4">
      <c r="A53" t="s">
        <v>12</v>
      </c>
      <c r="B53">
        <v>0</v>
      </c>
      <c r="C53">
        <v>0</v>
      </c>
      <c r="D53">
        <v>0</v>
      </c>
    </row>
    <row r="54" spans="1:4">
      <c r="A54" t="s">
        <v>13</v>
      </c>
      <c r="B54">
        <v>0</v>
      </c>
      <c r="C54">
        <v>0</v>
      </c>
      <c r="D54">
        <v>0</v>
      </c>
    </row>
    <row r="55" spans="1:4">
      <c r="A55" t="s">
        <v>14</v>
      </c>
      <c r="B55">
        <v>0</v>
      </c>
      <c r="C55">
        <v>0</v>
      </c>
      <c r="D55">
        <v>0</v>
      </c>
    </row>
    <row r="56" spans="1:4">
      <c r="A56" t="s">
        <v>15</v>
      </c>
      <c r="B56">
        <v>0</v>
      </c>
      <c r="C56">
        <v>0</v>
      </c>
      <c r="D56">
        <v>0</v>
      </c>
    </row>
    <row r="57" spans="1:4">
      <c r="A57" t="s">
        <v>16</v>
      </c>
      <c r="B57">
        <v>0</v>
      </c>
      <c r="C57">
        <v>0</v>
      </c>
      <c r="D57">
        <v>0</v>
      </c>
    </row>
    <row r="58" spans="1:4">
      <c r="A58" t="s">
        <v>17</v>
      </c>
      <c r="B58">
        <v>0</v>
      </c>
      <c r="C58">
        <v>0</v>
      </c>
      <c r="D58">
        <v>0</v>
      </c>
    </row>
    <row r="59" spans="1:4">
      <c r="A59" t="s">
        <v>18</v>
      </c>
      <c r="B59">
        <v>0</v>
      </c>
      <c r="C59">
        <v>0</v>
      </c>
      <c r="D59">
        <v>0</v>
      </c>
    </row>
    <row r="60" spans="1:4">
      <c r="A60" t="s">
        <v>19</v>
      </c>
      <c r="B60">
        <v>0</v>
      </c>
      <c r="C60">
        <v>0</v>
      </c>
      <c r="D60">
        <v>0</v>
      </c>
    </row>
    <row r="61" spans="1:4">
      <c r="A61" t="s">
        <v>20</v>
      </c>
      <c r="B61">
        <v>0</v>
      </c>
      <c r="C61">
        <v>0</v>
      </c>
      <c r="D61">
        <v>0</v>
      </c>
    </row>
    <row r="62" spans="1:4">
      <c r="A62" t="s">
        <v>21</v>
      </c>
      <c r="B62">
        <v>0</v>
      </c>
      <c r="C62">
        <v>0</v>
      </c>
      <c r="D62">
        <v>0</v>
      </c>
    </row>
    <row r="63" spans="1:4">
      <c r="A63" t="s">
        <v>22</v>
      </c>
      <c r="B63">
        <v>0</v>
      </c>
      <c r="C63">
        <v>0</v>
      </c>
      <c r="D6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8"/>
  <sheetViews>
    <sheetView workbookViewId="0"/>
  </sheetViews>
  <sheetFormatPr defaultColWidth="9.28515625" defaultRowHeight="13.15"/>
  <cols>
    <col min="1" max="1" width="68.28515625" bestFit="1" customWidth="1"/>
    <col min="2" max="2" width="9.28515625" style="125"/>
  </cols>
  <sheetData>
    <row r="1" spans="1:2">
      <c r="A1" t="s">
        <v>339</v>
      </c>
      <c r="B1" s="125" t="s">
        <v>340</v>
      </c>
    </row>
    <row r="2" spans="1:2">
      <c r="B2" s="125" t="s">
        <v>7</v>
      </c>
    </row>
    <row r="3" spans="1:2">
      <c r="A3" t="s">
        <v>4</v>
      </c>
      <c r="B3" s="125">
        <v>0</v>
      </c>
    </row>
    <row r="4" spans="1:2">
      <c r="A4" t="s">
        <v>5</v>
      </c>
      <c r="B4" s="125">
        <v>-0.13404755535836893</v>
      </c>
    </row>
    <row r="5" spans="1:2">
      <c r="A5" t="s">
        <v>6</v>
      </c>
      <c r="B5" s="125">
        <v>0</v>
      </c>
    </row>
    <row r="6" spans="1:2">
      <c r="A6" t="s">
        <v>7</v>
      </c>
      <c r="B6" s="125">
        <v>0</v>
      </c>
    </row>
    <row r="7" spans="1:2">
      <c r="A7" t="s">
        <v>8</v>
      </c>
      <c r="B7" s="125">
        <v>0.11415016340869118</v>
      </c>
    </row>
    <row r="8" spans="1:2">
      <c r="A8" t="s">
        <v>9</v>
      </c>
      <c r="B8" s="125">
        <v>0.1755303268618032</v>
      </c>
    </row>
    <row r="9" spans="1:2">
      <c r="A9" t="s">
        <v>10</v>
      </c>
      <c r="B9" s="125">
        <v>-0.12573968305066044</v>
      </c>
    </row>
    <row r="10" spans="1:2">
      <c r="A10" t="s">
        <v>11</v>
      </c>
      <c r="B10" s="125">
        <v>-0.10585505544105032</v>
      </c>
    </row>
    <row r="11" spans="1:2">
      <c r="A11" t="s">
        <v>12</v>
      </c>
      <c r="B11" s="125">
        <v>0</v>
      </c>
    </row>
    <row r="12" spans="1:2">
      <c r="A12" t="s">
        <v>13</v>
      </c>
      <c r="B12" s="125">
        <v>0</v>
      </c>
    </row>
    <row r="13" spans="1:2">
      <c r="A13" t="s">
        <v>14</v>
      </c>
      <c r="B13" s="125">
        <v>0</v>
      </c>
    </row>
    <row r="14" spans="1:2">
      <c r="A14" t="s">
        <v>15</v>
      </c>
      <c r="B14" s="125">
        <v>0</v>
      </c>
    </row>
    <row r="15" spans="1:2">
      <c r="A15" t="s">
        <v>16</v>
      </c>
      <c r="B15" s="125">
        <v>-1.4913502196465651E-2</v>
      </c>
    </row>
    <row r="16" spans="1:2">
      <c r="A16" t="s">
        <v>17</v>
      </c>
      <c r="B16" s="125">
        <v>-9.4861957578640063E-2</v>
      </c>
    </row>
    <row r="17" spans="1:2">
      <c r="A17" t="s">
        <v>18</v>
      </c>
      <c r="B17" s="125">
        <v>0.17787760740078648</v>
      </c>
    </row>
    <row r="18" spans="1:2">
      <c r="A18" t="s">
        <v>19</v>
      </c>
      <c r="B18" s="125">
        <v>-2.050226279641312E-2</v>
      </c>
    </row>
    <row r="19" spans="1:2">
      <c r="A19" t="s">
        <v>20</v>
      </c>
      <c r="B19" s="125">
        <v>0.14867572789737557</v>
      </c>
    </row>
    <row r="20" spans="1:2">
      <c r="A20" t="s">
        <v>21</v>
      </c>
      <c r="B20" s="125">
        <v>-7.1084066983964453E-2</v>
      </c>
    </row>
    <row r="21" spans="1:2">
      <c r="A21" t="s">
        <v>22</v>
      </c>
      <c r="B21" s="125">
        <v>8.7317141896112588E-2</v>
      </c>
    </row>
    <row r="23" spans="1:2">
      <c r="B23" s="125" t="s">
        <v>341</v>
      </c>
    </row>
    <row r="24" spans="1:2">
      <c r="B24" s="125" t="s">
        <v>7</v>
      </c>
    </row>
    <row r="25" spans="1:2">
      <c r="A25" t="s">
        <v>4</v>
      </c>
    </row>
    <row r="26" spans="1:2">
      <c r="A26" t="s">
        <v>5</v>
      </c>
      <c r="B26" s="125">
        <v>4.3081628309971351E-2</v>
      </c>
    </row>
    <row r="27" spans="1:2">
      <c r="A27" t="s">
        <v>6</v>
      </c>
    </row>
    <row r="28" spans="1:2">
      <c r="A28" t="s">
        <v>7</v>
      </c>
    </row>
    <row r="29" spans="1:2">
      <c r="A29" t="s">
        <v>8</v>
      </c>
      <c r="B29" s="125">
        <v>6.9309574253406822E-2</v>
      </c>
    </row>
    <row r="30" spans="1:2">
      <c r="A30" t="s">
        <v>9</v>
      </c>
      <c r="B30" s="125">
        <v>0.12207297509871855</v>
      </c>
    </row>
    <row r="31" spans="1:2">
      <c r="A31" t="s">
        <v>10</v>
      </c>
      <c r="B31" s="125">
        <v>7.1616837856949611E-2</v>
      </c>
    </row>
    <row r="32" spans="1:2">
      <c r="A32" t="s">
        <v>11</v>
      </c>
      <c r="B32" s="125">
        <v>6.0290739722053337E-2</v>
      </c>
    </row>
    <row r="33" spans="1:2">
      <c r="A33" t="s">
        <v>12</v>
      </c>
    </row>
    <row r="34" spans="1:2">
      <c r="A34" t="s">
        <v>13</v>
      </c>
    </row>
    <row r="35" spans="1:2">
      <c r="A35" t="s">
        <v>14</v>
      </c>
    </row>
    <row r="36" spans="1:2">
      <c r="A36" t="s">
        <v>15</v>
      </c>
    </row>
    <row r="37" spans="1:2">
      <c r="A37" t="s">
        <v>16</v>
      </c>
      <c r="B37" s="125">
        <v>3.0962593099097906E-3</v>
      </c>
    </row>
    <row r="38" spans="1:2">
      <c r="A38" t="s">
        <v>17</v>
      </c>
      <c r="B38" s="125">
        <v>2.5504248355201074E-2</v>
      </c>
    </row>
    <row r="39" spans="1:2">
      <c r="A39" t="s">
        <v>18</v>
      </c>
      <c r="B39" s="125">
        <v>1.2952813190135635E-2</v>
      </c>
    </row>
    <row r="40" spans="1:2">
      <c r="A40" t="s">
        <v>19</v>
      </c>
      <c r="B40" s="125">
        <v>1.5519804424080965E-2</v>
      </c>
    </row>
    <row r="41" spans="1:2">
      <c r="A41" t="s">
        <v>20</v>
      </c>
      <c r="B41" s="125">
        <v>0.13904986951491816</v>
      </c>
    </row>
    <row r="42" spans="1:2">
      <c r="A42" t="s">
        <v>21</v>
      </c>
      <c r="B42" s="125">
        <v>3.3796032632163006E-2</v>
      </c>
    </row>
    <row r="43" spans="1:2">
      <c r="A43" t="s">
        <v>22</v>
      </c>
      <c r="B43" s="125">
        <v>4.4881888437050342E-2</v>
      </c>
    </row>
    <row r="45" spans="1:2">
      <c r="B45" s="125" t="s">
        <v>342</v>
      </c>
    </row>
    <row r="48" spans="1:2">
      <c r="B48" s="125" t="s">
        <v>343</v>
      </c>
    </row>
    <row r="49" spans="1:2">
      <c r="B49" s="125" t="s">
        <v>7</v>
      </c>
    </row>
    <row r="50" spans="1:2">
      <c r="A50" t="s">
        <v>4</v>
      </c>
      <c r="B50" s="125">
        <v>0</v>
      </c>
    </row>
    <row r="51" spans="1:2">
      <c r="A51" t="s">
        <v>5</v>
      </c>
      <c r="B51" s="125">
        <v>-2.2341259226394823</v>
      </c>
    </row>
    <row r="52" spans="1:2">
      <c r="A52" t="s">
        <v>6</v>
      </c>
      <c r="B52" s="125">
        <v>0</v>
      </c>
    </row>
    <row r="53" spans="1:2">
      <c r="A53" t="s">
        <v>7</v>
      </c>
      <c r="B53" s="125">
        <v>0</v>
      </c>
    </row>
    <row r="54" spans="1:2">
      <c r="A54" t="s">
        <v>8</v>
      </c>
      <c r="B54" s="125">
        <v>0.11415016340869118</v>
      </c>
    </row>
    <row r="55" spans="1:2">
      <c r="A55" t="s">
        <v>9</v>
      </c>
      <c r="B55" s="125">
        <v>0.1755303268618032</v>
      </c>
    </row>
    <row r="56" spans="1:2">
      <c r="A56" t="s">
        <v>10</v>
      </c>
      <c r="B56" s="125">
        <v>-0.12573968305066044</v>
      </c>
    </row>
    <row r="57" spans="1:2">
      <c r="A57" t="s">
        <v>11</v>
      </c>
      <c r="B57" s="125">
        <v>-0.10585505544105032</v>
      </c>
    </row>
    <row r="58" spans="1:2">
      <c r="A58" t="s">
        <v>12</v>
      </c>
      <c r="B58" s="125">
        <v>0</v>
      </c>
    </row>
    <row r="59" spans="1:2">
      <c r="A59" t="s">
        <v>13</v>
      </c>
      <c r="B59" s="125">
        <v>0</v>
      </c>
    </row>
    <row r="60" spans="1:2">
      <c r="A60" t="s">
        <v>14</v>
      </c>
      <c r="B60" s="125">
        <v>0</v>
      </c>
    </row>
    <row r="61" spans="1:2">
      <c r="A61" t="s">
        <v>15</v>
      </c>
      <c r="B61" s="125">
        <v>0</v>
      </c>
    </row>
    <row r="62" spans="1:2">
      <c r="A62" t="s">
        <v>16</v>
      </c>
      <c r="B62" s="125">
        <v>-1.4913502196465651</v>
      </c>
    </row>
    <row r="63" spans="1:2">
      <c r="A63" t="s">
        <v>17</v>
      </c>
      <c r="B63" s="125">
        <v>-0.17247628650661831</v>
      </c>
    </row>
    <row r="64" spans="1:2">
      <c r="A64" t="s">
        <v>18</v>
      </c>
      <c r="B64" s="125">
        <v>3.1206597789611668E-5</v>
      </c>
    </row>
    <row r="65" spans="1:2">
      <c r="A65" t="s">
        <v>19</v>
      </c>
      <c r="B65" s="125">
        <v>-2.0502262796413118</v>
      </c>
    </row>
    <row r="66" spans="1:2">
      <c r="A66" t="s">
        <v>20</v>
      </c>
      <c r="B66" s="125">
        <v>14.867572789737556</v>
      </c>
    </row>
    <row r="67" spans="1:2">
      <c r="A67" t="s">
        <v>21</v>
      </c>
      <c r="B67" s="125">
        <v>-7.1084066983964451</v>
      </c>
    </row>
    <row r="68" spans="1:2">
      <c r="A68" t="s">
        <v>22</v>
      </c>
      <c r="B68" s="125">
        <v>8.7317141896112584</v>
      </c>
    </row>
  </sheetData>
  <conditionalFormatting sqref="B1:B43">
    <cfRule type="dataBar" priority="1">
      <dataBar>
        <cfvo type="min"/>
        <cfvo type="max"/>
        <color rgb="FF638EC6"/>
      </dataBar>
      <extLst>
        <ext xmlns:x14="http://schemas.microsoft.com/office/spreadsheetml/2009/9/main" uri="{B025F937-C7B1-47D3-B67F-A62EFF666E3E}">
          <x14:id>{CA46432A-26F9-4552-AFF7-F702C2EE5EA1}</x14:id>
        </ext>
      </extLst>
    </cfRule>
  </conditionalFormatting>
  <conditionalFormatting sqref="B1:B1048576">
    <cfRule type="dataBar" priority="2">
      <dataBar>
        <cfvo type="min"/>
        <cfvo type="max"/>
        <color rgb="FF638EC6"/>
      </dataBar>
      <extLst>
        <ext xmlns:x14="http://schemas.microsoft.com/office/spreadsheetml/2009/9/main" uri="{B025F937-C7B1-47D3-B67F-A62EFF666E3E}">
          <x14:id>{09BB6F8A-46BE-4313-8BD1-102965AA339D}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A46432A-26F9-4552-AFF7-F702C2EE5EA1}">
            <x14:dataBar minLength="0" maxLength="100" gradient="0">
              <x14:cfvo type="autoMin"/>
              <x14:cfvo type="autoMax"/>
              <x14:negativeFillColor rgb="FFFF0000"/>
              <x14:axisColor rgb="FF000000"/>
            </x14:dataBar>
          </x14:cfRule>
          <xm:sqref>B1:B43</xm:sqref>
        </x14:conditionalFormatting>
        <x14:conditionalFormatting xmlns:xm="http://schemas.microsoft.com/office/excel/2006/main">
          <x14:cfRule type="dataBar" id="{09BB6F8A-46BE-4313-8BD1-102965AA339D}">
            <x14:dataBar minLength="0" maxLength="100" gradient="0">
              <x14:cfvo type="autoMin"/>
              <x14:cfvo type="autoMax"/>
              <x14:negativeFillColor rgb="FFFF0000"/>
              <x14:axisColor rgb="FF000000"/>
            </x14:dataBar>
          </x14:cfRule>
          <xm:sqref>B1:B1048576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023"/>
  <sheetViews>
    <sheetView workbookViewId="0">
      <selection sqref="A1:S1"/>
    </sheetView>
  </sheetViews>
  <sheetFormatPr defaultColWidth="9.28515625" defaultRowHeight="13.15"/>
  <sheetData>
    <row r="1" spans="1:19">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row>
    <row r="2" spans="1:19">
      <c r="A2">
        <v>0</v>
      </c>
      <c r="B2">
        <v>0</v>
      </c>
      <c r="C2">
        <v>0</v>
      </c>
      <c r="D2">
        <v>58.6501859577901</v>
      </c>
    </row>
    <row r="3" spans="1:19">
      <c r="A3">
        <v>0</v>
      </c>
      <c r="B3">
        <v>0</v>
      </c>
      <c r="C3">
        <v>0</v>
      </c>
      <c r="D3">
        <v>58.641089476120854</v>
      </c>
    </row>
    <row r="4" spans="1:19">
      <c r="A4">
        <v>0</v>
      </c>
      <c r="B4">
        <v>0</v>
      </c>
      <c r="C4">
        <v>0</v>
      </c>
      <c r="D4">
        <v>25.933637337916551</v>
      </c>
    </row>
    <row r="5" spans="1:19">
      <c r="A5">
        <v>0</v>
      </c>
      <c r="B5">
        <v>0</v>
      </c>
      <c r="C5">
        <v>0</v>
      </c>
      <c r="D5">
        <v>8.6374737601976221</v>
      </c>
    </row>
    <row r="6" spans="1:19">
      <c r="A6">
        <v>0</v>
      </c>
      <c r="B6">
        <v>0</v>
      </c>
      <c r="C6">
        <v>0</v>
      </c>
      <c r="D6">
        <v>11.635944823138992</v>
      </c>
    </row>
    <row r="7" spans="1:19">
      <c r="A7">
        <v>0</v>
      </c>
      <c r="B7">
        <v>0</v>
      </c>
      <c r="C7">
        <v>0</v>
      </c>
      <c r="D7">
        <v>12.226274362344967</v>
      </c>
    </row>
    <row r="8" spans="1:19">
      <c r="A8">
        <v>0</v>
      </c>
      <c r="B8">
        <v>0</v>
      </c>
      <c r="C8">
        <v>0</v>
      </c>
      <c r="D8">
        <v>11.869724412993477</v>
      </c>
    </row>
    <row r="9" spans="1:19">
      <c r="A9">
        <v>0</v>
      </c>
      <c r="B9">
        <v>0</v>
      </c>
      <c r="C9">
        <v>0</v>
      </c>
      <c r="D9">
        <v>86.942630424680829</v>
      </c>
    </row>
    <row r="10" spans="1:19">
      <c r="A10">
        <v>0</v>
      </c>
      <c r="B10">
        <v>0</v>
      </c>
      <c r="C10">
        <v>0</v>
      </c>
      <c r="D10">
        <v>71.073554783554783</v>
      </c>
    </row>
    <row r="11" spans="1:19">
      <c r="A11">
        <v>0</v>
      </c>
      <c r="B11">
        <v>0</v>
      </c>
      <c r="C11">
        <v>0</v>
      </c>
      <c r="D11">
        <v>57.116485914062999</v>
      </c>
    </row>
    <row r="12" spans="1:19">
      <c r="A12">
        <v>0</v>
      </c>
      <c r="B12">
        <v>0</v>
      </c>
      <c r="C12">
        <v>0</v>
      </c>
      <c r="D12">
        <v>81.751189337419589</v>
      </c>
    </row>
    <row r="13" spans="1:19">
      <c r="A13">
        <v>0</v>
      </c>
      <c r="B13">
        <v>0</v>
      </c>
      <c r="C13">
        <v>0</v>
      </c>
      <c r="D13">
        <v>17.710345665820896</v>
      </c>
    </row>
    <row r="14" spans="1:19">
      <c r="A14">
        <v>0</v>
      </c>
      <c r="B14">
        <v>0</v>
      </c>
      <c r="C14">
        <v>0</v>
      </c>
      <c r="D14">
        <v>40.56526957567911</v>
      </c>
    </row>
    <row r="15" spans="1:19">
      <c r="A15">
        <v>0</v>
      </c>
      <c r="B15">
        <v>0</v>
      </c>
      <c r="C15">
        <v>0</v>
      </c>
      <c r="D15">
        <v>57.389042300073839</v>
      </c>
    </row>
    <row r="16" spans="1:19">
      <c r="A16">
        <v>0</v>
      </c>
      <c r="B16">
        <v>0</v>
      </c>
      <c r="C16">
        <v>0</v>
      </c>
      <c r="D16">
        <v>24.38800194112239</v>
      </c>
    </row>
    <row r="17" spans="1:4">
      <c r="A17">
        <v>0</v>
      </c>
      <c r="B17">
        <v>0</v>
      </c>
      <c r="C17">
        <v>0</v>
      </c>
      <c r="D17">
        <v>26.864650703561587</v>
      </c>
    </row>
    <row r="18" spans="1:4">
      <c r="A18">
        <v>0</v>
      </c>
      <c r="B18">
        <v>0</v>
      </c>
      <c r="C18">
        <v>0</v>
      </c>
      <c r="D18">
        <v>12.250642435703021</v>
      </c>
    </row>
    <row r="19" spans="1:4">
      <c r="A19">
        <v>0</v>
      </c>
      <c r="B19">
        <v>0</v>
      </c>
      <c r="C19">
        <v>0</v>
      </c>
      <c r="D19">
        <v>11.933601261043371</v>
      </c>
    </row>
    <row r="20" spans="1:4">
      <c r="A20">
        <v>0</v>
      </c>
      <c r="B20">
        <v>0</v>
      </c>
      <c r="C20">
        <v>0</v>
      </c>
      <c r="D20">
        <v>12.251000573899475</v>
      </c>
    </row>
    <row r="21" spans="1:4">
      <c r="A21">
        <v>0</v>
      </c>
      <c r="B21">
        <v>0</v>
      </c>
      <c r="C21">
        <v>0</v>
      </c>
      <c r="D21">
        <v>89.759300613273865</v>
      </c>
    </row>
    <row r="22" spans="1:4">
      <c r="A22">
        <v>0</v>
      </c>
      <c r="B22">
        <v>0</v>
      </c>
      <c r="C22">
        <v>0</v>
      </c>
      <c r="D22">
        <v>88.141726019331287</v>
      </c>
    </row>
    <row r="23" spans="1:4">
      <c r="A23">
        <v>0</v>
      </c>
      <c r="B23">
        <v>0</v>
      </c>
      <c r="C23">
        <v>0</v>
      </c>
      <c r="D23">
        <v>90.156665946499999</v>
      </c>
    </row>
    <row r="24" spans="1:4">
      <c r="A24">
        <v>0</v>
      </c>
      <c r="B24">
        <v>0</v>
      </c>
      <c r="C24">
        <v>0</v>
      </c>
      <c r="D24">
        <v>71.093673267039108</v>
      </c>
    </row>
    <row r="25" spans="1:4">
      <c r="A25">
        <v>0</v>
      </c>
      <c r="B25">
        <v>0</v>
      </c>
      <c r="C25">
        <v>0</v>
      </c>
      <c r="D25">
        <v>71.494160841453521</v>
      </c>
    </row>
    <row r="26" spans="1:4">
      <c r="A26">
        <v>0</v>
      </c>
      <c r="B26">
        <v>0</v>
      </c>
      <c r="C26">
        <v>0</v>
      </c>
      <c r="D26">
        <v>75.470738601987279</v>
      </c>
    </row>
    <row r="27" spans="1:4">
      <c r="A27">
        <v>0</v>
      </c>
      <c r="B27">
        <v>0</v>
      </c>
      <c r="C27">
        <v>0</v>
      </c>
      <c r="D27">
        <v>104.18236741736274</v>
      </c>
    </row>
    <row r="28" spans="1:4">
      <c r="A28">
        <v>0</v>
      </c>
      <c r="B28">
        <v>0</v>
      </c>
      <c r="C28">
        <v>0</v>
      </c>
      <c r="D28">
        <v>104.30207838710972</v>
      </c>
    </row>
    <row r="29" spans="1:4">
      <c r="A29">
        <v>0</v>
      </c>
      <c r="B29">
        <v>0</v>
      </c>
      <c r="C29">
        <v>0</v>
      </c>
      <c r="D29">
        <v>47.360202234921417</v>
      </c>
    </row>
    <row r="30" spans="1:4">
      <c r="A30">
        <v>0</v>
      </c>
      <c r="B30">
        <v>0</v>
      </c>
      <c r="C30">
        <v>0</v>
      </c>
      <c r="D30">
        <v>31.513180338076253</v>
      </c>
    </row>
    <row r="31" spans="1:4">
      <c r="A31">
        <v>0</v>
      </c>
      <c r="B31">
        <v>0</v>
      </c>
      <c r="C31">
        <v>0</v>
      </c>
      <c r="D31">
        <v>53.708314520540938</v>
      </c>
    </row>
    <row r="32" spans="1:4">
      <c r="A32">
        <v>0</v>
      </c>
      <c r="B32">
        <v>0</v>
      </c>
      <c r="C32">
        <v>0</v>
      </c>
      <c r="D32">
        <v>31.490772014531384</v>
      </c>
    </row>
    <row r="33" spans="1:4">
      <c r="A33">
        <v>0</v>
      </c>
      <c r="B33">
        <v>0</v>
      </c>
      <c r="C33">
        <v>0</v>
      </c>
      <c r="D33">
        <v>64.781831182374603</v>
      </c>
    </row>
    <row r="34" spans="1:4">
      <c r="A34">
        <v>0</v>
      </c>
      <c r="B34">
        <v>0</v>
      </c>
      <c r="C34">
        <v>0</v>
      </c>
      <c r="D34">
        <v>80.569411377729978</v>
      </c>
    </row>
    <row r="35" spans="1:4">
      <c r="A35">
        <v>0</v>
      </c>
      <c r="B35">
        <v>0</v>
      </c>
      <c r="C35">
        <v>0</v>
      </c>
      <c r="D35">
        <v>12.416854731664635</v>
      </c>
    </row>
    <row r="36" spans="1:4">
      <c r="A36">
        <v>0</v>
      </c>
      <c r="B36">
        <v>0</v>
      </c>
      <c r="C36">
        <v>0</v>
      </c>
      <c r="D36">
        <v>12.285469073290621</v>
      </c>
    </row>
    <row r="37" spans="1:4">
      <c r="A37">
        <v>0</v>
      </c>
      <c r="B37">
        <v>0</v>
      </c>
      <c r="C37">
        <v>0</v>
      </c>
      <c r="D37">
        <v>27.528283027743896</v>
      </c>
    </row>
    <row r="38" spans="1:4">
      <c r="A38">
        <v>0</v>
      </c>
      <c r="B38">
        <v>0</v>
      </c>
      <c r="C38">
        <v>0</v>
      </c>
      <c r="D38">
        <v>104.29939317650377</v>
      </c>
    </row>
    <row r="39" spans="1:4">
      <c r="A39">
        <v>0</v>
      </c>
      <c r="B39">
        <v>0</v>
      </c>
      <c r="C39">
        <v>0</v>
      </c>
      <c r="D39">
        <v>104.1169323186959</v>
      </c>
    </row>
    <row r="40" spans="1:4">
      <c r="A40">
        <v>0</v>
      </c>
      <c r="B40">
        <v>0</v>
      </c>
      <c r="C40">
        <v>0</v>
      </c>
      <c r="D40">
        <v>14.262165387871889</v>
      </c>
    </row>
    <row r="41" spans="1:4">
      <c r="A41">
        <v>0</v>
      </c>
      <c r="B41">
        <v>0</v>
      </c>
      <c r="C41">
        <v>0</v>
      </c>
      <c r="D41">
        <v>14.228537186910621</v>
      </c>
    </row>
    <row r="42" spans="1:4">
      <c r="A42">
        <v>0</v>
      </c>
      <c r="B42">
        <v>0</v>
      </c>
      <c r="C42">
        <v>0</v>
      </c>
      <c r="D42">
        <v>14.247513460774293</v>
      </c>
    </row>
    <row r="43" spans="1:4">
      <c r="A43">
        <v>0</v>
      </c>
      <c r="B43">
        <v>0</v>
      </c>
      <c r="C43">
        <v>0</v>
      </c>
      <c r="D43">
        <v>14.226762227959618</v>
      </c>
    </row>
    <row r="44" spans="1:4">
      <c r="A44">
        <v>0</v>
      </c>
      <c r="B44">
        <v>0</v>
      </c>
      <c r="C44">
        <v>0</v>
      </c>
      <c r="D44">
        <v>14.249124434551426</v>
      </c>
    </row>
    <row r="45" spans="1:4">
      <c r="A45">
        <v>0</v>
      </c>
      <c r="B45">
        <v>0</v>
      </c>
      <c r="C45">
        <v>0</v>
      </c>
      <c r="D45">
        <v>87.806739096875276</v>
      </c>
    </row>
    <row r="46" spans="1:4">
      <c r="A46">
        <v>0</v>
      </c>
      <c r="B46">
        <v>0</v>
      </c>
      <c r="C46">
        <v>0</v>
      </c>
      <c r="D46">
        <v>14.216949181666635</v>
      </c>
    </row>
    <row r="47" spans="1:4">
      <c r="A47">
        <v>0</v>
      </c>
      <c r="B47">
        <v>0</v>
      </c>
      <c r="C47">
        <v>0</v>
      </c>
      <c r="D47">
        <v>14.132587009211143</v>
      </c>
    </row>
    <row r="48" spans="1:4">
      <c r="A48">
        <v>0</v>
      </c>
      <c r="B48">
        <v>0</v>
      </c>
      <c r="C48">
        <v>0</v>
      </c>
      <c r="D48">
        <v>14.180551447314919</v>
      </c>
    </row>
    <row r="49" spans="1:4">
      <c r="A49">
        <v>0</v>
      </c>
      <c r="B49">
        <v>0</v>
      </c>
      <c r="C49">
        <v>0</v>
      </c>
      <c r="D49">
        <v>86.950734215742997</v>
      </c>
    </row>
    <row r="50" spans="1:4">
      <c r="A50">
        <v>0</v>
      </c>
      <c r="B50">
        <v>0</v>
      </c>
      <c r="C50">
        <v>0</v>
      </c>
      <c r="D50">
        <v>89.944491771623802</v>
      </c>
    </row>
    <row r="51" spans="1:4">
      <c r="A51">
        <v>0</v>
      </c>
      <c r="B51">
        <v>0</v>
      </c>
      <c r="C51">
        <v>0</v>
      </c>
      <c r="D51">
        <v>77.773002277216079</v>
      </c>
    </row>
    <row r="52" spans="1:4">
      <c r="A52">
        <v>0</v>
      </c>
      <c r="B52">
        <v>0</v>
      </c>
      <c r="C52">
        <v>0</v>
      </c>
      <c r="D52">
        <v>90.993032065447636</v>
      </c>
    </row>
    <row r="53" spans="1:4">
      <c r="A53">
        <v>0</v>
      </c>
      <c r="B53">
        <v>0</v>
      </c>
      <c r="C53">
        <v>0</v>
      </c>
      <c r="D53">
        <v>89.047170136927036</v>
      </c>
    </row>
    <row r="54" spans="1:4">
      <c r="A54">
        <v>0</v>
      </c>
      <c r="B54">
        <v>0</v>
      </c>
      <c r="C54">
        <v>0</v>
      </c>
      <c r="D54">
        <v>56.707392052017411</v>
      </c>
    </row>
    <row r="55" spans="1:4">
      <c r="A55">
        <v>0</v>
      </c>
      <c r="B55">
        <v>0</v>
      </c>
      <c r="C55">
        <v>0</v>
      </c>
      <c r="D55">
        <v>10.434313170904964</v>
      </c>
    </row>
    <row r="56" spans="1:4">
      <c r="A56">
        <v>0</v>
      </c>
      <c r="B56">
        <v>0</v>
      </c>
      <c r="C56">
        <v>0</v>
      </c>
      <c r="D56">
        <v>64.80820184808816</v>
      </c>
    </row>
    <row r="57" spans="1:4">
      <c r="A57">
        <v>0</v>
      </c>
      <c r="B57">
        <v>0</v>
      </c>
      <c r="C57">
        <v>0</v>
      </c>
      <c r="D57">
        <v>31.254482422916013</v>
      </c>
    </row>
    <row r="58" spans="1:4">
      <c r="A58">
        <v>0</v>
      </c>
      <c r="B58">
        <v>0</v>
      </c>
      <c r="C58">
        <v>0</v>
      </c>
      <c r="D58">
        <v>84.081861305243933</v>
      </c>
    </row>
    <row r="59" spans="1:4">
      <c r="A59">
        <v>0</v>
      </c>
      <c r="B59">
        <v>0</v>
      </c>
      <c r="C59">
        <v>0</v>
      </c>
      <c r="D59">
        <v>88.900503885344349</v>
      </c>
    </row>
    <row r="60" spans="1:4">
      <c r="A60">
        <v>0</v>
      </c>
      <c r="B60">
        <v>0</v>
      </c>
      <c r="C60">
        <v>0</v>
      </c>
      <c r="D60">
        <v>27.620462646196607</v>
      </c>
    </row>
    <row r="61" spans="1:4">
      <c r="A61">
        <v>0</v>
      </c>
      <c r="B61">
        <v>0</v>
      </c>
      <c r="C61">
        <v>0</v>
      </c>
      <c r="D61">
        <v>77.937014334858446</v>
      </c>
    </row>
    <row r="62" spans="1:4">
      <c r="A62">
        <v>0</v>
      </c>
      <c r="B62">
        <v>0</v>
      </c>
      <c r="C62">
        <v>0</v>
      </c>
      <c r="D62">
        <v>59.226030062323773</v>
      </c>
    </row>
    <row r="63" spans="1:4">
      <c r="A63">
        <v>0</v>
      </c>
      <c r="B63">
        <v>0</v>
      </c>
      <c r="C63">
        <v>0</v>
      </c>
      <c r="D63">
        <v>72.39033318146231</v>
      </c>
    </row>
    <row r="64" spans="1:4">
      <c r="A64">
        <v>0</v>
      </c>
      <c r="B64">
        <v>0</v>
      </c>
      <c r="C64">
        <v>0</v>
      </c>
      <c r="D64">
        <v>77.889295438822614</v>
      </c>
    </row>
    <row r="65" spans="1:4">
      <c r="A65">
        <v>0</v>
      </c>
      <c r="B65">
        <v>0</v>
      </c>
      <c r="C65">
        <v>0</v>
      </c>
      <c r="D65">
        <v>87.787200086978359</v>
      </c>
    </row>
    <row r="66" spans="1:4">
      <c r="A66">
        <v>0</v>
      </c>
      <c r="B66">
        <v>0</v>
      </c>
      <c r="C66">
        <v>0</v>
      </c>
      <c r="D66">
        <v>87.671321468303503</v>
      </c>
    </row>
    <row r="67" spans="1:4">
      <c r="A67">
        <v>0</v>
      </c>
      <c r="B67">
        <v>0</v>
      </c>
      <c r="C67">
        <v>0</v>
      </c>
      <c r="D67">
        <v>72.943063122699499</v>
      </c>
    </row>
    <row r="68" spans="1:4">
      <c r="A68">
        <v>0</v>
      </c>
      <c r="B68">
        <v>0</v>
      </c>
      <c r="C68">
        <v>0</v>
      </c>
      <c r="D68">
        <v>88.506298540457877</v>
      </c>
    </row>
    <row r="69" spans="1:4">
      <c r="A69">
        <v>0</v>
      </c>
      <c r="B69">
        <v>0</v>
      </c>
      <c r="C69">
        <v>0</v>
      </c>
      <c r="D69">
        <v>87.036737410044225</v>
      </c>
    </row>
    <row r="70" spans="1:4">
      <c r="A70">
        <v>0</v>
      </c>
      <c r="B70">
        <v>0</v>
      </c>
      <c r="C70">
        <v>0</v>
      </c>
      <c r="D70">
        <v>73.345829501121784</v>
      </c>
    </row>
    <row r="71" spans="1:4">
      <c r="A71">
        <v>0</v>
      </c>
      <c r="B71">
        <v>0</v>
      </c>
      <c r="C71">
        <v>0</v>
      </c>
      <c r="D71">
        <v>9.5160551574158632</v>
      </c>
    </row>
    <row r="72" spans="1:4">
      <c r="A72">
        <v>0</v>
      </c>
      <c r="B72">
        <v>0</v>
      </c>
      <c r="C72">
        <v>0</v>
      </c>
      <c r="D72">
        <v>9.4887657040560924</v>
      </c>
    </row>
    <row r="73" spans="1:4">
      <c r="A73">
        <v>0</v>
      </c>
      <c r="B73">
        <v>0</v>
      </c>
      <c r="C73">
        <v>0</v>
      </c>
      <c r="D73">
        <v>9.4890575526463579</v>
      </c>
    </row>
    <row r="74" spans="1:4">
      <c r="A74">
        <v>0</v>
      </c>
      <c r="B74">
        <v>0</v>
      </c>
      <c r="C74">
        <v>0</v>
      </c>
      <c r="D74">
        <v>9.4890571989304675</v>
      </c>
    </row>
    <row r="75" spans="1:4">
      <c r="A75">
        <v>0</v>
      </c>
      <c r="B75">
        <v>0</v>
      </c>
      <c r="C75">
        <v>0</v>
      </c>
      <c r="D75">
        <v>9.4890571924166238</v>
      </c>
    </row>
    <row r="76" spans="1:4">
      <c r="A76">
        <v>0</v>
      </c>
      <c r="B76">
        <v>0</v>
      </c>
      <c r="C76">
        <v>0</v>
      </c>
      <c r="D76">
        <v>9.4890571931958192</v>
      </c>
    </row>
    <row r="77" spans="1:4">
      <c r="A77">
        <v>0</v>
      </c>
      <c r="B77">
        <v>0</v>
      </c>
      <c r="C77">
        <v>0</v>
      </c>
      <c r="D77">
        <v>62.041169519607735</v>
      </c>
    </row>
    <row r="78" spans="1:4">
      <c r="A78">
        <v>0</v>
      </c>
      <c r="B78">
        <v>0</v>
      </c>
      <c r="C78">
        <v>0</v>
      </c>
      <c r="D78">
        <v>61.317455441996373</v>
      </c>
    </row>
    <row r="79" spans="1:4">
      <c r="A79">
        <v>0</v>
      </c>
      <c r="B79">
        <v>0</v>
      </c>
      <c r="C79">
        <v>0</v>
      </c>
      <c r="D79">
        <v>12.252377657401466</v>
      </c>
    </row>
    <row r="80" spans="1:4">
      <c r="A80">
        <v>0</v>
      </c>
      <c r="B80">
        <v>0</v>
      </c>
      <c r="C80">
        <v>0</v>
      </c>
      <c r="D80">
        <v>12.240647020542276</v>
      </c>
    </row>
    <row r="81" spans="1:4">
      <c r="A81">
        <v>0</v>
      </c>
      <c r="B81">
        <v>0</v>
      </c>
      <c r="C81">
        <v>0</v>
      </c>
      <c r="D81">
        <v>12.245983810540018</v>
      </c>
    </row>
    <row r="82" spans="1:4">
      <c r="A82">
        <v>0</v>
      </c>
      <c r="B82">
        <v>0</v>
      </c>
      <c r="C82">
        <v>0</v>
      </c>
      <c r="D82">
        <v>12.25147478386306</v>
      </c>
    </row>
    <row r="83" spans="1:4">
      <c r="A83">
        <v>0</v>
      </c>
      <c r="B83">
        <v>0</v>
      </c>
      <c r="C83">
        <v>0</v>
      </c>
      <c r="D83">
        <v>12.250010787071828</v>
      </c>
    </row>
    <row r="84" spans="1:4">
      <c r="A84">
        <v>0</v>
      </c>
      <c r="B84">
        <v>0</v>
      </c>
      <c r="C84">
        <v>0</v>
      </c>
      <c r="D84">
        <v>12.086697291062315</v>
      </c>
    </row>
    <row r="85" spans="1:4">
      <c r="A85">
        <v>0</v>
      </c>
      <c r="B85">
        <v>0</v>
      </c>
      <c r="C85">
        <v>0</v>
      </c>
      <c r="D85">
        <v>104.26262114962748</v>
      </c>
    </row>
    <row r="86" spans="1:4">
      <c r="A86">
        <v>0</v>
      </c>
      <c r="B86">
        <v>0</v>
      </c>
      <c r="C86">
        <v>0</v>
      </c>
      <c r="D86">
        <v>104.28524560831022</v>
      </c>
    </row>
    <row r="87" spans="1:4">
      <c r="A87">
        <v>0</v>
      </c>
      <c r="B87">
        <v>0</v>
      </c>
      <c r="C87">
        <v>0</v>
      </c>
      <c r="D87">
        <v>104.12084848634049</v>
      </c>
    </row>
    <row r="88" spans="1:4">
      <c r="A88">
        <v>0</v>
      </c>
      <c r="B88">
        <v>0</v>
      </c>
      <c r="C88">
        <v>0</v>
      </c>
      <c r="D88">
        <v>99.935267283022029</v>
      </c>
    </row>
    <row r="89" spans="1:4">
      <c r="A89">
        <v>0</v>
      </c>
      <c r="B89">
        <v>0</v>
      </c>
      <c r="C89">
        <v>0</v>
      </c>
      <c r="D89">
        <v>79.010594175669581</v>
      </c>
    </row>
    <row r="90" spans="1:4">
      <c r="A90">
        <v>0</v>
      </c>
      <c r="B90">
        <v>0</v>
      </c>
      <c r="C90">
        <v>0</v>
      </c>
      <c r="D90">
        <v>78.456871683905447</v>
      </c>
    </row>
    <row r="91" spans="1:4">
      <c r="A91">
        <v>0</v>
      </c>
      <c r="B91">
        <v>0</v>
      </c>
      <c r="C91">
        <v>0</v>
      </c>
      <c r="D91">
        <v>77.907412142617744</v>
      </c>
    </row>
    <row r="92" spans="1:4">
      <c r="A92">
        <v>0</v>
      </c>
      <c r="B92">
        <v>0</v>
      </c>
      <c r="C92">
        <v>0</v>
      </c>
      <c r="D92">
        <v>9.5673633301731016</v>
      </c>
    </row>
    <row r="93" spans="1:4">
      <c r="A93">
        <v>0</v>
      </c>
      <c r="B93">
        <v>0</v>
      </c>
      <c r="C93">
        <v>0</v>
      </c>
      <c r="D93">
        <v>9.4919957442842673</v>
      </c>
    </row>
    <row r="94" spans="1:4">
      <c r="A94">
        <v>0</v>
      </c>
      <c r="B94">
        <v>0</v>
      </c>
      <c r="C94">
        <v>0</v>
      </c>
      <c r="D94">
        <v>9.6921483647017794</v>
      </c>
    </row>
    <row r="95" spans="1:4">
      <c r="A95">
        <v>0</v>
      </c>
      <c r="B95">
        <v>0</v>
      </c>
      <c r="C95">
        <v>0</v>
      </c>
      <c r="D95">
        <v>9.4894947805270036</v>
      </c>
    </row>
    <row r="96" spans="1:4">
      <c r="A96">
        <v>0</v>
      </c>
      <c r="B96">
        <v>0</v>
      </c>
      <c r="C96">
        <v>0</v>
      </c>
      <c r="D96">
        <v>9.4892781485622351</v>
      </c>
    </row>
    <row r="97" spans="1:4">
      <c r="A97">
        <v>0</v>
      </c>
      <c r="B97">
        <v>0</v>
      </c>
      <c r="C97">
        <v>0</v>
      </c>
      <c r="D97">
        <v>102.27732119358411</v>
      </c>
    </row>
    <row r="98" spans="1:4">
      <c r="A98">
        <v>0</v>
      </c>
      <c r="B98">
        <v>0</v>
      </c>
      <c r="C98">
        <v>0</v>
      </c>
      <c r="D98">
        <v>61.06925040468289</v>
      </c>
    </row>
    <row r="99" spans="1:4">
      <c r="A99">
        <v>0</v>
      </c>
      <c r="B99">
        <v>0</v>
      </c>
      <c r="C99">
        <v>0</v>
      </c>
      <c r="D99">
        <v>48.735342385287424</v>
      </c>
    </row>
    <row r="100" spans="1:4">
      <c r="A100">
        <v>0</v>
      </c>
      <c r="B100">
        <v>0</v>
      </c>
      <c r="C100">
        <v>0</v>
      </c>
      <c r="D100">
        <v>78.057709072472434</v>
      </c>
    </row>
    <row r="101" spans="1:4">
      <c r="A101">
        <v>0</v>
      </c>
      <c r="B101">
        <v>0</v>
      </c>
      <c r="C101">
        <v>0</v>
      </c>
      <c r="D101">
        <v>77.894203618121196</v>
      </c>
    </row>
    <row r="102" spans="1:4">
      <c r="A102">
        <v>0</v>
      </c>
      <c r="B102">
        <v>0</v>
      </c>
      <c r="C102">
        <v>0</v>
      </c>
      <c r="D102">
        <v>30.562128107005833</v>
      </c>
    </row>
    <row r="103" spans="1:4">
      <c r="A103">
        <v>0</v>
      </c>
      <c r="B103">
        <v>0</v>
      </c>
      <c r="C103">
        <v>0</v>
      </c>
      <c r="D103">
        <v>77.938147839073366</v>
      </c>
    </row>
    <row r="104" spans="1:4">
      <c r="A104">
        <v>0</v>
      </c>
      <c r="B104">
        <v>0</v>
      </c>
      <c r="C104">
        <v>0</v>
      </c>
      <c r="D104">
        <v>77.892977604651676</v>
      </c>
    </row>
    <row r="105" spans="1:4">
      <c r="A105">
        <v>0</v>
      </c>
      <c r="B105">
        <v>0</v>
      </c>
      <c r="C105">
        <v>0</v>
      </c>
      <c r="D105">
        <v>77.88986872364481</v>
      </c>
    </row>
    <row r="106" spans="1:4">
      <c r="A106">
        <v>0</v>
      </c>
      <c r="B106">
        <v>0</v>
      </c>
      <c r="C106">
        <v>0</v>
      </c>
      <c r="D106">
        <v>31.496408693109174</v>
      </c>
    </row>
    <row r="107" spans="1:4">
      <c r="A107">
        <v>0</v>
      </c>
      <c r="B107">
        <v>0</v>
      </c>
      <c r="C107">
        <v>0</v>
      </c>
      <c r="D107">
        <v>73.531154451386044</v>
      </c>
    </row>
    <row r="108" spans="1:4">
      <c r="A108">
        <v>0</v>
      </c>
      <c r="B108">
        <v>0</v>
      </c>
      <c r="C108">
        <v>0</v>
      </c>
      <c r="D108">
        <v>31.490557446857323</v>
      </c>
    </row>
    <row r="109" spans="1:4">
      <c r="A109">
        <v>0</v>
      </c>
      <c r="B109">
        <v>0</v>
      </c>
      <c r="C109">
        <v>0</v>
      </c>
      <c r="D109">
        <v>62.143167732937194</v>
      </c>
    </row>
    <row r="110" spans="1:4">
      <c r="A110">
        <v>0</v>
      </c>
      <c r="B110">
        <v>0</v>
      </c>
      <c r="C110">
        <v>0</v>
      </c>
      <c r="D110">
        <v>86.943249533674702</v>
      </c>
    </row>
    <row r="111" spans="1:4">
      <c r="A111">
        <v>0</v>
      </c>
      <c r="B111">
        <v>0</v>
      </c>
      <c r="C111">
        <v>0</v>
      </c>
      <c r="D111">
        <v>61.527746625298363</v>
      </c>
    </row>
    <row r="112" spans="1:4">
      <c r="A112">
        <v>0</v>
      </c>
      <c r="B112">
        <v>0</v>
      </c>
      <c r="C112">
        <v>0</v>
      </c>
      <c r="D112">
        <v>56.477710069260738</v>
      </c>
    </row>
    <row r="113" spans="1:4">
      <c r="A113">
        <v>0</v>
      </c>
      <c r="B113">
        <v>0</v>
      </c>
      <c r="C113">
        <v>0</v>
      </c>
      <c r="D113">
        <v>12.241769488531716</v>
      </c>
    </row>
    <row r="114" spans="1:4">
      <c r="A114">
        <v>0</v>
      </c>
      <c r="B114">
        <v>0</v>
      </c>
      <c r="C114">
        <v>0</v>
      </c>
      <c r="D114">
        <v>12.248584592245948</v>
      </c>
    </row>
    <row r="115" spans="1:4">
      <c r="A115">
        <v>0</v>
      </c>
      <c r="B115">
        <v>0</v>
      </c>
      <c r="C115">
        <v>0</v>
      </c>
      <c r="D115">
        <v>12.245940824789685</v>
      </c>
    </row>
    <row r="116" spans="1:4">
      <c r="A116">
        <v>0</v>
      </c>
      <c r="B116">
        <v>0</v>
      </c>
      <c r="C116">
        <v>0</v>
      </c>
      <c r="D116">
        <v>12.196517483297171</v>
      </c>
    </row>
    <row r="117" spans="1:4">
      <c r="A117">
        <v>0</v>
      </c>
      <c r="B117">
        <v>0</v>
      </c>
      <c r="C117">
        <v>0</v>
      </c>
      <c r="D117">
        <v>41.533717006236309</v>
      </c>
    </row>
    <row r="118" spans="1:4">
      <c r="A118">
        <v>0</v>
      </c>
      <c r="B118">
        <v>0</v>
      </c>
      <c r="C118">
        <v>0</v>
      </c>
      <c r="D118">
        <v>7.7098110500472714</v>
      </c>
    </row>
    <row r="119" spans="1:4">
      <c r="A119">
        <v>0</v>
      </c>
      <c r="B119">
        <v>0</v>
      </c>
      <c r="C119">
        <v>0</v>
      </c>
      <c r="D119">
        <v>104.30200981598504</v>
      </c>
    </row>
    <row r="120" spans="1:4">
      <c r="A120">
        <v>0</v>
      </c>
      <c r="B120">
        <v>0</v>
      </c>
      <c r="C120">
        <v>0</v>
      </c>
      <c r="D120">
        <v>98.49166711627781</v>
      </c>
    </row>
    <row r="121" spans="1:4">
      <c r="A121">
        <v>0</v>
      </c>
      <c r="B121">
        <v>0</v>
      </c>
      <c r="C121">
        <v>0</v>
      </c>
      <c r="D121">
        <v>88.464130538317391</v>
      </c>
    </row>
    <row r="122" spans="1:4">
      <c r="A122">
        <v>0</v>
      </c>
      <c r="B122">
        <v>0</v>
      </c>
      <c r="C122">
        <v>0</v>
      </c>
      <c r="D122">
        <v>36.601012666586044</v>
      </c>
    </row>
    <row r="123" spans="1:4">
      <c r="A123">
        <v>0</v>
      </c>
      <c r="B123">
        <v>0</v>
      </c>
      <c r="C123">
        <v>0</v>
      </c>
      <c r="D123">
        <v>9.4891219279534056</v>
      </c>
    </row>
    <row r="124" spans="1:4">
      <c r="A124">
        <v>0</v>
      </c>
      <c r="B124">
        <v>0</v>
      </c>
      <c r="C124">
        <v>0</v>
      </c>
      <c r="D124">
        <v>9.5074794413209247</v>
      </c>
    </row>
    <row r="125" spans="1:4">
      <c r="A125">
        <v>0</v>
      </c>
      <c r="B125">
        <v>0</v>
      </c>
      <c r="C125">
        <v>0</v>
      </c>
      <c r="D125">
        <v>64.542880179591407</v>
      </c>
    </row>
    <row r="126" spans="1:4">
      <c r="A126">
        <v>0</v>
      </c>
      <c r="B126">
        <v>0</v>
      </c>
      <c r="C126">
        <v>0</v>
      </c>
      <c r="D126">
        <v>12.248884127441862</v>
      </c>
    </row>
    <row r="127" spans="1:4">
      <c r="A127">
        <v>0</v>
      </c>
      <c r="B127">
        <v>0</v>
      </c>
      <c r="C127">
        <v>0</v>
      </c>
      <c r="D127">
        <v>12.246273286242278</v>
      </c>
    </row>
    <row r="128" spans="1:4">
      <c r="A128">
        <v>0</v>
      </c>
      <c r="B128">
        <v>0</v>
      </c>
      <c r="C128">
        <v>0</v>
      </c>
      <c r="D128">
        <v>12.244777865754955</v>
      </c>
    </row>
    <row r="129" spans="1:4">
      <c r="A129">
        <v>0</v>
      </c>
      <c r="B129">
        <v>0</v>
      </c>
      <c r="C129">
        <v>0</v>
      </c>
      <c r="D129">
        <v>11.972992133138284</v>
      </c>
    </row>
    <row r="130" spans="1:4">
      <c r="A130">
        <v>0</v>
      </c>
      <c r="B130">
        <v>0</v>
      </c>
      <c r="C130">
        <v>0</v>
      </c>
      <c r="D130">
        <v>11.422768849281461</v>
      </c>
    </row>
    <row r="131" spans="1:4">
      <c r="A131">
        <v>0</v>
      </c>
      <c r="B131">
        <v>0</v>
      </c>
      <c r="C131">
        <v>0</v>
      </c>
      <c r="D131">
        <v>11.274434019562797</v>
      </c>
    </row>
    <row r="132" spans="1:4">
      <c r="A132">
        <v>0</v>
      </c>
      <c r="B132">
        <v>0</v>
      </c>
      <c r="C132">
        <v>0</v>
      </c>
      <c r="D132">
        <v>89.008979992542706</v>
      </c>
    </row>
    <row r="133" spans="1:4">
      <c r="A133">
        <v>0</v>
      </c>
      <c r="B133">
        <v>0</v>
      </c>
      <c r="C133">
        <v>0</v>
      </c>
      <c r="D133">
        <v>89.144674834784325</v>
      </c>
    </row>
    <row r="134" spans="1:4">
      <c r="A134">
        <v>0</v>
      </c>
      <c r="B134">
        <v>0</v>
      </c>
      <c r="C134">
        <v>0</v>
      </c>
      <c r="D134">
        <v>90.143665754484459</v>
      </c>
    </row>
    <row r="135" spans="1:4">
      <c r="A135">
        <v>0</v>
      </c>
      <c r="B135">
        <v>0</v>
      </c>
      <c r="C135">
        <v>0</v>
      </c>
      <c r="D135">
        <v>91.129772133291056</v>
      </c>
    </row>
    <row r="136" spans="1:4">
      <c r="A136">
        <v>0</v>
      </c>
      <c r="B136">
        <v>0</v>
      </c>
      <c r="C136">
        <v>0</v>
      </c>
      <c r="D136">
        <v>82.604218517005847</v>
      </c>
    </row>
    <row r="137" spans="1:4">
      <c r="A137">
        <v>0</v>
      </c>
      <c r="B137">
        <v>0</v>
      </c>
      <c r="C137">
        <v>0</v>
      </c>
      <c r="D137">
        <v>89.54458580152621</v>
      </c>
    </row>
    <row r="138" spans="1:4">
      <c r="A138">
        <v>0</v>
      </c>
      <c r="B138">
        <v>0</v>
      </c>
      <c r="C138">
        <v>0</v>
      </c>
      <c r="D138">
        <v>87.019149771747337</v>
      </c>
    </row>
    <row r="139" spans="1:4">
      <c r="A139">
        <v>0</v>
      </c>
      <c r="B139">
        <v>0</v>
      </c>
      <c r="C139">
        <v>0</v>
      </c>
      <c r="D139">
        <v>91.970168005492638</v>
      </c>
    </row>
    <row r="140" spans="1:4">
      <c r="A140">
        <v>0</v>
      </c>
      <c r="B140">
        <v>0</v>
      </c>
      <c r="C140">
        <v>0</v>
      </c>
      <c r="D140">
        <v>94.829505645016837</v>
      </c>
    </row>
    <row r="141" spans="1:4">
      <c r="A141">
        <v>0</v>
      </c>
      <c r="B141">
        <v>0</v>
      </c>
      <c r="C141">
        <v>0</v>
      </c>
      <c r="D141">
        <v>91.364740897770844</v>
      </c>
    </row>
    <row r="142" spans="1:4">
      <c r="A142">
        <v>0</v>
      </c>
      <c r="B142">
        <v>0</v>
      </c>
      <c r="C142">
        <v>0</v>
      </c>
      <c r="D142">
        <v>91.852016055716234</v>
      </c>
    </row>
    <row r="143" spans="1:4">
      <c r="A143">
        <v>0</v>
      </c>
      <c r="B143">
        <v>0</v>
      </c>
      <c r="C143">
        <v>0</v>
      </c>
      <c r="D143">
        <v>91.934000626965386</v>
      </c>
    </row>
    <row r="144" spans="1:4">
      <c r="A144">
        <v>0</v>
      </c>
      <c r="B144">
        <v>0</v>
      </c>
      <c r="C144">
        <v>0</v>
      </c>
      <c r="D144">
        <v>98.554192199560845</v>
      </c>
    </row>
    <row r="145" spans="1:4">
      <c r="A145">
        <v>0</v>
      </c>
      <c r="B145">
        <v>0</v>
      </c>
      <c r="C145">
        <v>0</v>
      </c>
      <c r="D145">
        <v>43.956696370355886</v>
      </c>
    </row>
    <row r="146" spans="1:4">
      <c r="A146">
        <v>0</v>
      </c>
      <c r="B146">
        <v>0</v>
      </c>
      <c r="C146">
        <v>0</v>
      </c>
      <c r="D146">
        <v>29.257679256566689</v>
      </c>
    </row>
    <row r="147" spans="1:4">
      <c r="A147">
        <v>0</v>
      </c>
      <c r="B147">
        <v>0</v>
      </c>
      <c r="C147">
        <v>0</v>
      </c>
      <c r="D147">
        <v>12.099977512576906</v>
      </c>
    </row>
    <row r="148" spans="1:4">
      <c r="A148">
        <v>0</v>
      </c>
      <c r="B148">
        <v>0</v>
      </c>
      <c r="C148">
        <v>0</v>
      </c>
      <c r="D148">
        <v>12.235670039940736</v>
      </c>
    </row>
    <row r="149" spans="1:4">
      <c r="A149">
        <v>0</v>
      </c>
      <c r="B149">
        <v>0</v>
      </c>
      <c r="C149">
        <v>0</v>
      </c>
      <c r="D149">
        <v>12.131779634614752</v>
      </c>
    </row>
    <row r="150" spans="1:4">
      <c r="A150">
        <v>0</v>
      </c>
      <c r="B150">
        <v>0</v>
      </c>
      <c r="C150">
        <v>0</v>
      </c>
      <c r="D150">
        <v>9.7719891736589162</v>
      </c>
    </row>
    <row r="151" spans="1:4">
      <c r="A151">
        <v>0</v>
      </c>
      <c r="B151">
        <v>0</v>
      </c>
      <c r="C151">
        <v>0</v>
      </c>
      <c r="D151">
        <v>8.5060352454096773</v>
      </c>
    </row>
    <row r="152" spans="1:4">
      <c r="A152">
        <v>0</v>
      </c>
      <c r="B152">
        <v>0</v>
      </c>
      <c r="C152">
        <v>0</v>
      </c>
      <c r="D152">
        <v>12.271104934980231</v>
      </c>
    </row>
    <row r="153" spans="1:4">
      <c r="A153">
        <v>0</v>
      </c>
      <c r="B153">
        <v>0</v>
      </c>
      <c r="C153">
        <v>0</v>
      </c>
      <c r="D153">
        <v>12.241692234400681</v>
      </c>
    </row>
    <row r="154" spans="1:4">
      <c r="A154">
        <v>0</v>
      </c>
      <c r="B154">
        <v>0</v>
      </c>
      <c r="C154">
        <v>0</v>
      </c>
      <c r="D154">
        <v>12.250225022297146</v>
      </c>
    </row>
    <row r="155" spans="1:4">
      <c r="A155">
        <v>0</v>
      </c>
      <c r="B155">
        <v>0</v>
      </c>
      <c r="C155">
        <v>0</v>
      </c>
      <c r="D155">
        <v>12.016752325025301</v>
      </c>
    </row>
    <row r="156" spans="1:4">
      <c r="A156">
        <v>0</v>
      </c>
      <c r="B156">
        <v>0</v>
      </c>
      <c r="C156">
        <v>0</v>
      </c>
      <c r="D156">
        <v>12.250578851213952</v>
      </c>
    </row>
    <row r="157" spans="1:4">
      <c r="A157">
        <v>0</v>
      </c>
      <c r="B157">
        <v>0</v>
      </c>
      <c r="C157">
        <v>0</v>
      </c>
      <c r="D157">
        <v>-13.516057949797105</v>
      </c>
    </row>
    <row r="158" spans="1:4">
      <c r="A158">
        <v>0</v>
      </c>
      <c r="B158">
        <v>0</v>
      </c>
      <c r="C158">
        <v>0</v>
      </c>
      <c r="D158">
        <v>104.30207837856092</v>
      </c>
    </row>
    <row r="159" spans="1:4">
      <c r="A159">
        <v>0</v>
      </c>
      <c r="B159">
        <v>0</v>
      </c>
      <c r="C159">
        <v>0</v>
      </c>
      <c r="D159">
        <v>88.432387594325803</v>
      </c>
    </row>
    <row r="160" spans="1:4">
      <c r="A160">
        <v>0</v>
      </c>
      <c r="B160">
        <v>0</v>
      </c>
      <c r="C160">
        <v>0</v>
      </c>
      <c r="D160">
        <v>14.174947375437227</v>
      </c>
    </row>
    <row r="161" spans="1:4">
      <c r="A161">
        <v>0</v>
      </c>
      <c r="B161">
        <v>0</v>
      </c>
      <c r="C161">
        <v>0</v>
      </c>
      <c r="D161">
        <v>14.135294828774512</v>
      </c>
    </row>
    <row r="162" spans="1:4">
      <c r="A162">
        <v>0</v>
      </c>
      <c r="B162">
        <v>0</v>
      </c>
      <c r="C162">
        <v>0</v>
      </c>
      <c r="D162">
        <v>14.134782111126249</v>
      </c>
    </row>
    <row r="163" spans="1:4">
      <c r="A163">
        <v>0</v>
      </c>
      <c r="B163">
        <v>0</v>
      </c>
      <c r="C163">
        <v>0</v>
      </c>
      <c r="D163">
        <v>14.139536368228796</v>
      </c>
    </row>
    <row r="164" spans="1:4">
      <c r="A164">
        <v>0</v>
      </c>
      <c r="B164">
        <v>0</v>
      </c>
      <c r="C164">
        <v>0</v>
      </c>
      <c r="D164">
        <v>14.136336751604993</v>
      </c>
    </row>
    <row r="165" spans="1:4">
      <c r="A165">
        <v>0</v>
      </c>
      <c r="B165">
        <v>0</v>
      </c>
      <c r="C165">
        <v>0</v>
      </c>
      <c r="D165">
        <v>12.25215197388704</v>
      </c>
    </row>
    <row r="166" spans="1:4">
      <c r="A166">
        <v>0</v>
      </c>
      <c r="B166">
        <v>0</v>
      </c>
      <c r="C166">
        <v>0</v>
      </c>
      <c r="D166">
        <v>11.068606216216402</v>
      </c>
    </row>
    <row r="167" spans="1:4">
      <c r="A167">
        <v>0</v>
      </c>
      <c r="B167">
        <v>0</v>
      </c>
      <c r="C167">
        <v>0</v>
      </c>
      <c r="D167">
        <v>11.101318812721139</v>
      </c>
    </row>
    <row r="168" spans="1:4">
      <c r="A168">
        <v>0</v>
      </c>
      <c r="B168">
        <v>0</v>
      </c>
      <c r="C168">
        <v>0</v>
      </c>
      <c r="D168">
        <v>12.246402752031898</v>
      </c>
    </row>
    <row r="169" spans="1:4">
      <c r="A169">
        <v>0</v>
      </c>
      <c r="B169">
        <v>0</v>
      </c>
      <c r="C169">
        <v>0</v>
      </c>
      <c r="D169">
        <v>13.03768082251559</v>
      </c>
    </row>
    <row r="170" spans="1:4">
      <c r="A170">
        <v>0</v>
      </c>
      <c r="B170">
        <v>0</v>
      </c>
      <c r="C170">
        <v>0</v>
      </c>
      <c r="D170">
        <v>10.939296160162357</v>
      </c>
    </row>
    <row r="171" spans="1:4">
      <c r="A171">
        <v>0</v>
      </c>
      <c r="B171">
        <v>0</v>
      </c>
      <c r="C171">
        <v>0</v>
      </c>
      <c r="D171">
        <v>-10.693900026892202</v>
      </c>
    </row>
    <row r="172" spans="1:4">
      <c r="A172">
        <v>0</v>
      </c>
      <c r="B172">
        <v>0</v>
      </c>
      <c r="C172">
        <v>0</v>
      </c>
      <c r="D172">
        <v>49.582104053318218</v>
      </c>
    </row>
    <row r="173" spans="1:4">
      <c r="A173">
        <v>0</v>
      </c>
      <c r="B173">
        <v>0</v>
      </c>
      <c r="C173">
        <v>0</v>
      </c>
      <c r="D173">
        <v>27.887819144180057</v>
      </c>
    </row>
    <row r="174" spans="1:4">
      <c r="A174">
        <v>0</v>
      </c>
      <c r="B174">
        <v>0</v>
      </c>
      <c r="C174">
        <v>0</v>
      </c>
      <c r="D174">
        <v>42.947903980889251</v>
      </c>
    </row>
    <row r="175" spans="1:4">
      <c r="A175">
        <v>0</v>
      </c>
      <c r="B175">
        <v>0</v>
      </c>
      <c r="C175">
        <v>0</v>
      </c>
      <c r="D175">
        <v>43.614399530439556</v>
      </c>
    </row>
    <row r="176" spans="1:4">
      <c r="A176">
        <v>0</v>
      </c>
      <c r="B176">
        <v>0</v>
      </c>
      <c r="C176">
        <v>0</v>
      </c>
      <c r="D176">
        <v>31.936603462463101</v>
      </c>
    </row>
    <row r="177" spans="1:4">
      <c r="A177">
        <v>0</v>
      </c>
      <c r="B177">
        <v>0</v>
      </c>
      <c r="C177">
        <v>0</v>
      </c>
      <c r="D177">
        <v>31.013292276557749</v>
      </c>
    </row>
    <row r="178" spans="1:4">
      <c r="A178">
        <v>0</v>
      </c>
      <c r="B178">
        <v>0</v>
      </c>
      <c r="C178">
        <v>0</v>
      </c>
      <c r="D178">
        <v>42.4371337577684</v>
      </c>
    </row>
    <row r="179" spans="1:4">
      <c r="A179">
        <v>0</v>
      </c>
      <c r="B179">
        <v>0</v>
      </c>
      <c r="C179">
        <v>0</v>
      </c>
      <c r="D179">
        <v>58.651680721521942</v>
      </c>
    </row>
    <row r="180" spans="1:4">
      <c r="A180">
        <v>0</v>
      </c>
      <c r="B180">
        <v>0</v>
      </c>
      <c r="C180">
        <v>0</v>
      </c>
      <c r="D180">
        <v>12.250954564802498</v>
      </c>
    </row>
    <row r="181" spans="1:4">
      <c r="A181">
        <v>0</v>
      </c>
      <c r="B181">
        <v>0</v>
      </c>
      <c r="C181">
        <v>0</v>
      </c>
      <c r="D181">
        <v>12.246649933966985</v>
      </c>
    </row>
    <row r="182" spans="1:4">
      <c r="A182">
        <v>0</v>
      </c>
      <c r="B182">
        <v>0</v>
      </c>
      <c r="C182">
        <v>0</v>
      </c>
      <c r="D182">
        <v>12.247592701622018</v>
      </c>
    </row>
    <row r="183" spans="1:4">
      <c r="A183">
        <v>0</v>
      </c>
      <c r="B183">
        <v>0</v>
      </c>
      <c r="C183">
        <v>0</v>
      </c>
      <c r="D183">
        <v>12.244711564745714</v>
      </c>
    </row>
    <row r="184" spans="1:4">
      <c r="A184">
        <v>0</v>
      </c>
      <c r="B184">
        <v>0</v>
      </c>
      <c r="C184">
        <v>0</v>
      </c>
      <c r="D184">
        <v>12.169361235957879</v>
      </c>
    </row>
    <row r="185" spans="1:4">
      <c r="A185">
        <v>0</v>
      </c>
      <c r="B185">
        <v>0</v>
      </c>
      <c r="C185">
        <v>0</v>
      </c>
      <c r="D185">
        <v>17.08816837257519</v>
      </c>
    </row>
    <row r="186" spans="1:4">
      <c r="A186">
        <v>0</v>
      </c>
      <c r="B186">
        <v>0</v>
      </c>
      <c r="C186">
        <v>0</v>
      </c>
      <c r="D186">
        <v>14.131992293737298</v>
      </c>
    </row>
    <row r="187" spans="1:4">
      <c r="A187">
        <v>0</v>
      </c>
      <c r="B187">
        <v>0</v>
      </c>
      <c r="C187">
        <v>0</v>
      </c>
      <c r="D187">
        <v>22.6494569983766</v>
      </c>
    </row>
    <row r="188" spans="1:4">
      <c r="A188">
        <v>0</v>
      </c>
      <c r="B188">
        <v>0</v>
      </c>
      <c r="C188">
        <v>0</v>
      </c>
      <c r="D188">
        <v>14.249607096013293</v>
      </c>
    </row>
    <row r="189" spans="1:4">
      <c r="A189">
        <v>0</v>
      </c>
      <c r="B189">
        <v>0</v>
      </c>
      <c r="C189">
        <v>0</v>
      </c>
      <c r="D189">
        <v>86.943233684553775</v>
      </c>
    </row>
    <row r="190" spans="1:4">
      <c r="A190">
        <v>0</v>
      </c>
      <c r="B190">
        <v>0</v>
      </c>
      <c r="C190">
        <v>0</v>
      </c>
      <c r="D190">
        <v>86.943210160715296</v>
      </c>
    </row>
    <row r="191" spans="1:4">
      <c r="A191">
        <v>0</v>
      </c>
      <c r="B191">
        <v>0</v>
      </c>
      <c r="C191">
        <v>0</v>
      </c>
      <c r="D191">
        <v>70.968511721993835</v>
      </c>
    </row>
    <row r="192" spans="1:4">
      <c r="A192">
        <v>0</v>
      </c>
      <c r="B192">
        <v>0</v>
      </c>
      <c r="C192">
        <v>0</v>
      </c>
      <c r="D192">
        <v>58.637631739778328</v>
      </c>
    </row>
    <row r="193" spans="1:4">
      <c r="A193">
        <v>0</v>
      </c>
      <c r="B193">
        <v>0</v>
      </c>
      <c r="C193">
        <v>0</v>
      </c>
      <c r="D193">
        <v>15.542488099976765</v>
      </c>
    </row>
    <row r="194" spans="1:4">
      <c r="A194">
        <v>0</v>
      </c>
      <c r="B194">
        <v>0</v>
      </c>
      <c r="C194">
        <v>0</v>
      </c>
      <c r="D194">
        <v>101.70263337369747</v>
      </c>
    </row>
    <row r="195" spans="1:4">
      <c r="A195">
        <v>0</v>
      </c>
      <c r="B195">
        <v>0</v>
      </c>
      <c r="C195">
        <v>0</v>
      </c>
      <c r="D195">
        <v>94.358174733000254</v>
      </c>
    </row>
    <row r="196" spans="1:4">
      <c r="A196">
        <v>0</v>
      </c>
      <c r="B196">
        <v>0</v>
      </c>
      <c r="C196">
        <v>0</v>
      </c>
      <c r="D196">
        <v>45.668340453523413</v>
      </c>
    </row>
    <row r="197" spans="1:4">
      <c r="A197">
        <v>0</v>
      </c>
      <c r="B197">
        <v>0</v>
      </c>
      <c r="C197">
        <v>0</v>
      </c>
      <c r="D197">
        <v>14.203805669572276</v>
      </c>
    </row>
    <row r="198" spans="1:4">
      <c r="A198">
        <v>0</v>
      </c>
      <c r="B198">
        <v>0</v>
      </c>
      <c r="C198">
        <v>0</v>
      </c>
      <c r="D198">
        <v>14.263576625404653</v>
      </c>
    </row>
    <row r="199" spans="1:4">
      <c r="A199">
        <v>0</v>
      </c>
      <c r="B199">
        <v>0</v>
      </c>
      <c r="C199">
        <v>0</v>
      </c>
      <c r="D199">
        <v>65.125254714188344</v>
      </c>
    </row>
    <row r="200" spans="1:4">
      <c r="A200">
        <v>0</v>
      </c>
      <c r="B200">
        <v>0</v>
      </c>
      <c r="C200">
        <v>0</v>
      </c>
      <c r="D200">
        <v>73.532023443248917</v>
      </c>
    </row>
    <row r="201" spans="1:4">
      <c r="A201">
        <v>0</v>
      </c>
      <c r="B201">
        <v>0</v>
      </c>
      <c r="C201">
        <v>0</v>
      </c>
      <c r="D201">
        <v>86.818209846648642</v>
      </c>
    </row>
    <row r="202" spans="1:4">
      <c r="A202">
        <v>0</v>
      </c>
      <c r="B202">
        <v>0</v>
      </c>
      <c r="C202">
        <v>0</v>
      </c>
      <c r="D202">
        <v>71.085707427220882</v>
      </c>
    </row>
    <row r="203" spans="1:4">
      <c r="A203">
        <v>0</v>
      </c>
      <c r="B203">
        <v>0</v>
      </c>
      <c r="C203">
        <v>0</v>
      </c>
      <c r="D203">
        <v>71.093681265352956</v>
      </c>
    </row>
    <row r="204" spans="1:4">
      <c r="A204">
        <v>0</v>
      </c>
      <c r="B204">
        <v>0</v>
      </c>
      <c r="C204">
        <v>0</v>
      </c>
      <c r="D204">
        <v>28.813787257833795</v>
      </c>
    </row>
    <row r="205" spans="1:4">
      <c r="A205">
        <v>0</v>
      </c>
      <c r="B205">
        <v>0</v>
      </c>
      <c r="C205">
        <v>0</v>
      </c>
      <c r="D205">
        <v>104.09111707810118</v>
      </c>
    </row>
    <row r="206" spans="1:4">
      <c r="A206">
        <v>0</v>
      </c>
      <c r="B206">
        <v>0</v>
      </c>
      <c r="C206">
        <v>0</v>
      </c>
      <c r="D206">
        <v>9.489882029498645</v>
      </c>
    </row>
    <row r="207" spans="1:4">
      <c r="A207">
        <v>0</v>
      </c>
      <c r="B207">
        <v>0</v>
      </c>
      <c r="C207">
        <v>0</v>
      </c>
      <c r="D207">
        <v>9.4893861689950683</v>
      </c>
    </row>
    <row r="208" spans="1:4">
      <c r="A208">
        <v>0</v>
      </c>
      <c r="B208">
        <v>0</v>
      </c>
      <c r="C208">
        <v>0</v>
      </c>
      <c r="D208">
        <v>9.4891570057996901</v>
      </c>
    </row>
    <row r="209" spans="1:4">
      <c r="A209">
        <v>0</v>
      </c>
      <c r="B209">
        <v>0</v>
      </c>
      <c r="C209">
        <v>0</v>
      </c>
      <c r="D209">
        <v>9.4891317980899856</v>
      </c>
    </row>
    <row r="210" spans="1:4">
      <c r="A210">
        <v>0</v>
      </c>
      <c r="B210">
        <v>0</v>
      </c>
      <c r="C210">
        <v>0</v>
      </c>
      <c r="D210">
        <v>9.4892014676976117</v>
      </c>
    </row>
    <row r="211" spans="1:4">
      <c r="A211">
        <v>0</v>
      </c>
      <c r="B211">
        <v>0</v>
      </c>
      <c r="C211">
        <v>0</v>
      </c>
      <c r="D211">
        <v>71.235511677522894</v>
      </c>
    </row>
    <row r="212" spans="1:4">
      <c r="A212">
        <v>0</v>
      </c>
      <c r="B212">
        <v>0</v>
      </c>
      <c r="C212">
        <v>0</v>
      </c>
      <c r="D212">
        <v>86.605755726310676</v>
      </c>
    </row>
    <row r="213" spans="1:4">
      <c r="A213">
        <v>0</v>
      </c>
      <c r="B213">
        <v>0</v>
      </c>
      <c r="C213">
        <v>0</v>
      </c>
      <c r="D213">
        <v>18.657705275005831</v>
      </c>
    </row>
    <row r="214" spans="1:4">
      <c r="A214">
        <v>0</v>
      </c>
      <c r="B214">
        <v>0</v>
      </c>
      <c r="C214">
        <v>0</v>
      </c>
      <c r="D214">
        <v>18.544980563721481</v>
      </c>
    </row>
    <row r="215" spans="1:4">
      <c r="A215">
        <v>0</v>
      </c>
      <c r="B215">
        <v>0</v>
      </c>
      <c r="C215">
        <v>0</v>
      </c>
      <c r="D215">
        <v>18.399252155654509</v>
      </c>
    </row>
    <row r="216" spans="1:4">
      <c r="A216">
        <v>0</v>
      </c>
      <c r="B216">
        <v>0</v>
      </c>
      <c r="C216">
        <v>0</v>
      </c>
      <c r="D216">
        <v>12.618188871758157</v>
      </c>
    </row>
    <row r="217" spans="1:4">
      <c r="A217">
        <v>0</v>
      </c>
      <c r="B217">
        <v>0</v>
      </c>
      <c r="C217">
        <v>0</v>
      </c>
      <c r="D217">
        <v>103.71375861579649</v>
      </c>
    </row>
    <row r="218" spans="1:4">
      <c r="A218">
        <v>0</v>
      </c>
      <c r="B218">
        <v>0</v>
      </c>
      <c r="C218">
        <v>0</v>
      </c>
      <c r="D218">
        <v>77.910704403346756</v>
      </c>
    </row>
    <row r="219" spans="1:4">
      <c r="A219">
        <v>0</v>
      </c>
      <c r="B219">
        <v>0</v>
      </c>
      <c r="C219">
        <v>0</v>
      </c>
      <c r="D219">
        <v>77.888982724982696</v>
      </c>
    </row>
    <row r="220" spans="1:4">
      <c r="A220">
        <v>0</v>
      </c>
      <c r="B220">
        <v>0</v>
      </c>
      <c r="C220">
        <v>0</v>
      </c>
      <c r="D220">
        <v>9.1909393469198903</v>
      </c>
    </row>
    <row r="221" spans="1:4">
      <c r="A221">
        <v>0</v>
      </c>
      <c r="B221">
        <v>0</v>
      </c>
      <c r="C221">
        <v>0</v>
      </c>
      <c r="D221">
        <v>3.4498762983670654</v>
      </c>
    </row>
    <row r="222" spans="1:4">
      <c r="A222">
        <v>0</v>
      </c>
      <c r="B222">
        <v>0</v>
      </c>
      <c r="C222">
        <v>0</v>
      </c>
      <c r="D222">
        <v>9.4899795688722151</v>
      </c>
    </row>
    <row r="223" spans="1:4">
      <c r="A223">
        <v>0</v>
      </c>
      <c r="B223">
        <v>0</v>
      </c>
      <c r="C223">
        <v>0</v>
      </c>
      <c r="D223">
        <v>9.4753719126514397</v>
      </c>
    </row>
    <row r="224" spans="1:4">
      <c r="A224">
        <v>0</v>
      </c>
      <c r="B224">
        <v>0</v>
      </c>
      <c r="C224">
        <v>0</v>
      </c>
      <c r="D224">
        <v>9.3752396893854666</v>
      </c>
    </row>
    <row r="225" spans="1:4">
      <c r="A225">
        <v>0</v>
      </c>
      <c r="B225">
        <v>0</v>
      </c>
      <c r="C225">
        <v>0</v>
      </c>
      <c r="D225">
        <v>9.4481544224437926</v>
      </c>
    </row>
    <row r="226" spans="1:4">
      <c r="A226">
        <v>0</v>
      </c>
      <c r="B226">
        <v>0</v>
      </c>
      <c r="C226">
        <v>0</v>
      </c>
      <c r="D226">
        <v>9.4959274531874485</v>
      </c>
    </row>
    <row r="227" spans="1:4">
      <c r="A227">
        <v>0</v>
      </c>
      <c r="B227">
        <v>0</v>
      </c>
      <c r="C227">
        <v>0</v>
      </c>
      <c r="D227">
        <v>9.4890788557232284</v>
      </c>
    </row>
    <row r="228" spans="1:4">
      <c r="A228">
        <v>0</v>
      </c>
      <c r="B228">
        <v>0</v>
      </c>
      <c r="C228">
        <v>0</v>
      </c>
      <c r="D228">
        <v>9.4891298151396839</v>
      </c>
    </row>
    <row r="229" spans="1:4">
      <c r="A229">
        <v>0</v>
      </c>
      <c r="B229">
        <v>0</v>
      </c>
      <c r="C229">
        <v>0</v>
      </c>
      <c r="D229">
        <v>9.489425887635889</v>
      </c>
    </row>
    <row r="230" spans="1:4">
      <c r="A230">
        <v>0</v>
      </c>
      <c r="B230">
        <v>0</v>
      </c>
      <c r="C230">
        <v>0</v>
      </c>
      <c r="D230">
        <v>9.4890559094749705</v>
      </c>
    </row>
    <row r="231" spans="1:4">
      <c r="A231">
        <v>0</v>
      </c>
      <c r="B231">
        <v>0</v>
      </c>
      <c r="C231">
        <v>0</v>
      </c>
      <c r="D231">
        <v>9.4890492377326794</v>
      </c>
    </row>
    <row r="232" spans="1:4">
      <c r="A232">
        <v>0</v>
      </c>
      <c r="B232">
        <v>0</v>
      </c>
      <c r="C232">
        <v>0</v>
      </c>
      <c r="D232">
        <v>9.4890572196228646</v>
      </c>
    </row>
    <row r="233" spans="1:4">
      <c r="A233">
        <v>0</v>
      </c>
      <c r="B233">
        <v>0</v>
      </c>
      <c r="C233">
        <v>0</v>
      </c>
      <c r="D233">
        <v>9.4889904275057262</v>
      </c>
    </row>
    <row r="234" spans="1:4">
      <c r="A234">
        <v>0</v>
      </c>
      <c r="B234">
        <v>0</v>
      </c>
      <c r="C234">
        <v>0</v>
      </c>
      <c r="D234">
        <v>29.376941436499365</v>
      </c>
    </row>
    <row r="235" spans="1:4">
      <c r="A235">
        <v>0</v>
      </c>
      <c r="B235">
        <v>0</v>
      </c>
      <c r="C235">
        <v>0</v>
      </c>
      <c r="D235">
        <v>35.280298301342981</v>
      </c>
    </row>
    <row r="236" spans="1:4">
      <c r="A236">
        <v>0</v>
      </c>
      <c r="B236">
        <v>0</v>
      </c>
      <c r="C236">
        <v>0</v>
      </c>
      <c r="D236">
        <v>29.334932756732542</v>
      </c>
    </row>
    <row r="237" spans="1:4">
      <c r="A237">
        <v>0</v>
      </c>
      <c r="B237">
        <v>0</v>
      </c>
      <c r="C237">
        <v>0</v>
      </c>
      <c r="D237">
        <v>58.123127128091156</v>
      </c>
    </row>
    <row r="238" spans="1:4">
      <c r="A238">
        <v>0</v>
      </c>
      <c r="B238">
        <v>0</v>
      </c>
      <c r="C238">
        <v>0</v>
      </c>
      <c r="D238">
        <v>12.248637913927409</v>
      </c>
    </row>
    <row r="239" spans="1:4">
      <c r="A239">
        <v>0</v>
      </c>
      <c r="B239">
        <v>0</v>
      </c>
      <c r="C239">
        <v>0</v>
      </c>
      <c r="D239">
        <v>25.749393397193721</v>
      </c>
    </row>
    <row r="240" spans="1:4">
      <c r="A240">
        <v>0</v>
      </c>
      <c r="B240">
        <v>0</v>
      </c>
      <c r="C240">
        <v>0</v>
      </c>
      <c r="D240">
        <v>11.511500317396981</v>
      </c>
    </row>
    <row r="241" spans="1:4">
      <c r="A241">
        <v>0</v>
      </c>
      <c r="B241">
        <v>0</v>
      </c>
      <c r="C241">
        <v>0</v>
      </c>
      <c r="D241">
        <v>-12.82374653220764</v>
      </c>
    </row>
    <row r="242" spans="1:4">
      <c r="A242">
        <v>0</v>
      </c>
      <c r="B242">
        <v>0</v>
      </c>
      <c r="C242">
        <v>0</v>
      </c>
      <c r="D242">
        <v>91.724480660075471</v>
      </c>
    </row>
    <row r="243" spans="1:4">
      <c r="A243">
        <v>0</v>
      </c>
      <c r="B243">
        <v>0</v>
      </c>
      <c r="C243">
        <v>0</v>
      </c>
      <c r="D243">
        <v>93.636228476833963</v>
      </c>
    </row>
    <row r="244" spans="1:4">
      <c r="A244">
        <v>0</v>
      </c>
      <c r="B244">
        <v>0</v>
      </c>
      <c r="C244">
        <v>0</v>
      </c>
      <c r="D244">
        <v>88.922882971998078</v>
      </c>
    </row>
    <row r="245" spans="1:4">
      <c r="A245">
        <v>0</v>
      </c>
      <c r="B245">
        <v>0</v>
      </c>
      <c r="C245">
        <v>0</v>
      </c>
      <c r="D245">
        <v>39.919876046831092</v>
      </c>
    </row>
    <row r="246" spans="1:4">
      <c r="A246">
        <v>0</v>
      </c>
      <c r="B246">
        <v>0</v>
      </c>
      <c r="C246">
        <v>0</v>
      </c>
      <c r="D246">
        <v>67.985711705115548</v>
      </c>
    </row>
    <row r="247" spans="1:4">
      <c r="A247">
        <v>0</v>
      </c>
      <c r="B247">
        <v>0</v>
      </c>
      <c r="C247">
        <v>0</v>
      </c>
      <c r="D247">
        <v>82.336382674937994</v>
      </c>
    </row>
    <row r="248" spans="1:4">
      <c r="A248">
        <v>0</v>
      </c>
      <c r="B248">
        <v>0</v>
      </c>
      <c r="C248">
        <v>0</v>
      </c>
      <c r="D248">
        <v>82.222907079174234</v>
      </c>
    </row>
    <row r="249" spans="1:4">
      <c r="A249">
        <v>0</v>
      </c>
      <c r="B249">
        <v>0</v>
      </c>
      <c r="C249">
        <v>0</v>
      </c>
      <c r="D249">
        <v>9.6097760437528734</v>
      </c>
    </row>
    <row r="250" spans="1:4">
      <c r="A250">
        <v>0</v>
      </c>
      <c r="B250">
        <v>0</v>
      </c>
      <c r="C250">
        <v>0</v>
      </c>
      <c r="D250">
        <v>66.421745663882263</v>
      </c>
    </row>
    <row r="251" spans="1:4">
      <c r="A251">
        <v>0</v>
      </c>
      <c r="B251">
        <v>0</v>
      </c>
      <c r="C251">
        <v>0</v>
      </c>
      <c r="D251">
        <v>9.5008791033617896</v>
      </c>
    </row>
    <row r="252" spans="1:4">
      <c r="A252">
        <v>0</v>
      </c>
      <c r="B252">
        <v>0</v>
      </c>
      <c r="C252">
        <v>0</v>
      </c>
      <c r="D252">
        <v>31.531220798372146</v>
      </c>
    </row>
    <row r="253" spans="1:4">
      <c r="A253">
        <v>0</v>
      </c>
      <c r="B253">
        <v>0</v>
      </c>
      <c r="C253">
        <v>0</v>
      </c>
      <c r="D253">
        <v>10.517640023924869</v>
      </c>
    </row>
    <row r="254" spans="1:4">
      <c r="A254">
        <v>0</v>
      </c>
      <c r="B254">
        <v>0</v>
      </c>
      <c r="C254">
        <v>0</v>
      </c>
      <c r="D254">
        <v>9.4891737919129326</v>
      </c>
    </row>
    <row r="255" spans="1:4">
      <c r="A255">
        <v>0</v>
      </c>
      <c r="B255">
        <v>0</v>
      </c>
      <c r="C255">
        <v>0</v>
      </c>
      <c r="D255">
        <v>9.4890571912018018</v>
      </c>
    </row>
    <row r="256" spans="1:4">
      <c r="A256">
        <v>0</v>
      </c>
      <c r="B256">
        <v>0</v>
      </c>
      <c r="C256">
        <v>0</v>
      </c>
      <c r="D256">
        <v>9.4890571896993947</v>
      </c>
    </row>
    <row r="257" spans="1:4">
      <c r="A257">
        <v>0</v>
      </c>
      <c r="B257">
        <v>0</v>
      </c>
      <c r="C257">
        <v>0</v>
      </c>
      <c r="D257">
        <v>9.4890571906514793</v>
      </c>
    </row>
    <row r="258" spans="1:4">
      <c r="A258">
        <v>0</v>
      </c>
      <c r="B258">
        <v>0</v>
      </c>
      <c r="C258">
        <v>0</v>
      </c>
      <c r="D258">
        <v>89.046077316756779</v>
      </c>
    </row>
    <row r="259" spans="1:4">
      <c r="A259">
        <v>0</v>
      </c>
      <c r="B259">
        <v>0</v>
      </c>
      <c r="C259">
        <v>0</v>
      </c>
      <c r="D259">
        <v>88.559957651420476</v>
      </c>
    </row>
    <row r="260" spans="1:4">
      <c r="A260">
        <v>0</v>
      </c>
      <c r="B260">
        <v>0</v>
      </c>
      <c r="C260">
        <v>0</v>
      </c>
      <c r="D260">
        <v>89.085158245606436</v>
      </c>
    </row>
    <row r="261" spans="1:4">
      <c r="A261">
        <v>0</v>
      </c>
      <c r="B261">
        <v>0</v>
      </c>
      <c r="C261">
        <v>0</v>
      </c>
      <c r="D261">
        <v>91.183512270656522</v>
      </c>
    </row>
    <row r="262" spans="1:4">
      <c r="A262">
        <v>0</v>
      </c>
      <c r="B262">
        <v>0</v>
      </c>
      <c r="C262">
        <v>0</v>
      </c>
      <c r="D262">
        <v>89.343194136558054</v>
      </c>
    </row>
    <row r="263" spans="1:4">
      <c r="A263">
        <v>0</v>
      </c>
      <c r="B263">
        <v>0</v>
      </c>
      <c r="C263">
        <v>0</v>
      </c>
      <c r="D263">
        <v>90.424209769248762</v>
      </c>
    </row>
    <row r="264" spans="1:4">
      <c r="A264">
        <v>0</v>
      </c>
      <c r="B264">
        <v>0</v>
      </c>
      <c r="C264">
        <v>0</v>
      </c>
      <c r="D264">
        <v>14.131762855379266</v>
      </c>
    </row>
    <row r="265" spans="1:4">
      <c r="A265">
        <v>0</v>
      </c>
      <c r="B265">
        <v>0</v>
      </c>
      <c r="C265">
        <v>0</v>
      </c>
      <c r="D265">
        <v>57.387899654977815</v>
      </c>
    </row>
    <row r="266" spans="1:4">
      <c r="A266">
        <v>0</v>
      </c>
      <c r="B266">
        <v>0</v>
      </c>
      <c r="C266">
        <v>0</v>
      </c>
      <c r="D266">
        <v>58.65023544028746</v>
      </c>
    </row>
    <row r="267" spans="1:4">
      <c r="A267">
        <v>0</v>
      </c>
      <c r="B267">
        <v>0</v>
      </c>
      <c r="C267">
        <v>0</v>
      </c>
      <c r="D267">
        <v>58.646831996487634</v>
      </c>
    </row>
    <row r="268" spans="1:4">
      <c r="A268">
        <v>0</v>
      </c>
      <c r="B268">
        <v>0</v>
      </c>
      <c r="C268">
        <v>0</v>
      </c>
      <c r="D268">
        <v>54.231691607958425</v>
      </c>
    </row>
    <row r="269" spans="1:4">
      <c r="A269">
        <v>0</v>
      </c>
      <c r="B269">
        <v>0</v>
      </c>
      <c r="C269">
        <v>0</v>
      </c>
      <c r="D269">
        <v>12.071277107679713</v>
      </c>
    </row>
    <row r="270" spans="1:4">
      <c r="A270">
        <v>0</v>
      </c>
      <c r="B270">
        <v>0</v>
      </c>
      <c r="C270">
        <v>0</v>
      </c>
      <c r="D270">
        <v>3.8871541567922132</v>
      </c>
    </row>
    <row r="271" spans="1:4">
      <c r="A271">
        <v>0</v>
      </c>
      <c r="B271">
        <v>0</v>
      </c>
      <c r="C271">
        <v>0</v>
      </c>
      <c r="D271">
        <v>-6.5554911839082521</v>
      </c>
    </row>
    <row r="272" spans="1:4">
      <c r="A272">
        <v>0</v>
      </c>
      <c r="B272">
        <v>0</v>
      </c>
      <c r="C272">
        <v>0</v>
      </c>
      <c r="D272">
        <v>-13.301393935310664</v>
      </c>
    </row>
    <row r="273" spans="1:4">
      <c r="A273">
        <v>0</v>
      </c>
      <c r="B273">
        <v>0</v>
      </c>
      <c r="C273">
        <v>0</v>
      </c>
      <c r="D273">
        <v>10.8823044083273</v>
      </c>
    </row>
    <row r="274" spans="1:4">
      <c r="A274">
        <v>0</v>
      </c>
      <c r="B274">
        <v>0</v>
      </c>
      <c r="C274">
        <v>0</v>
      </c>
      <c r="D274">
        <v>12.260440267577692</v>
      </c>
    </row>
    <row r="275" spans="1:4">
      <c r="A275">
        <v>0</v>
      </c>
      <c r="B275">
        <v>0</v>
      </c>
      <c r="C275">
        <v>0</v>
      </c>
      <c r="D275">
        <v>12.033070862880734</v>
      </c>
    </row>
    <row r="276" spans="1:4">
      <c r="A276">
        <v>0</v>
      </c>
      <c r="B276">
        <v>0</v>
      </c>
      <c r="C276">
        <v>0</v>
      </c>
      <c r="D276">
        <v>42.399597038126913</v>
      </c>
    </row>
    <row r="277" spans="1:4">
      <c r="A277">
        <v>0</v>
      </c>
      <c r="B277">
        <v>0</v>
      </c>
      <c r="C277">
        <v>0</v>
      </c>
      <c r="D277">
        <v>22.307499996905769</v>
      </c>
    </row>
    <row r="278" spans="1:4">
      <c r="A278">
        <v>0</v>
      </c>
      <c r="B278">
        <v>0</v>
      </c>
      <c r="C278">
        <v>0</v>
      </c>
      <c r="D278">
        <v>-0.79441956809197123</v>
      </c>
    </row>
    <row r="279" spans="1:4">
      <c r="A279">
        <v>0</v>
      </c>
      <c r="B279">
        <v>0</v>
      </c>
      <c r="C279">
        <v>0</v>
      </c>
      <c r="D279">
        <v>-1.074262484700153</v>
      </c>
    </row>
    <row r="280" spans="1:4">
      <c r="A280">
        <v>0</v>
      </c>
      <c r="B280">
        <v>0</v>
      </c>
      <c r="C280">
        <v>0</v>
      </c>
      <c r="D280">
        <v>7.1523168540660365</v>
      </c>
    </row>
    <row r="281" spans="1:4">
      <c r="A281">
        <v>0</v>
      </c>
      <c r="B281">
        <v>0</v>
      </c>
      <c r="C281">
        <v>0</v>
      </c>
      <c r="D281">
        <v>5.8575753095389658</v>
      </c>
    </row>
    <row r="282" spans="1:4">
      <c r="A282">
        <v>0</v>
      </c>
      <c r="B282">
        <v>0</v>
      </c>
      <c r="C282">
        <v>0</v>
      </c>
      <c r="D282">
        <v>4.300299785135131</v>
      </c>
    </row>
    <row r="283" spans="1:4">
      <c r="A283">
        <v>0</v>
      </c>
      <c r="B283">
        <v>0</v>
      </c>
      <c r="C283">
        <v>0</v>
      </c>
      <c r="D283">
        <v>4.7331271662805534</v>
      </c>
    </row>
    <row r="284" spans="1:4">
      <c r="A284">
        <v>0</v>
      </c>
      <c r="B284">
        <v>0</v>
      </c>
      <c r="C284">
        <v>0</v>
      </c>
      <c r="D284">
        <v>87.369597121785461</v>
      </c>
    </row>
    <row r="285" spans="1:4">
      <c r="A285">
        <v>0</v>
      </c>
      <c r="B285">
        <v>0</v>
      </c>
      <c r="C285">
        <v>0</v>
      </c>
      <c r="D285">
        <v>34.314999192393373</v>
      </c>
    </row>
    <row r="286" spans="1:4">
      <c r="A286">
        <v>0</v>
      </c>
      <c r="B286">
        <v>0</v>
      </c>
      <c r="C286">
        <v>0</v>
      </c>
      <c r="D286">
        <v>50.952400071256434</v>
      </c>
    </row>
    <row r="287" spans="1:4">
      <c r="A287">
        <v>0</v>
      </c>
      <c r="B287">
        <v>0</v>
      </c>
      <c r="C287">
        <v>0</v>
      </c>
      <c r="D287">
        <v>71.075580045598059</v>
      </c>
    </row>
    <row r="288" spans="1:4">
      <c r="A288">
        <v>0</v>
      </c>
      <c r="B288">
        <v>0</v>
      </c>
      <c r="C288">
        <v>0</v>
      </c>
      <c r="D288">
        <v>88.749374147619548</v>
      </c>
    </row>
    <row r="289" spans="1:4">
      <c r="A289">
        <v>0</v>
      </c>
      <c r="B289">
        <v>0</v>
      </c>
      <c r="C289">
        <v>0</v>
      </c>
      <c r="D289">
        <v>12.249392604357546</v>
      </c>
    </row>
    <row r="290" spans="1:4">
      <c r="A290">
        <v>0</v>
      </c>
      <c r="B290">
        <v>0</v>
      </c>
      <c r="C290">
        <v>0</v>
      </c>
      <c r="D290">
        <v>5.4553891712314169</v>
      </c>
    </row>
    <row r="291" spans="1:4">
      <c r="A291">
        <v>0</v>
      </c>
      <c r="B291">
        <v>0</v>
      </c>
      <c r="C291">
        <v>0</v>
      </c>
      <c r="D291">
        <v>7.6506568893847984</v>
      </c>
    </row>
    <row r="292" spans="1:4">
      <c r="A292">
        <v>0</v>
      </c>
      <c r="B292">
        <v>0</v>
      </c>
      <c r="C292">
        <v>0</v>
      </c>
      <c r="D292">
        <v>8.1120909951205675</v>
      </c>
    </row>
    <row r="293" spans="1:4">
      <c r="A293">
        <v>0</v>
      </c>
      <c r="B293">
        <v>0</v>
      </c>
      <c r="C293">
        <v>0</v>
      </c>
      <c r="D293">
        <v>11.298357688085012</v>
      </c>
    </row>
    <row r="294" spans="1:4">
      <c r="A294">
        <v>0</v>
      </c>
      <c r="B294">
        <v>0</v>
      </c>
      <c r="C294">
        <v>0</v>
      </c>
      <c r="D294">
        <v>37.106897866777743</v>
      </c>
    </row>
    <row r="295" spans="1:4">
      <c r="A295">
        <v>0</v>
      </c>
      <c r="B295">
        <v>0</v>
      </c>
      <c r="C295">
        <v>0</v>
      </c>
      <c r="D295">
        <v>54.878174088319611</v>
      </c>
    </row>
    <row r="296" spans="1:4">
      <c r="A296">
        <v>0</v>
      </c>
      <c r="B296">
        <v>0</v>
      </c>
      <c r="C296">
        <v>0</v>
      </c>
      <c r="D296">
        <v>21.442464259384778</v>
      </c>
    </row>
    <row r="297" spans="1:4">
      <c r="A297">
        <v>0</v>
      </c>
      <c r="B297">
        <v>0</v>
      </c>
      <c r="C297">
        <v>0</v>
      </c>
      <c r="D297">
        <v>30.000193427217923</v>
      </c>
    </row>
    <row r="298" spans="1:4">
      <c r="A298">
        <v>0</v>
      </c>
      <c r="B298">
        <v>0</v>
      </c>
      <c r="C298">
        <v>0</v>
      </c>
      <c r="D298">
        <v>29.768451766951088</v>
      </c>
    </row>
    <row r="299" spans="1:4">
      <c r="A299">
        <v>0</v>
      </c>
      <c r="B299">
        <v>0</v>
      </c>
      <c r="C299">
        <v>0</v>
      </c>
      <c r="D299">
        <v>14.151920435391169</v>
      </c>
    </row>
    <row r="300" spans="1:4">
      <c r="A300">
        <v>0</v>
      </c>
      <c r="B300">
        <v>0</v>
      </c>
      <c r="C300">
        <v>0</v>
      </c>
      <c r="D300">
        <v>9.4890571972326683</v>
      </c>
    </row>
    <row r="301" spans="1:4">
      <c r="A301">
        <v>0</v>
      </c>
      <c r="B301">
        <v>0</v>
      </c>
      <c r="C301">
        <v>0</v>
      </c>
      <c r="D301">
        <v>104.29550656667401</v>
      </c>
    </row>
    <row r="302" spans="1:4">
      <c r="A302">
        <v>0</v>
      </c>
      <c r="B302">
        <v>0</v>
      </c>
      <c r="C302">
        <v>0</v>
      </c>
      <c r="D302">
        <v>28.08781001344472</v>
      </c>
    </row>
    <row r="303" spans="1:4">
      <c r="A303">
        <v>0</v>
      </c>
      <c r="B303">
        <v>0</v>
      </c>
      <c r="C303">
        <v>0</v>
      </c>
      <c r="D303">
        <v>14.229087680768309</v>
      </c>
    </row>
    <row r="304" spans="1:4">
      <c r="A304">
        <v>0</v>
      </c>
      <c r="B304">
        <v>0</v>
      </c>
      <c r="C304">
        <v>0</v>
      </c>
      <c r="D304">
        <v>14.184208741878827</v>
      </c>
    </row>
    <row r="305" spans="1:4">
      <c r="A305">
        <v>0</v>
      </c>
      <c r="B305">
        <v>0</v>
      </c>
      <c r="C305">
        <v>0</v>
      </c>
      <c r="D305">
        <v>20.372431418913479</v>
      </c>
    </row>
    <row r="306" spans="1:4">
      <c r="A306">
        <v>0</v>
      </c>
      <c r="B306">
        <v>0</v>
      </c>
      <c r="C306">
        <v>0</v>
      </c>
      <c r="D306">
        <v>14.223911366962852</v>
      </c>
    </row>
    <row r="307" spans="1:4">
      <c r="A307">
        <v>0</v>
      </c>
      <c r="B307">
        <v>0</v>
      </c>
      <c r="C307">
        <v>0</v>
      </c>
      <c r="D307">
        <v>14.258873947841089</v>
      </c>
    </row>
    <row r="308" spans="1:4">
      <c r="A308">
        <v>0</v>
      </c>
      <c r="B308">
        <v>0</v>
      </c>
      <c r="C308">
        <v>0</v>
      </c>
      <c r="D308">
        <v>9.5088394819688205</v>
      </c>
    </row>
    <row r="309" spans="1:4">
      <c r="A309">
        <v>0</v>
      </c>
      <c r="B309">
        <v>0</v>
      </c>
      <c r="C309">
        <v>0</v>
      </c>
      <c r="D309">
        <v>9.4890606335599159</v>
      </c>
    </row>
    <row r="310" spans="1:4">
      <c r="A310">
        <v>0</v>
      </c>
      <c r="B310">
        <v>0</v>
      </c>
      <c r="C310">
        <v>0</v>
      </c>
      <c r="D310">
        <v>21.253225011487075</v>
      </c>
    </row>
    <row r="311" spans="1:4">
      <c r="A311">
        <v>0</v>
      </c>
      <c r="B311">
        <v>0</v>
      </c>
      <c r="C311">
        <v>0</v>
      </c>
      <c r="D311">
        <v>9.4890512485782921</v>
      </c>
    </row>
    <row r="312" spans="1:4">
      <c r="A312">
        <v>0</v>
      </c>
      <c r="B312">
        <v>0</v>
      </c>
      <c r="C312">
        <v>0</v>
      </c>
      <c r="D312">
        <v>9.48905142351677</v>
      </c>
    </row>
    <row r="313" spans="1:4">
      <c r="A313">
        <v>0</v>
      </c>
      <c r="B313">
        <v>0</v>
      </c>
      <c r="C313">
        <v>0</v>
      </c>
      <c r="D313">
        <v>86.946692778241783</v>
      </c>
    </row>
    <row r="314" spans="1:4">
      <c r="A314">
        <v>0</v>
      </c>
      <c r="B314">
        <v>0</v>
      </c>
      <c r="C314">
        <v>0</v>
      </c>
      <c r="D314">
        <v>14.132319485798483</v>
      </c>
    </row>
    <row r="315" spans="1:4">
      <c r="A315">
        <v>0</v>
      </c>
      <c r="B315">
        <v>0</v>
      </c>
      <c r="C315">
        <v>0</v>
      </c>
      <c r="D315">
        <v>14.131786932155144</v>
      </c>
    </row>
    <row r="316" spans="1:4">
      <c r="A316">
        <v>0</v>
      </c>
      <c r="B316">
        <v>0</v>
      </c>
      <c r="C316">
        <v>0</v>
      </c>
      <c r="D316">
        <v>14.13174499314669</v>
      </c>
    </row>
    <row r="317" spans="1:4">
      <c r="A317">
        <v>0</v>
      </c>
      <c r="B317">
        <v>0</v>
      </c>
      <c r="C317">
        <v>0</v>
      </c>
      <c r="D317">
        <v>37.328617428094844</v>
      </c>
    </row>
    <row r="318" spans="1:4">
      <c r="A318">
        <v>0</v>
      </c>
      <c r="B318">
        <v>0</v>
      </c>
      <c r="C318">
        <v>0</v>
      </c>
      <c r="D318">
        <v>9.4892987398464754</v>
      </c>
    </row>
    <row r="319" spans="1:4">
      <c r="A319">
        <v>0</v>
      </c>
      <c r="B319">
        <v>0</v>
      </c>
      <c r="C319">
        <v>0</v>
      </c>
      <c r="D319">
        <v>82.088967587745671</v>
      </c>
    </row>
    <row r="320" spans="1:4">
      <c r="A320">
        <v>0</v>
      </c>
      <c r="B320">
        <v>0</v>
      </c>
      <c r="C320">
        <v>0</v>
      </c>
      <c r="D320">
        <v>49.471729441937626</v>
      </c>
    </row>
    <row r="321" spans="1:4">
      <c r="A321">
        <v>0</v>
      </c>
      <c r="B321">
        <v>0</v>
      </c>
      <c r="C321">
        <v>0</v>
      </c>
      <c r="D321">
        <v>9.4890769832364157</v>
      </c>
    </row>
    <row r="322" spans="1:4">
      <c r="A322">
        <v>0</v>
      </c>
      <c r="B322">
        <v>0</v>
      </c>
      <c r="C322">
        <v>0</v>
      </c>
      <c r="D322">
        <v>9.4890580264649032</v>
      </c>
    </row>
    <row r="323" spans="1:4">
      <c r="A323">
        <v>0</v>
      </c>
      <c r="B323">
        <v>0</v>
      </c>
      <c r="C323">
        <v>0</v>
      </c>
      <c r="D323">
        <v>81.008057112775745</v>
      </c>
    </row>
    <row r="324" spans="1:4">
      <c r="A324">
        <v>0</v>
      </c>
      <c r="B324">
        <v>0</v>
      </c>
      <c r="C324">
        <v>0</v>
      </c>
      <c r="D324">
        <v>49.587287908887362</v>
      </c>
    </row>
    <row r="325" spans="1:4">
      <c r="A325">
        <v>0</v>
      </c>
      <c r="B325">
        <v>0</v>
      </c>
      <c r="C325">
        <v>0</v>
      </c>
      <c r="D325">
        <v>9.5447579431044645</v>
      </c>
    </row>
    <row r="326" spans="1:4">
      <c r="A326">
        <v>0</v>
      </c>
      <c r="B326">
        <v>0</v>
      </c>
      <c r="C326">
        <v>0</v>
      </c>
      <c r="D326">
        <v>9.489058104617186</v>
      </c>
    </row>
    <row r="327" spans="1:4">
      <c r="A327">
        <v>0</v>
      </c>
      <c r="B327">
        <v>0</v>
      </c>
      <c r="C327">
        <v>0</v>
      </c>
      <c r="D327">
        <v>9.4890572335607288</v>
      </c>
    </row>
    <row r="328" spans="1:4">
      <c r="A328">
        <v>0</v>
      </c>
      <c r="B328">
        <v>0</v>
      </c>
      <c r="C328">
        <v>0</v>
      </c>
      <c r="D328">
        <v>9.4890530242691042</v>
      </c>
    </row>
    <row r="329" spans="1:4">
      <c r="A329">
        <v>0</v>
      </c>
      <c r="B329">
        <v>0</v>
      </c>
      <c r="C329">
        <v>0</v>
      </c>
      <c r="D329">
        <v>9.4890518840820022</v>
      </c>
    </row>
    <row r="330" spans="1:4">
      <c r="A330">
        <v>0</v>
      </c>
      <c r="B330">
        <v>0</v>
      </c>
      <c r="C330">
        <v>0</v>
      </c>
      <c r="D330">
        <v>3.5810449105913733</v>
      </c>
    </row>
    <row r="331" spans="1:4">
      <c r="A331">
        <v>0</v>
      </c>
      <c r="B331">
        <v>0</v>
      </c>
      <c r="C331">
        <v>0</v>
      </c>
      <c r="D331">
        <v>9.4895346273823833</v>
      </c>
    </row>
    <row r="332" spans="1:4">
      <c r="A332">
        <v>0</v>
      </c>
      <c r="B332">
        <v>0</v>
      </c>
      <c r="C332">
        <v>0</v>
      </c>
      <c r="D332">
        <v>9.489025369239414</v>
      </c>
    </row>
    <row r="333" spans="1:4">
      <c r="A333">
        <v>0</v>
      </c>
      <c r="B333">
        <v>0</v>
      </c>
      <c r="C333">
        <v>0</v>
      </c>
      <c r="D333">
        <v>9.0598733370071614</v>
      </c>
    </row>
    <row r="334" spans="1:4">
      <c r="A334">
        <v>0</v>
      </c>
      <c r="B334">
        <v>0</v>
      </c>
      <c r="C334">
        <v>0</v>
      </c>
      <c r="D334">
        <v>9.4889957644948169</v>
      </c>
    </row>
    <row r="335" spans="1:4">
      <c r="A335">
        <v>0</v>
      </c>
      <c r="B335">
        <v>0</v>
      </c>
      <c r="C335">
        <v>0</v>
      </c>
      <c r="D335">
        <v>9.4879472523019075</v>
      </c>
    </row>
    <row r="336" spans="1:4">
      <c r="A336">
        <v>0</v>
      </c>
      <c r="B336">
        <v>0</v>
      </c>
      <c r="C336">
        <v>0</v>
      </c>
      <c r="D336">
        <v>86.944378313228256</v>
      </c>
    </row>
    <row r="337" spans="1:4">
      <c r="A337">
        <v>0</v>
      </c>
      <c r="B337">
        <v>0</v>
      </c>
      <c r="C337">
        <v>0</v>
      </c>
      <c r="D337">
        <v>86.945139122327731</v>
      </c>
    </row>
    <row r="338" spans="1:4">
      <c r="A338">
        <v>0</v>
      </c>
      <c r="B338">
        <v>0</v>
      </c>
      <c r="C338">
        <v>0</v>
      </c>
      <c r="D338">
        <v>71.072153384418726</v>
      </c>
    </row>
    <row r="339" spans="1:4">
      <c r="A339">
        <v>0</v>
      </c>
      <c r="B339">
        <v>0</v>
      </c>
      <c r="C339">
        <v>0</v>
      </c>
      <c r="D339">
        <v>14.13173399420436</v>
      </c>
    </row>
    <row r="340" spans="1:4">
      <c r="A340">
        <v>0</v>
      </c>
      <c r="B340">
        <v>0</v>
      </c>
      <c r="C340">
        <v>0</v>
      </c>
      <c r="D340">
        <v>14.131754927825689</v>
      </c>
    </row>
    <row r="341" spans="1:4">
      <c r="A341">
        <v>0</v>
      </c>
      <c r="B341">
        <v>0</v>
      </c>
      <c r="C341">
        <v>0</v>
      </c>
      <c r="D341">
        <v>13.694915818020631</v>
      </c>
    </row>
    <row r="342" spans="1:4">
      <c r="A342">
        <v>0</v>
      </c>
      <c r="B342">
        <v>0</v>
      </c>
      <c r="C342">
        <v>0</v>
      </c>
      <c r="D342">
        <v>90.137088964579021</v>
      </c>
    </row>
    <row r="343" spans="1:4">
      <c r="A343">
        <v>0</v>
      </c>
      <c r="B343">
        <v>0</v>
      </c>
      <c r="C343">
        <v>0</v>
      </c>
      <c r="D343">
        <v>15.954733041782319</v>
      </c>
    </row>
    <row r="344" spans="1:4">
      <c r="A344">
        <v>0</v>
      </c>
      <c r="B344">
        <v>0</v>
      </c>
      <c r="C344">
        <v>0</v>
      </c>
      <c r="D344">
        <v>11.482509706540952</v>
      </c>
    </row>
    <row r="345" spans="1:4">
      <c r="A345">
        <v>0</v>
      </c>
      <c r="B345">
        <v>0</v>
      </c>
      <c r="C345">
        <v>0</v>
      </c>
      <c r="D345">
        <v>11.318369138765448</v>
      </c>
    </row>
    <row r="346" spans="1:4">
      <c r="A346">
        <v>0</v>
      </c>
      <c r="B346">
        <v>0</v>
      </c>
      <c r="C346">
        <v>0</v>
      </c>
      <c r="D346">
        <v>12.860033763370595</v>
      </c>
    </row>
    <row r="347" spans="1:4">
      <c r="A347">
        <v>0</v>
      </c>
      <c r="B347">
        <v>0</v>
      </c>
      <c r="C347">
        <v>0</v>
      </c>
      <c r="D347">
        <v>104.29975219471052</v>
      </c>
    </row>
    <row r="348" spans="1:4">
      <c r="A348">
        <v>0</v>
      </c>
      <c r="B348">
        <v>0</v>
      </c>
      <c r="C348">
        <v>0</v>
      </c>
      <c r="D348">
        <v>103.93694929470627</v>
      </c>
    </row>
    <row r="349" spans="1:4">
      <c r="A349">
        <v>0</v>
      </c>
      <c r="B349">
        <v>0</v>
      </c>
      <c r="C349">
        <v>0</v>
      </c>
      <c r="D349">
        <v>89.095495020995713</v>
      </c>
    </row>
    <row r="350" spans="1:4">
      <c r="A350">
        <v>0</v>
      </c>
      <c r="B350">
        <v>0</v>
      </c>
      <c r="C350">
        <v>0</v>
      </c>
      <c r="D350">
        <v>88.433066711510662</v>
      </c>
    </row>
    <row r="351" spans="1:4">
      <c r="A351">
        <v>0</v>
      </c>
      <c r="B351">
        <v>0</v>
      </c>
      <c r="C351">
        <v>0</v>
      </c>
      <c r="D351">
        <v>88.377861510583159</v>
      </c>
    </row>
    <row r="352" spans="1:4">
      <c r="A352">
        <v>0</v>
      </c>
      <c r="B352">
        <v>0</v>
      </c>
      <c r="C352">
        <v>0</v>
      </c>
      <c r="D352">
        <v>38.350983169799619</v>
      </c>
    </row>
    <row r="353" spans="1:4">
      <c r="A353">
        <v>0</v>
      </c>
      <c r="B353">
        <v>0</v>
      </c>
      <c r="C353">
        <v>0</v>
      </c>
      <c r="D353">
        <v>88.442024374285779</v>
      </c>
    </row>
    <row r="354" spans="1:4">
      <c r="A354">
        <v>0</v>
      </c>
      <c r="B354">
        <v>0</v>
      </c>
      <c r="C354">
        <v>0</v>
      </c>
      <c r="D354">
        <v>88.432264451954822</v>
      </c>
    </row>
    <row r="355" spans="1:4">
      <c r="A355">
        <v>0</v>
      </c>
      <c r="B355">
        <v>0</v>
      </c>
      <c r="C355">
        <v>0</v>
      </c>
      <c r="D355">
        <v>68.947967846878413</v>
      </c>
    </row>
    <row r="356" spans="1:4">
      <c r="A356">
        <v>0</v>
      </c>
      <c r="B356">
        <v>0</v>
      </c>
      <c r="C356">
        <v>0</v>
      </c>
      <c r="D356">
        <v>26.206201597634216</v>
      </c>
    </row>
    <row r="357" spans="1:4">
      <c r="A357">
        <v>0</v>
      </c>
      <c r="B357">
        <v>0</v>
      </c>
      <c r="C357">
        <v>0</v>
      </c>
      <c r="D357">
        <v>25.146268157388661</v>
      </c>
    </row>
    <row r="358" spans="1:4">
      <c r="A358">
        <v>0</v>
      </c>
      <c r="B358">
        <v>0</v>
      </c>
      <c r="C358">
        <v>0</v>
      </c>
      <c r="D358">
        <v>64.591456229574902</v>
      </c>
    </row>
    <row r="359" spans="1:4">
      <c r="A359">
        <v>0</v>
      </c>
      <c r="B359">
        <v>0</v>
      </c>
      <c r="C359">
        <v>0</v>
      </c>
      <c r="D359">
        <v>29.227025432421982</v>
      </c>
    </row>
    <row r="360" spans="1:4">
      <c r="A360">
        <v>0</v>
      </c>
      <c r="B360">
        <v>0</v>
      </c>
      <c r="C360">
        <v>0</v>
      </c>
      <c r="D360">
        <v>38.953255564443012</v>
      </c>
    </row>
    <row r="361" spans="1:4">
      <c r="A361">
        <v>0</v>
      </c>
      <c r="B361">
        <v>0</v>
      </c>
      <c r="C361">
        <v>0</v>
      </c>
      <c r="D361">
        <v>71.074301078670544</v>
      </c>
    </row>
    <row r="362" spans="1:4">
      <c r="A362">
        <v>0</v>
      </c>
      <c r="B362">
        <v>0</v>
      </c>
      <c r="C362">
        <v>0</v>
      </c>
      <c r="D362">
        <v>59.505072152603816</v>
      </c>
    </row>
    <row r="363" spans="1:4">
      <c r="A363">
        <v>0</v>
      </c>
      <c r="B363">
        <v>0</v>
      </c>
      <c r="C363">
        <v>0</v>
      </c>
      <c r="D363">
        <v>14.152347609345632</v>
      </c>
    </row>
    <row r="364" spans="1:4">
      <c r="A364">
        <v>0</v>
      </c>
      <c r="B364">
        <v>0</v>
      </c>
      <c r="C364">
        <v>0</v>
      </c>
      <c r="D364">
        <v>58.023816865547204</v>
      </c>
    </row>
    <row r="365" spans="1:4">
      <c r="A365">
        <v>0</v>
      </c>
      <c r="B365">
        <v>0</v>
      </c>
      <c r="C365">
        <v>0</v>
      </c>
      <c r="D365">
        <v>54.371936148526963</v>
      </c>
    </row>
    <row r="366" spans="1:4">
      <c r="A366">
        <v>0</v>
      </c>
      <c r="B366">
        <v>0</v>
      </c>
      <c r="C366">
        <v>0</v>
      </c>
      <c r="D366">
        <v>10.042354294884845</v>
      </c>
    </row>
    <row r="367" spans="1:4">
      <c r="A367">
        <v>0</v>
      </c>
      <c r="B367">
        <v>0</v>
      </c>
      <c r="C367">
        <v>0</v>
      </c>
      <c r="D367">
        <v>12.250990047110761</v>
      </c>
    </row>
    <row r="368" spans="1:4">
      <c r="A368">
        <v>0</v>
      </c>
      <c r="B368">
        <v>0</v>
      </c>
      <c r="C368">
        <v>0</v>
      </c>
      <c r="D368">
        <v>13.79415619930559</v>
      </c>
    </row>
    <row r="369" spans="1:4">
      <c r="A369">
        <v>0</v>
      </c>
      <c r="B369">
        <v>0</v>
      </c>
      <c r="C369">
        <v>0</v>
      </c>
      <c r="D369">
        <v>12.000814690928379</v>
      </c>
    </row>
    <row r="370" spans="1:4">
      <c r="A370">
        <v>0</v>
      </c>
      <c r="B370">
        <v>0</v>
      </c>
      <c r="C370">
        <v>0</v>
      </c>
      <c r="D370">
        <v>11.570196181940616</v>
      </c>
    </row>
    <row r="371" spans="1:4">
      <c r="A371">
        <v>0</v>
      </c>
      <c r="B371">
        <v>0</v>
      </c>
      <c r="C371">
        <v>0</v>
      </c>
      <c r="D371">
        <v>-1.3469505301421449</v>
      </c>
    </row>
    <row r="372" spans="1:4">
      <c r="A372">
        <v>0</v>
      </c>
      <c r="B372">
        <v>0</v>
      </c>
      <c r="C372">
        <v>0</v>
      </c>
      <c r="D372">
        <v>-13.611886486080184</v>
      </c>
    </row>
    <row r="373" spans="1:4">
      <c r="A373">
        <v>0</v>
      </c>
      <c r="B373">
        <v>0</v>
      </c>
      <c r="C373">
        <v>0</v>
      </c>
      <c r="D373">
        <v>82.05449618852505</v>
      </c>
    </row>
    <row r="374" spans="1:4">
      <c r="A374">
        <v>0</v>
      </c>
      <c r="B374">
        <v>0</v>
      </c>
      <c r="C374">
        <v>0</v>
      </c>
      <c r="D374">
        <v>8.111782227236688</v>
      </c>
    </row>
    <row r="375" spans="1:4">
      <c r="A375">
        <v>0</v>
      </c>
      <c r="B375">
        <v>0</v>
      </c>
      <c r="C375">
        <v>0</v>
      </c>
      <c r="D375">
        <v>31.611660846793384</v>
      </c>
    </row>
    <row r="376" spans="1:4">
      <c r="A376">
        <v>0</v>
      </c>
      <c r="B376">
        <v>0</v>
      </c>
      <c r="C376">
        <v>0</v>
      </c>
      <c r="D376">
        <v>32.072501087018097</v>
      </c>
    </row>
    <row r="377" spans="1:4">
      <c r="A377">
        <v>0</v>
      </c>
      <c r="B377">
        <v>0</v>
      </c>
      <c r="C377">
        <v>0</v>
      </c>
      <c r="D377">
        <v>18.752451988139526</v>
      </c>
    </row>
    <row r="378" spans="1:4">
      <c r="A378">
        <v>0</v>
      </c>
      <c r="B378">
        <v>0</v>
      </c>
      <c r="C378">
        <v>0</v>
      </c>
      <c r="D378">
        <v>9.8267345822736232</v>
      </c>
    </row>
    <row r="379" spans="1:4">
      <c r="A379">
        <v>0</v>
      </c>
      <c r="B379">
        <v>0</v>
      </c>
      <c r="C379">
        <v>0</v>
      </c>
      <c r="D379">
        <v>9.2847570289483343</v>
      </c>
    </row>
    <row r="380" spans="1:4">
      <c r="A380">
        <v>0</v>
      </c>
      <c r="B380">
        <v>0</v>
      </c>
      <c r="C380">
        <v>0</v>
      </c>
      <c r="D380">
        <v>40.532942293093711</v>
      </c>
    </row>
    <row r="381" spans="1:4">
      <c r="A381">
        <v>0</v>
      </c>
      <c r="B381">
        <v>0</v>
      </c>
      <c r="C381">
        <v>0</v>
      </c>
      <c r="D381">
        <v>88.313206177368272</v>
      </c>
    </row>
    <row r="382" spans="1:4">
      <c r="A382">
        <v>0</v>
      </c>
      <c r="B382">
        <v>0</v>
      </c>
      <c r="C382">
        <v>0</v>
      </c>
      <c r="D382">
        <v>89.408234113436095</v>
      </c>
    </row>
    <row r="383" spans="1:4">
      <c r="A383">
        <v>0</v>
      </c>
      <c r="B383">
        <v>0</v>
      </c>
      <c r="C383">
        <v>0</v>
      </c>
      <c r="D383">
        <v>87.469177616812146</v>
      </c>
    </row>
    <row r="384" spans="1:4">
      <c r="A384">
        <v>0</v>
      </c>
      <c r="B384">
        <v>0</v>
      </c>
      <c r="C384">
        <v>0</v>
      </c>
      <c r="D384">
        <v>71.083426261442611</v>
      </c>
    </row>
    <row r="385" spans="1:4">
      <c r="A385">
        <v>0</v>
      </c>
      <c r="B385">
        <v>0</v>
      </c>
      <c r="C385">
        <v>0</v>
      </c>
      <c r="D385">
        <v>90.535663524742915</v>
      </c>
    </row>
    <row r="386" spans="1:4">
      <c r="A386">
        <v>0</v>
      </c>
      <c r="B386">
        <v>0</v>
      </c>
      <c r="C386">
        <v>0</v>
      </c>
      <c r="D386">
        <v>71.074271255769261</v>
      </c>
    </row>
    <row r="387" spans="1:4">
      <c r="A387">
        <v>0</v>
      </c>
      <c r="B387">
        <v>0</v>
      </c>
      <c r="C387">
        <v>0</v>
      </c>
      <c r="D387">
        <v>92.050026024503282</v>
      </c>
    </row>
    <row r="388" spans="1:4">
      <c r="A388">
        <v>0</v>
      </c>
      <c r="B388">
        <v>0</v>
      </c>
      <c r="C388">
        <v>0</v>
      </c>
      <c r="D388">
        <v>104.29340891144233</v>
      </c>
    </row>
    <row r="389" spans="1:4">
      <c r="A389">
        <v>0</v>
      </c>
      <c r="B389">
        <v>0</v>
      </c>
      <c r="C389">
        <v>0</v>
      </c>
      <c r="D389">
        <v>104.2778947047304</v>
      </c>
    </row>
    <row r="390" spans="1:4">
      <c r="A390">
        <v>0</v>
      </c>
      <c r="B390">
        <v>0</v>
      </c>
      <c r="C390">
        <v>0</v>
      </c>
      <c r="D390">
        <v>104.20905294881479</v>
      </c>
    </row>
    <row r="391" spans="1:4">
      <c r="A391">
        <v>0</v>
      </c>
      <c r="B391">
        <v>0</v>
      </c>
      <c r="C391">
        <v>0</v>
      </c>
      <c r="D391">
        <v>82.26185154220218</v>
      </c>
    </row>
    <row r="392" spans="1:4">
      <c r="A392">
        <v>0</v>
      </c>
      <c r="B392">
        <v>0</v>
      </c>
      <c r="C392">
        <v>0</v>
      </c>
      <c r="D392">
        <v>97.985985112696341</v>
      </c>
    </row>
    <row r="393" spans="1:4">
      <c r="A393">
        <v>0</v>
      </c>
      <c r="B393">
        <v>0</v>
      </c>
      <c r="C393">
        <v>0</v>
      </c>
      <c r="D393">
        <v>77.876445556539167</v>
      </c>
    </row>
    <row r="394" spans="1:4">
      <c r="A394">
        <v>0</v>
      </c>
      <c r="B394">
        <v>0</v>
      </c>
      <c r="C394">
        <v>0</v>
      </c>
      <c r="D394">
        <v>62.21510755348001</v>
      </c>
    </row>
    <row r="395" spans="1:4">
      <c r="A395">
        <v>0</v>
      </c>
      <c r="B395">
        <v>0</v>
      </c>
      <c r="C395">
        <v>0</v>
      </c>
      <c r="D395">
        <v>71.074517540504246</v>
      </c>
    </row>
    <row r="396" spans="1:4">
      <c r="A396">
        <v>0</v>
      </c>
      <c r="B396">
        <v>0</v>
      </c>
      <c r="C396">
        <v>0</v>
      </c>
      <c r="D396">
        <v>86.675375866297344</v>
      </c>
    </row>
    <row r="397" spans="1:4">
      <c r="A397">
        <v>0</v>
      </c>
      <c r="B397">
        <v>0</v>
      </c>
      <c r="C397">
        <v>0</v>
      </c>
      <c r="D397">
        <v>14.132046390164611</v>
      </c>
    </row>
    <row r="398" spans="1:4">
      <c r="A398">
        <v>0</v>
      </c>
      <c r="B398">
        <v>0</v>
      </c>
      <c r="C398">
        <v>0</v>
      </c>
      <c r="D398">
        <v>14.13195621085808</v>
      </c>
    </row>
    <row r="399" spans="1:4">
      <c r="A399">
        <v>0</v>
      </c>
      <c r="B399">
        <v>0</v>
      </c>
      <c r="C399">
        <v>0</v>
      </c>
      <c r="D399">
        <v>14.162447372811839</v>
      </c>
    </row>
    <row r="400" spans="1:4">
      <c r="A400">
        <v>0</v>
      </c>
      <c r="B400">
        <v>0</v>
      </c>
      <c r="C400">
        <v>0</v>
      </c>
      <c r="D400">
        <v>14.131727025934275</v>
      </c>
    </row>
    <row r="401" spans="1:4">
      <c r="A401">
        <v>0</v>
      </c>
      <c r="B401">
        <v>0</v>
      </c>
      <c r="C401">
        <v>0</v>
      </c>
      <c r="D401">
        <v>14.131726809911747</v>
      </c>
    </row>
    <row r="402" spans="1:4">
      <c r="A402">
        <v>0</v>
      </c>
      <c r="B402">
        <v>0</v>
      </c>
      <c r="C402">
        <v>0</v>
      </c>
      <c r="D402">
        <v>65.140979215320783</v>
      </c>
    </row>
    <row r="403" spans="1:4">
      <c r="A403">
        <v>0</v>
      </c>
      <c r="B403">
        <v>0</v>
      </c>
      <c r="C403">
        <v>0</v>
      </c>
      <c r="D403">
        <v>9.5326206733704026</v>
      </c>
    </row>
    <row r="404" spans="1:4">
      <c r="A404">
        <v>0</v>
      </c>
      <c r="B404">
        <v>0</v>
      </c>
      <c r="C404">
        <v>0</v>
      </c>
      <c r="D404">
        <v>9.5881405507977604</v>
      </c>
    </row>
    <row r="405" spans="1:4">
      <c r="A405">
        <v>0</v>
      </c>
      <c r="B405">
        <v>0</v>
      </c>
      <c r="C405">
        <v>0</v>
      </c>
      <c r="D405">
        <v>9.5161599433029522</v>
      </c>
    </row>
    <row r="406" spans="1:4">
      <c r="A406">
        <v>0</v>
      </c>
      <c r="B406">
        <v>0</v>
      </c>
      <c r="C406">
        <v>0</v>
      </c>
      <c r="D406">
        <v>10.965416432347126</v>
      </c>
    </row>
    <row r="407" spans="1:4">
      <c r="A407">
        <v>0</v>
      </c>
      <c r="B407">
        <v>0</v>
      </c>
      <c r="C407">
        <v>0</v>
      </c>
      <c r="D407">
        <v>9.6444219289892317</v>
      </c>
    </row>
    <row r="408" spans="1:4">
      <c r="A408">
        <v>0</v>
      </c>
      <c r="B408">
        <v>0</v>
      </c>
      <c r="C408">
        <v>0</v>
      </c>
      <c r="D408">
        <v>4.2538437819234218</v>
      </c>
    </row>
    <row r="409" spans="1:4">
      <c r="A409">
        <v>0</v>
      </c>
      <c r="B409">
        <v>0</v>
      </c>
      <c r="C409">
        <v>0</v>
      </c>
      <c r="D409">
        <v>12.233807237164051</v>
      </c>
    </row>
    <row r="410" spans="1:4">
      <c r="A410">
        <v>0</v>
      </c>
      <c r="B410">
        <v>0</v>
      </c>
      <c r="C410">
        <v>0</v>
      </c>
      <c r="D410">
        <v>3.1791587839003483</v>
      </c>
    </row>
    <row r="411" spans="1:4">
      <c r="A411">
        <v>0</v>
      </c>
      <c r="B411">
        <v>0</v>
      </c>
      <c r="C411">
        <v>0</v>
      </c>
      <c r="D411">
        <v>8.9928185906500033</v>
      </c>
    </row>
    <row r="412" spans="1:4">
      <c r="A412">
        <v>0</v>
      </c>
      <c r="B412">
        <v>0</v>
      </c>
      <c r="C412">
        <v>0</v>
      </c>
      <c r="D412">
        <v>11.660656641880209</v>
      </c>
    </row>
    <row r="413" spans="1:4">
      <c r="A413">
        <v>0</v>
      </c>
      <c r="B413">
        <v>0</v>
      </c>
      <c r="C413">
        <v>0</v>
      </c>
      <c r="D413">
        <v>7.9041978682149932</v>
      </c>
    </row>
    <row r="414" spans="1:4">
      <c r="A414">
        <v>0</v>
      </c>
      <c r="B414">
        <v>0</v>
      </c>
      <c r="C414">
        <v>0</v>
      </c>
      <c r="D414">
        <v>61.043933939492689</v>
      </c>
    </row>
    <row r="415" spans="1:4">
      <c r="A415">
        <v>0</v>
      </c>
      <c r="B415">
        <v>0</v>
      </c>
      <c r="C415">
        <v>0</v>
      </c>
      <c r="D415">
        <v>14.314056118319321</v>
      </c>
    </row>
    <row r="416" spans="1:4">
      <c r="A416">
        <v>0</v>
      </c>
      <c r="B416">
        <v>0</v>
      </c>
      <c r="C416">
        <v>0</v>
      </c>
      <c r="D416">
        <v>14.45617465407387</v>
      </c>
    </row>
    <row r="417" spans="1:4">
      <c r="A417">
        <v>0</v>
      </c>
      <c r="B417">
        <v>0</v>
      </c>
      <c r="C417">
        <v>0</v>
      </c>
      <c r="D417">
        <v>14.351782269447547</v>
      </c>
    </row>
    <row r="418" spans="1:4">
      <c r="A418">
        <v>0</v>
      </c>
      <c r="B418">
        <v>0</v>
      </c>
      <c r="C418">
        <v>0</v>
      </c>
      <c r="D418">
        <v>14.58885404984666</v>
      </c>
    </row>
    <row r="419" spans="1:4">
      <c r="A419">
        <v>0</v>
      </c>
      <c r="B419">
        <v>0</v>
      </c>
      <c r="C419">
        <v>0</v>
      </c>
      <c r="D419">
        <v>14.41774070211941</v>
      </c>
    </row>
    <row r="420" spans="1:4">
      <c r="A420">
        <v>0</v>
      </c>
      <c r="B420">
        <v>0</v>
      </c>
      <c r="C420">
        <v>0</v>
      </c>
      <c r="D420">
        <v>14.422766891638098</v>
      </c>
    </row>
    <row r="421" spans="1:4">
      <c r="A421">
        <v>0</v>
      </c>
      <c r="B421">
        <v>0</v>
      </c>
      <c r="C421">
        <v>0</v>
      </c>
      <c r="D421">
        <v>87.959160616752129</v>
      </c>
    </row>
    <row r="422" spans="1:4">
      <c r="A422">
        <v>0</v>
      </c>
      <c r="B422">
        <v>0</v>
      </c>
      <c r="C422">
        <v>0</v>
      </c>
      <c r="D422">
        <v>58.850929606411206</v>
      </c>
    </row>
    <row r="423" spans="1:4">
      <c r="A423">
        <v>0</v>
      </c>
      <c r="B423">
        <v>0</v>
      </c>
      <c r="C423">
        <v>0</v>
      </c>
      <c r="D423">
        <v>14.502312509102296</v>
      </c>
    </row>
    <row r="424" spans="1:4">
      <c r="A424">
        <v>0</v>
      </c>
      <c r="B424">
        <v>0</v>
      </c>
      <c r="C424">
        <v>0</v>
      </c>
      <c r="D424">
        <v>78.236969211234097</v>
      </c>
    </row>
    <row r="425" spans="1:4">
      <c r="A425">
        <v>0</v>
      </c>
      <c r="B425">
        <v>0</v>
      </c>
      <c r="C425">
        <v>0</v>
      </c>
      <c r="D425">
        <v>31.247018779117056</v>
      </c>
    </row>
    <row r="426" spans="1:4">
      <c r="A426">
        <v>0</v>
      </c>
      <c r="B426">
        <v>0</v>
      </c>
      <c r="C426">
        <v>0</v>
      </c>
      <c r="D426">
        <v>14.199843350536689</v>
      </c>
    </row>
    <row r="427" spans="1:4">
      <c r="A427">
        <v>0</v>
      </c>
      <c r="B427">
        <v>0</v>
      </c>
      <c r="C427">
        <v>0</v>
      </c>
      <c r="D427">
        <v>22.763594036742298</v>
      </c>
    </row>
    <row r="428" spans="1:4">
      <c r="A428">
        <v>0</v>
      </c>
      <c r="B428">
        <v>0</v>
      </c>
      <c r="C428">
        <v>0</v>
      </c>
      <c r="D428">
        <v>86.946427574146782</v>
      </c>
    </row>
    <row r="429" spans="1:4">
      <c r="A429">
        <v>0</v>
      </c>
      <c r="B429">
        <v>0</v>
      </c>
      <c r="C429">
        <v>0</v>
      </c>
      <c r="D429">
        <v>14.322754116067813</v>
      </c>
    </row>
    <row r="430" spans="1:4">
      <c r="A430">
        <v>0</v>
      </c>
      <c r="B430">
        <v>0</v>
      </c>
      <c r="C430">
        <v>0</v>
      </c>
      <c r="D430">
        <v>14.133244387453644</v>
      </c>
    </row>
    <row r="431" spans="1:4">
      <c r="A431">
        <v>0</v>
      </c>
      <c r="B431">
        <v>0</v>
      </c>
      <c r="C431">
        <v>0</v>
      </c>
      <c r="D431">
        <v>14.132062699689186</v>
      </c>
    </row>
    <row r="432" spans="1:4">
      <c r="A432">
        <v>0</v>
      </c>
      <c r="B432">
        <v>0</v>
      </c>
      <c r="C432">
        <v>0</v>
      </c>
      <c r="D432">
        <v>14.131738206325906</v>
      </c>
    </row>
    <row r="433" spans="1:4">
      <c r="A433">
        <v>0</v>
      </c>
      <c r="B433">
        <v>0</v>
      </c>
      <c r="C433">
        <v>0</v>
      </c>
      <c r="D433">
        <v>14.131735695950825</v>
      </c>
    </row>
    <row r="434" spans="1:4">
      <c r="A434">
        <v>0</v>
      </c>
      <c r="B434">
        <v>0</v>
      </c>
      <c r="C434">
        <v>0</v>
      </c>
      <c r="D434">
        <v>14.132177655538245</v>
      </c>
    </row>
    <row r="435" spans="1:4">
      <c r="A435">
        <v>0</v>
      </c>
      <c r="B435">
        <v>0</v>
      </c>
      <c r="C435">
        <v>0</v>
      </c>
      <c r="D435">
        <v>101.46066622265542</v>
      </c>
    </row>
    <row r="436" spans="1:4">
      <c r="A436">
        <v>0</v>
      </c>
      <c r="B436">
        <v>0</v>
      </c>
      <c r="C436">
        <v>0</v>
      </c>
      <c r="D436">
        <v>98.045696260547587</v>
      </c>
    </row>
    <row r="437" spans="1:4">
      <c r="A437">
        <v>0</v>
      </c>
      <c r="B437">
        <v>0</v>
      </c>
      <c r="C437">
        <v>0</v>
      </c>
      <c r="D437">
        <v>27.865946559932453</v>
      </c>
    </row>
    <row r="438" spans="1:4">
      <c r="A438">
        <v>0</v>
      </c>
      <c r="B438">
        <v>0</v>
      </c>
      <c r="C438">
        <v>0</v>
      </c>
      <c r="D438">
        <v>15.81889893419082</v>
      </c>
    </row>
    <row r="439" spans="1:4">
      <c r="A439">
        <v>0</v>
      </c>
      <c r="B439">
        <v>0</v>
      </c>
      <c r="C439">
        <v>0</v>
      </c>
      <c r="D439">
        <v>15.713387953287615</v>
      </c>
    </row>
    <row r="440" spans="1:4">
      <c r="A440">
        <v>0</v>
      </c>
      <c r="B440">
        <v>0</v>
      </c>
      <c r="C440">
        <v>0</v>
      </c>
      <c r="D440">
        <v>49.507431791731562</v>
      </c>
    </row>
    <row r="441" spans="1:4">
      <c r="A441">
        <v>0</v>
      </c>
      <c r="B441">
        <v>0</v>
      </c>
      <c r="C441">
        <v>0</v>
      </c>
      <c r="D441">
        <v>102.20099107747328</v>
      </c>
    </row>
    <row r="442" spans="1:4">
      <c r="A442">
        <v>0</v>
      </c>
      <c r="B442">
        <v>0</v>
      </c>
      <c r="C442">
        <v>0</v>
      </c>
      <c r="D442">
        <v>22.797811420030406</v>
      </c>
    </row>
    <row r="443" spans="1:4">
      <c r="A443">
        <v>0</v>
      </c>
      <c r="B443">
        <v>0</v>
      </c>
      <c r="C443">
        <v>0</v>
      </c>
      <c r="D443">
        <v>57.142969504284835</v>
      </c>
    </row>
    <row r="444" spans="1:4">
      <c r="A444">
        <v>0</v>
      </c>
      <c r="B444">
        <v>0</v>
      </c>
      <c r="C444">
        <v>0</v>
      </c>
      <c r="D444">
        <v>70.854158008586779</v>
      </c>
    </row>
    <row r="445" spans="1:4">
      <c r="A445">
        <v>0</v>
      </c>
      <c r="B445">
        <v>0</v>
      </c>
      <c r="C445">
        <v>0</v>
      </c>
      <c r="D445">
        <v>87.373785628882118</v>
      </c>
    </row>
    <row r="446" spans="1:4">
      <c r="A446">
        <v>0</v>
      </c>
      <c r="B446">
        <v>0</v>
      </c>
      <c r="C446">
        <v>0</v>
      </c>
      <c r="D446">
        <v>88.322034662730445</v>
      </c>
    </row>
    <row r="447" spans="1:4">
      <c r="A447">
        <v>0</v>
      </c>
      <c r="B447">
        <v>0</v>
      </c>
      <c r="C447">
        <v>0</v>
      </c>
      <c r="D447">
        <v>9.5699119828391233</v>
      </c>
    </row>
    <row r="448" spans="1:4">
      <c r="A448">
        <v>0</v>
      </c>
      <c r="B448">
        <v>0</v>
      </c>
      <c r="C448">
        <v>0</v>
      </c>
      <c r="D448">
        <v>9.4512443588868109</v>
      </c>
    </row>
    <row r="449" spans="1:4">
      <c r="A449">
        <v>0</v>
      </c>
      <c r="B449">
        <v>0</v>
      </c>
      <c r="C449">
        <v>0</v>
      </c>
      <c r="D449">
        <v>9.4913146654641594</v>
      </c>
    </row>
    <row r="450" spans="1:4">
      <c r="A450">
        <v>0</v>
      </c>
      <c r="B450">
        <v>0</v>
      </c>
      <c r="C450">
        <v>0</v>
      </c>
      <c r="D450">
        <v>9.4885187907825355</v>
      </c>
    </row>
    <row r="451" spans="1:4">
      <c r="A451">
        <v>0</v>
      </c>
      <c r="B451">
        <v>0</v>
      </c>
      <c r="C451">
        <v>0</v>
      </c>
      <c r="D451">
        <v>9.4719276062721178</v>
      </c>
    </row>
    <row r="452" spans="1:4">
      <c r="A452">
        <v>0</v>
      </c>
      <c r="B452">
        <v>0</v>
      </c>
      <c r="C452">
        <v>0</v>
      </c>
      <c r="D452">
        <v>9.4880567129439939</v>
      </c>
    </row>
    <row r="453" spans="1:4">
      <c r="A453">
        <v>0</v>
      </c>
      <c r="B453">
        <v>0</v>
      </c>
      <c r="C453">
        <v>0</v>
      </c>
      <c r="D453">
        <v>90.222080130377677</v>
      </c>
    </row>
    <row r="454" spans="1:4">
      <c r="A454">
        <v>0</v>
      </c>
      <c r="B454">
        <v>0</v>
      </c>
      <c r="C454">
        <v>0</v>
      </c>
      <c r="D454">
        <v>92.449452549733948</v>
      </c>
    </row>
    <row r="455" spans="1:4">
      <c r="A455">
        <v>0</v>
      </c>
      <c r="B455">
        <v>0</v>
      </c>
      <c r="C455">
        <v>0</v>
      </c>
      <c r="D455">
        <v>93.042016277593106</v>
      </c>
    </row>
    <row r="456" spans="1:4">
      <c r="A456">
        <v>0</v>
      </c>
      <c r="B456">
        <v>0</v>
      </c>
      <c r="C456">
        <v>0</v>
      </c>
      <c r="D456">
        <v>88.860109734718549</v>
      </c>
    </row>
    <row r="457" spans="1:4">
      <c r="A457">
        <v>0</v>
      </c>
      <c r="B457">
        <v>0</v>
      </c>
      <c r="C457">
        <v>0</v>
      </c>
      <c r="D457">
        <v>92.838716140521157</v>
      </c>
    </row>
    <row r="458" spans="1:4">
      <c r="A458">
        <v>0</v>
      </c>
      <c r="B458">
        <v>0</v>
      </c>
      <c r="C458">
        <v>0</v>
      </c>
      <c r="D458">
        <v>89.680490847317856</v>
      </c>
    </row>
    <row r="459" spans="1:4">
      <c r="A459">
        <v>0</v>
      </c>
      <c r="B459">
        <v>0</v>
      </c>
      <c r="C459">
        <v>0</v>
      </c>
      <c r="D459">
        <v>83.906880132183474</v>
      </c>
    </row>
    <row r="460" spans="1:4">
      <c r="A460">
        <v>0</v>
      </c>
      <c r="B460">
        <v>0</v>
      </c>
      <c r="C460">
        <v>0</v>
      </c>
      <c r="D460">
        <v>86.943290565699442</v>
      </c>
    </row>
    <row r="461" spans="1:4">
      <c r="A461">
        <v>0</v>
      </c>
      <c r="B461">
        <v>0</v>
      </c>
      <c r="C461">
        <v>0</v>
      </c>
      <c r="D461">
        <v>31.882248687651803</v>
      </c>
    </row>
    <row r="462" spans="1:4">
      <c r="A462">
        <v>0</v>
      </c>
      <c r="B462">
        <v>0</v>
      </c>
      <c r="C462">
        <v>0</v>
      </c>
      <c r="D462">
        <v>20.366280475121116</v>
      </c>
    </row>
    <row r="463" spans="1:4">
      <c r="A463">
        <v>0</v>
      </c>
      <c r="B463">
        <v>0</v>
      </c>
      <c r="C463">
        <v>0</v>
      </c>
      <c r="D463">
        <v>24.33494233013851</v>
      </c>
    </row>
    <row r="464" spans="1:4">
      <c r="A464">
        <v>0</v>
      </c>
      <c r="B464">
        <v>0</v>
      </c>
      <c r="C464">
        <v>0</v>
      </c>
      <c r="D464">
        <v>7.2727831045543923E-2</v>
      </c>
    </row>
    <row r="465" spans="1:4">
      <c r="A465">
        <v>0</v>
      </c>
      <c r="B465">
        <v>0</v>
      </c>
      <c r="C465">
        <v>0</v>
      </c>
      <c r="D465">
        <v>32.813421032395468</v>
      </c>
    </row>
    <row r="466" spans="1:4">
      <c r="A466">
        <v>0</v>
      </c>
      <c r="B466">
        <v>0</v>
      </c>
      <c r="C466">
        <v>0</v>
      </c>
      <c r="D466">
        <v>64.865512802912264</v>
      </c>
    </row>
    <row r="467" spans="1:4">
      <c r="A467">
        <v>0</v>
      </c>
      <c r="B467">
        <v>0</v>
      </c>
      <c r="C467">
        <v>0</v>
      </c>
      <c r="D467">
        <v>30.74457632097084</v>
      </c>
    </row>
    <row r="468" spans="1:4">
      <c r="A468">
        <v>0</v>
      </c>
      <c r="B468">
        <v>0</v>
      </c>
      <c r="C468">
        <v>0</v>
      </c>
      <c r="D468">
        <v>80.416668427564943</v>
      </c>
    </row>
    <row r="469" spans="1:4">
      <c r="A469">
        <v>0</v>
      </c>
      <c r="B469">
        <v>0</v>
      </c>
      <c r="C469">
        <v>0</v>
      </c>
      <c r="D469">
        <v>38.409617134698905</v>
      </c>
    </row>
    <row r="470" spans="1:4">
      <c r="A470">
        <v>0</v>
      </c>
      <c r="B470">
        <v>0</v>
      </c>
      <c r="C470">
        <v>0</v>
      </c>
      <c r="D470">
        <v>28.633117279765646</v>
      </c>
    </row>
    <row r="471" spans="1:4">
      <c r="A471">
        <v>0</v>
      </c>
      <c r="B471">
        <v>0</v>
      </c>
      <c r="C471">
        <v>0</v>
      </c>
      <c r="D471">
        <v>58.681686292089736</v>
      </c>
    </row>
    <row r="472" spans="1:4">
      <c r="A472">
        <v>0</v>
      </c>
      <c r="B472">
        <v>0</v>
      </c>
      <c r="C472">
        <v>0</v>
      </c>
      <c r="D472">
        <v>12.245588278687158</v>
      </c>
    </row>
    <row r="473" spans="1:4">
      <c r="A473">
        <v>0</v>
      </c>
      <c r="B473">
        <v>0</v>
      </c>
      <c r="C473">
        <v>0</v>
      </c>
      <c r="D473">
        <v>12.246590537773741</v>
      </c>
    </row>
    <row r="474" spans="1:4">
      <c r="A474">
        <v>0</v>
      </c>
      <c r="B474">
        <v>0</v>
      </c>
      <c r="C474">
        <v>0</v>
      </c>
      <c r="D474">
        <v>11.425731838039015</v>
      </c>
    </row>
    <row r="475" spans="1:4">
      <c r="A475">
        <v>0</v>
      </c>
      <c r="B475">
        <v>0</v>
      </c>
      <c r="C475">
        <v>0</v>
      </c>
      <c r="D475">
        <v>12.251033176712362</v>
      </c>
    </row>
    <row r="476" spans="1:4">
      <c r="A476">
        <v>0</v>
      </c>
      <c r="B476">
        <v>0</v>
      </c>
      <c r="C476">
        <v>0</v>
      </c>
      <c r="D476">
        <v>12.251062558630522</v>
      </c>
    </row>
    <row r="477" spans="1:4">
      <c r="A477">
        <v>0</v>
      </c>
      <c r="B477">
        <v>0</v>
      </c>
      <c r="C477">
        <v>0</v>
      </c>
      <c r="D477">
        <v>12.250173038832081</v>
      </c>
    </row>
    <row r="478" spans="1:4">
      <c r="A478">
        <v>0</v>
      </c>
      <c r="B478">
        <v>0</v>
      </c>
      <c r="C478">
        <v>0</v>
      </c>
      <c r="D478">
        <v>12.240893496618412</v>
      </c>
    </row>
    <row r="479" spans="1:4">
      <c r="A479">
        <v>0</v>
      </c>
      <c r="B479">
        <v>0</v>
      </c>
      <c r="C479">
        <v>0</v>
      </c>
      <c r="D479">
        <v>12.226648068560607</v>
      </c>
    </row>
    <row r="480" spans="1:4">
      <c r="A480">
        <v>0</v>
      </c>
      <c r="B480">
        <v>0</v>
      </c>
      <c r="C480">
        <v>0</v>
      </c>
      <c r="D480">
        <v>55.037439460439799</v>
      </c>
    </row>
    <row r="481" spans="1:4">
      <c r="A481">
        <v>0</v>
      </c>
      <c r="B481">
        <v>0</v>
      </c>
      <c r="C481">
        <v>0</v>
      </c>
      <c r="D481">
        <v>72.995894716730518</v>
      </c>
    </row>
    <row r="482" spans="1:4">
      <c r="A482">
        <v>0</v>
      </c>
      <c r="B482">
        <v>0</v>
      </c>
      <c r="C482">
        <v>0</v>
      </c>
      <c r="D482">
        <v>59.258758643079972</v>
      </c>
    </row>
    <row r="483" spans="1:4">
      <c r="A483">
        <v>0</v>
      </c>
      <c r="B483">
        <v>0</v>
      </c>
      <c r="C483">
        <v>0</v>
      </c>
      <c r="D483">
        <v>27.820568004722041</v>
      </c>
    </row>
    <row r="484" spans="1:4">
      <c r="A484">
        <v>0</v>
      </c>
      <c r="B484">
        <v>0</v>
      </c>
      <c r="C484">
        <v>0</v>
      </c>
      <c r="D484">
        <v>46.667653748608245</v>
      </c>
    </row>
    <row r="485" spans="1:4">
      <c r="A485">
        <v>0</v>
      </c>
      <c r="B485">
        <v>0</v>
      </c>
      <c r="C485">
        <v>0</v>
      </c>
      <c r="D485">
        <v>46.833556756131799</v>
      </c>
    </row>
    <row r="486" spans="1:4">
      <c r="A486">
        <v>0</v>
      </c>
      <c r="B486">
        <v>0</v>
      </c>
      <c r="C486">
        <v>0</v>
      </c>
      <c r="D486">
        <v>19.781040962791529</v>
      </c>
    </row>
    <row r="487" spans="1:4">
      <c r="A487">
        <v>0</v>
      </c>
      <c r="B487">
        <v>0</v>
      </c>
      <c r="C487">
        <v>0</v>
      </c>
      <c r="D487">
        <v>9.4034133132693114</v>
      </c>
    </row>
    <row r="488" spans="1:4">
      <c r="A488">
        <v>0</v>
      </c>
      <c r="B488">
        <v>0</v>
      </c>
      <c r="C488">
        <v>0</v>
      </c>
      <c r="D488">
        <v>9.4891291153618909</v>
      </c>
    </row>
    <row r="489" spans="1:4">
      <c r="A489">
        <v>0</v>
      </c>
      <c r="B489">
        <v>0</v>
      </c>
      <c r="C489">
        <v>0</v>
      </c>
      <c r="D489">
        <v>9.4890691654498625</v>
      </c>
    </row>
    <row r="490" spans="1:4">
      <c r="A490">
        <v>0</v>
      </c>
      <c r="B490">
        <v>0</v>
      </c>
      <c r="C490">
        <v>0</v>
      </c>
      <c r="D490">
        <v>9.4493076561244749</v>
      </c>
    </row>
    <row r="491" spans="1:4">
      <c r="A491">
        <v>0</v>
      </c>
      <c r="B491">
        <v>0</v>
      </c>
      <c r="C491">
        <v>0</v>
      </c>
      <c r="D491">
        <v>9.489061014921937</v>
      </c>
    </row>
    <row r="492" spans="1:4">
      <c r="A492">
        <v>0</v>
      </c>
      <c r="B492">
        <v>0</v>
      </c>
      <c r="C492">
        <v>0</v>
      </c>
      <c r="D492">
        <v>3.4572382661930372</v>
      </c>
    </row>
    <row r="493" spans="1:4">
      <c r="A493">
        <v>0</v>
      </c>
      <c r="B493">
        <v>0</v>
      </c>
      <c r="C493">
        <v>0</v>
      </c>
      <c r="D493">
        <v>9.4890727974516125</v>
      </c>
    </row>
    <row r="494" spans="1:4">
      <c r="A494">
        <v>0</v>
      </c>
      <c r="B494">
        <v>0</v>
      </c>
      <c r="C494">
        <v>0</v>
      </c>
      <c r="D494">
        <v>64.536113176402864</v>
      </c>
    </row>
    <row r="495" spans="1:4">
      <c r="A495">
        <v>0</v>
      </c>
      <c r="B495">
        <v>0</v>
      </c>
      <c r="C495">
        <v>0</v>
      </c>
      <c r="D495">
        <v>12.245500199668051</v>
      </c>
    </row>
    <row r="496" spans="1:4">
      <c r="A496">
        <v>0</v>
      </c>
      <c r="B496">
        <v>0</v>
      </c>
      <c r="C496">
        <v>0</v>
      </c>
      <c r="D496">
        <v>12.244183701201685</v>
      </c>
    </row>
    <row r="497" spans="1:4">
      <c r="A497">
        <v>0</v>
      </c>
      <c r="B497">
        <v>0</v>
      </c>
      <c r="C497">
        <v>0</v>
      </c>
      <c r="D497">
        <v>12.243218592815296</v>
      </c>
    </row>
    <row r="498" spans="1:4">
      <c r="A498">
        <v>0</v>
      </c>
      <c r="B498">
        <v>0</v>
      </c>
      <c r="C498">
        <v>0</v>
      </c>
      <c r="D498">
        <v>17.190973774572015</v>
      </c>
    </row>
    <row r="499" spans="1:4">
      <c r="A499">
        <v>0</v>
      </c>
      <c r="B499">
        <v>0</v>
      </c>
      <c r="C499">
        <v>0</v>
      </c>
      <c r="D499">
        <v>14.133673602538522</v>
      </c>
    </row>
    <row r="500" spans="1:4">
      <c r="A500">
        <v>0</v>
      </c>
      <c r="B500">
        <v>0</v>
      </c>
      <c r="C500">
        <v>0</v>
      </c>
      <c r="D500">
        <v>9.4900640055973398</v>
      </c>
    </row>
    <row r="501" spans="1:4">
      <c r="A501">
        <v>0</v>
      </c>
      <c r="B501">
        <v>0</v>
      </c>
      <c r="C501">
        <v>0</v>
      </c>
      <c r="D501">
        <v>10.392063037950436</v>
      </c>
    </row>
    <row r="502" spans="1:4">
      <c r="A502">
        <v>0</v>
      </c>
      <c r="B502">
        <v>0</v>
      </c>
      <c r="C502">
        <v>0</v>
      </c>
      <c r="D502">
        <v>9.4890581077621263</v>
      </c>
    </row>
    <row r="503" spans="1:4">
      <c r="A503">
        <v>0</v>
      </c>
      <c r="B503">
        <v>0</v>
      </c>
      <c r="C503">
        <v>0</v>
      </c>
      <c r="D503">
        <v>9.4890572124961494</v>
      </c>
    </row>
    <row r="504" spans="1:4">
      <c r="A504">
        <v>0</v>
      </c>
      <c r="B504">
        <v>0</v>
      </c>
      <c r="C504">
        <v>0</v>
      </c>
      <c r="D504">
        <v>9.5196952903304961</v>
      </c>
    </row>
    <row r="505" spans="1:4">
      <c r="A505">
        <v>0</v>
      </c>
      <c r="B505">
        <v>0</v>
      </c>
      <c r="C505">
        <v>0</v>
      </c>
      <c r="D505">
        <v>9.4890572004038134</v>
      </c>
    </row>
    <row r="506" spans="1:4">
      <c r="A506">
        <v>0</v>
      </c>
      <c r="B506">
        <v>0</v>
      </c>
      <c r="C506">
        <v>0</v>
      </c>
      <c r="D506">
        <v>14.19849056268572</v>
      </c>
    </row>
    <row r="507" spans="1:4">
      <c r="A507">
        <v>0</v>
      </c>
      <c r="B507">
        <v>0</v>
      </c>
      <c r="C507">
        <v>0</v>
      </c>
      <c r="D507">
        <v>82.410799724024542</v>
      </c>
    </row>
    <row r="508" spans="1:4">
      <c r="A508">
        <v>0</v>
      </c>
      <c r="B508">
        <v>0</v>
      </c>
      <c r="C508">
        <v>0</v>
      </c>
      <c r="D508">
        <v>27.77247202243403</v>
      </c>
    </row>
    <row r="509" spans="1:4">
      <c r="A509">
        <v>0</v>
      </c>
      <c r="B509">
        <v>0</v>
      </c>
      <c r="C509">
        <v>0</v>
      </c>
      <c r="D509">
        <v>15.488151898116449</v>
      </c>
    </row>
    <row r="510" spans="1:4">
      <c r="A510">
        <v>0</v>
      </c>
      <c r="B510">
        <v>0</v>
      </c>
      <c r="C510">
        <v>0</v>
      </c>
      <c r="D510">
        <v>104.30207839520405</v>
      </c>
    </row>
    <row r="511" spans="1:4">
      <c r="A511">
        <v>0</v>
      </c>
      <c r="B511">
        <v>0</v>
      </c>
      <c r="C511">
        <v>0</v>
      </c>
      <c r="D511">
        <v>104.30207838447276</v>
      </c>
    </row>
    <row r="512" spans="1:4">
      <c r="A512">
        <v>0</v>
      </c>
      <c r="B512">
        <v>0</v>
      </c>
      <c r="C512">
        <v>0</v>
      </c>
      <c r="D512">
        <v>104.30207823854244</v>
      </c>
    </row>
    <row r="513" spans="1:4">
      <c r="A513">
        <v>0</v>
      </c>
      <c r="B513">
        <v>0</v>
      </c>
      <c r="C513">
        <v>0</v>
      </c>
      <c r="D513">
        <v>104.3010454448668</v>
      </c>
    </row>
    <row r="514" spans="1:4">
      <c r="A514">
        <v>0</v>
      </c>
      <c r="B514">
        <v>0</v>
      </c>
      <c r="C514">
        <v>0</v>
      </c>
      <c r="D514">
        <v>104.30202693247873</v>
      </c>
    </row>
    <row r="515" spans="1:4">
      <c r="A515">
        <v>0</v>
      </c>
      <c r="B515">
        <v>0</v>
      </c>
      <c r="C515">
        <v>0</v>
      </c>
      <c r="D515">
        <v>104.30158129892202</v>
      </c>
    </row>
    <row r="516" spans="1:4">
      <c r="A516">
        <v>0</v>
      </c>
      <c r="B516">
        <v>0</v>
      </c>
      <c r="C516">
        <v>0</v>
      </c>
      <c r="D516">
        <v>88.432291922275368</v>
      </c>
    </row>
    <row r="517" spans="1:4">
      <c r="A517">
        <v>0</v>
      </c>
      <c r="B517">
        <v>0</v>
      </c>
      <c r="C517">
        <v>0</v>
      </c>
      <c r="D517">
        <v>86.942625329143425</v>
      </c>
    </row>
    <row r="518" spans="1:4">
      <c r="A518">
        <v>0</v>
      </c>
      <c r="B518">
        <v>0</v>
      </c>
      <c r="C518">
        <v>0</v>
      </c>
      <c r="D518">
        <v>69.316437622078695</v>
      </c>
    </row>
    <row r="519" spans="1:4">
      <c r="A519">
        <v>0</v>
      </c>
      <c r="B519">
        <v>0</v>
      </c>
      <c r="C519">
        <v>0</v>
      </c>
      <c r="D519">
        <v>71.569809222213408</v>
      </c>
    </row>
    <row r="520" spans="1:4">
      <c r="A520">
        <v>0</v>
      </c>
      <c r="B520">
        <v>0</v>
      </c>
      <c r="C520">
        <v>0</v>
      </c>
      <c r="D520">
        <v>71.07343264868851</v>
      </c>
    </row>
    <row r="521" spans="1:4">
      <c r="A521">
        <v>0</v>
      </c>
      <c r="B521">
        <v>0</v>
      </c>
      <c r="C521">
        <v>0</v>
      </c>
      <c r="D521">
        <v>80.126373229766358</v>
      </c>
    </row>
    <row r="522" spans="1:4">
      <c r="A522">
        <v>0</v>
      </c>
      <c r="B522">
        <v>0</v>
      </c>
      <c r="C522">
        <v>0</v>
      </c>
      <c r="D522">
        <v>57.396271655674198</v>
      </c>
    </row>
    <row r="523" spans="1:4">
      <c r="A523">
        <v>0</v>
      </c>
      <c r="B523">
        <v>0</v>
      </c>
      <c r="C523">
        <v>0</v>
      </c>
      <c r="D523">
        <v>86.943495460501822</v>
      </c>
    </row>
    <row r="524" spans="1:4">
      <c r="A524">
        <v>0</v>
      </c>
      <c r="B524">
        <v>0</v>
      </c>
      <c r="C524">
        <v>0</v>
      </c>
      <c r="D524">
        <v>71.074634613086971</v>
      </c>
    </row>
    <row r="525" spans="1:4">
      <c r="A525">
        <v>0</v>
      </c>
      <c r="B525">
        <v>0</v>
      </c>
      <c r="C525">
        <v>0</v>
      </c>
      <c r="D525">
        <v>90.174920918213573</v>
      </c>
    </row>
    <row r="526" spans="1:4">
      <c r="A526">
        <v>0</v>
      </c>
      <c r="B526">
        <v>0</v>
      </c>
      <c r="C526">
        <v>0</v>
      </c>
      <c r="D526">
        <v>57.416459726767719</v>
      </c>
    </row>
    <row r="527" spans="1:4">
      <c r="A527">
        <v>0</v>
      </c>
      <c r="B527">
        <v>0</v>
      </c>
      <c r="C527">
        <v>0</v>
      </c>
      <c r="D527">
        <v>86.950648348903684</v>
      </c>
    </row>
    <row r="528" spans="1:4">
      <c r="A528">
        <v>0</v>
      </c>
      <c r="B528">
        <v>0</v>
      </c>
      <c r="C528">
        <v>0</v>
      </c>
      <c r="D528">
        <v>70.953170830733029</v>
      </c>
    </row>
    <row r="529" spans="1:4">
      <c r="A529">
        <v>0</v>
      </c>
      <c r="B529">
        <v>0</v>
      </c>
      <c r="C529">
        <v>0</v>
      </c>
      <c r="D529">
        <v>88.586088335402764</v>
      </c>
    </row>
    <row r="530" spans="1:4">
      <c r="A530">
        <v>0</v>
      </c>
      <c r="B530">
        <v>0</v>
      </c>
      <c r="C530">
        <v>0</v>
      </c>
      <c r="D530">
        <v>90.062085012619349</v>
      </c>
    </row>
    <row r="531" spans="1:4">
      <c r="A531">
        <v>0</v>
      </c>
      <c r="B531">
        <v>0</v>
      </c>
      <c r="C531">
        <v>0</v>
      </c>
      <c r="D531">
        <v>79.752265320043961</v>
      </c>
    </row>
    <row r="532" spans="1:4">
      <c r="A532">
        <v>0</v>
      </c>
      <c r="B532">
        <v>0</v>
      </c>
      <c r="C532">
        <v>0</v>
      </c>
      <c r="D532">
        <v>87.481986167539816</v>
      </c>
    </row>
    <row r="533" spans="1:4">
      <c r="A533">
        <v>0</v>
      </c>
      <c r="B533">
        <v>0</v>
      </c>
      <c r="C533">
        <v>0</v>
      </c>
      <c r="D533">
        <v>89.117211208972549</v>
      </c>
    </row>
    <row r="534" spans="1:4">
      <c r="A534">
        <v>0</v>
      </c>
      <c r="B534">
        <v>0</v>
      </c>
      <c r="C534">
        <v>0</v>
      </c>
      <c r="D534">
        <v>9.4917997700775274</v>
      </c>
    </row>
    <row r="535" spans="1:4">
      <c r="A535">
        <v>0</v>
      </c>
      <c r="B535">
        <v>0</v>
      </c>
      <c r="C535">
        <v>0</v>
      </c>
      <c r="D535">
        <v>9.4901011083319702</v>
      </c>
    </row>
    <row r="536" spans="1:4">
      <c r="A536">
        <v>0</v>
      </c>
      <c r="B536">
        <v>0</v>
      </c>
      <c r="C536">
        <v>0</v>
      </c>
      <c r="D536">
        <v>9.4937972634408538</v>
      </c>
    </row>
    <row r="537" spans="1:4">
      <c r="A537">
        <v>0</v>
      </c>
      <c r="B537">
        <v>0</v>
      </c>
      <c r="C537">
        <v>0</v>
      </c>
      <c r="D537">
        <v>9.5622763241377982</v>
      </c>
    </row>
    <row r="538" spans="1:4">
      <c r="A538">
        <v>0</v>
      </c>
      <c r="B538">
        <v>0</v>
      </c>
      <c r="C538">
        <v>0</v>
      </c>
      <c r="D538">
        <v>9.6042160470553171</v>
      </c>
    </row>
    <row r="539" spans="1:4">
      <c r="A539">
        <v>0</v>
      </c>
      <c r="B539">
        <v>0</v>
      </c>
      <c r="C539">
        <v>0</v>
      </c>
      <c r="D539">
        <v>9.4891396910379697</v>
      </c>
    </row>
    <row r="540" spans="1:4">
      <c r="A540">
        <v>0</v>
      </c>
      <c r="B540">
        <v>0</v>
      </c>
      <c r="C540">
        <v>0</v>
      </c>
      <c r="D540">
        <v>103.29361385197632</v>
      </c>
    </row>
    <row r="541" spans="1:4">
      <c r="A541">
        <v>0</v>
      </c>
      <c r="B541">
        <v>0</v>
      </c>
      <c r="C541">
        <v>0</v>
      </c>
      <c r="D541">
        <v>103.62788485543942</v>
      </c>
    </row>
    <row r="542" spans="1:4">
      <c r="A542">
        <v>0</v>
      </c>
      <c r="B542">
        <v>0</v>
      </c>
      <c r="C542">
        <v>0</v>
      </c>
      <c r="D542">
        <v>93.630308073914165</v>
      </c>
    </row>
    <row r="543" spans="1:4">
      <c r="A543">
        <v>0</v>
      </c>
      <c r="B543">
        <v>0</v>
      </c>
      <c r="C543">
        <v>0</v>
      </c>
      <c r="D543">
        <v>88.418844566181491</v>
      </c>
    </row>
    <row r="544" spans="1:4">
      <c r="A544">
        <v>0</v>
      </c>
      <c r="B544">
        <v>0</v>
      </c>
      <c r="C544">
        <v>0</v>
      </c>
      <c r="D544">
        <v>24.952182872701293</v>
      </c>
    </row>
    <row r="545" spans="1:4">
      <c r="A545">
        <v>0</v>
      </c>
      <c r="B545">
        <v>0</v>
      </c>
      <c r="C545">
        <v>0</v>
      </c>
      <c r="D545">
        <v>73.923081282873667</v>
      </c>
    </row>
    <row r="546" spans="1:4">
      <c r="A546">
        <v>0</v>
      </c>
      <c r="B546">
        <v>0</v>
      </c>
      <c r="C546">
        <v>0</v>
      </c>
      <c r="D546">
        <v>11.666773319016215</v>
      </c>
    </row>
    <row r="547" spans="1:4">
      <c r="A547">
        <v>0</v>
      </c>
      <c r="B547">
        <v>0</v>
      </c>
      <c r="C547">
        <v>0</v>
      </c>
      <c r="D547">
        <v>12.248125647039942</v>
      </c>
    </row>
    <row r="548" spans="1:4">
      <c r="A548">
        <v>0</v>
      </c>
      <c r="B548">
        <v>0</v>
      </c>
      <c r="C548">
        <v>0</v>
      </c>
      <c r="D548">
        <v>28.107661874496344</v>
      </c>
    </row>
    <row r="549" spans="1:4">
      <c r="A549">
        <v>0</v>
      </c>
      <c r="B549">
        <v>0</v>
      </c>
      <c r="C549">
        <v>0</v>
      </c>
      <c r="D549">
        <v>5.146664503211241</v>
      </c>
    </row>
    <row r="550" spans="1:4">
      <c r="A550">
        <v>0</v>
      </c>
      <c r="B550">
        <v>0</v>
      </c>
      <c r="C550">
        <v>0</v>
      </c>
      <c r="D550">
        <v>97.841343093429344</v>
      </c>
    </row>
    <row r="551" spans="1:4">
      <c r="A551">
        <v>0</v>
      </c>
      <c r="B551">
        <v>0</v>
      </c>
      <c r="C551">
        <v>0</v>
      </c>
      <c r="D551">
        <v>80.737169176484869</v>
      </c>
    </row>
    <row r="552" spans="1:4">
      <c r="A552">
        <v>0</v>
      </c>
      <c r="B552">
        <v>0</v>
      </c>
      <c r="C552">
        <v>0</v>
      </c>
      <c r="D552">
        <v>14.146122513793799</v>
      </c>
    </row>
    <row r="553" spans="1:4">
      <c r="A553">
        <v>0</v>
      </c>
      <c r="B553">
        <v>0</v>
      </c>
      <c r="C553">
        <v>0</v>
      </c>
      <c r="D553">
        <v>27.78953473121193</v>
      </c>
    </row>
    <row r="554" spans="1:4">
      <c r="A554">
        <v>0</v>
      </c>
      <c r="B554">
        <v>0</v>
      </c>
      <c r="C554">
        <v>0</v>
      </c>
      <c r="D554">
        <v>40.54369498944574</v>
      </c>
    </row>
    <row r="555" spans="1:4">
      <c r="A555">
        <v>0</v>
      </c>
      <c r="B555">
        <v>0</v>
      </c>
      <c r="C555">
        <v>0</v>
      </c>
      <c r="D555">
        <v>19.861835436660016</v>
      </c>
    </row>
    <row r="556" spans="1:4">
      <c r="A556">
        <v>0</v>
      </c>
      <c r="B556">
        <v>0</v>
      </c>
      <c r="C556">
        <v>0</v>
      </c>
      <c r="D556">
        <v>14.574175680210018</v>
      </c>
    </row>
    <row r="557" spans="1:4">
      <c r="A557">
        <v>0</v>
      </c>
      <c r="B557">
        <v>0</v>
      </c>
      <c r="C557">
        <v>0</v>
      </c>
      <c r="D557">
        <v>16.001760072297714</v>
      </c>
    </row>
    <row r="558" spans="1:4">
      <c r="A558">
        <v>0</v>
      </c>
      <c r="B558">
        <v>0</v>
      </c>
      <c r="C558">
        <v>0</v>
      </c>
      <c r="D558">
        <v>27.949586550394699</v>
      </c>
    </row>
    <row r="559" spans="1:4">
      <c r="A559">
        <v>0</v>
      </c>
      <c r="B559">
        <v>0</v>
      </c>
      <c r="C559">
        <v>0</v>
      </c>
      <c r="D559">
        <v>103.83525126359808</v>
      </c>
    </row>
    <row r="560" spans="1:4">
      <c r="A560">
        <v>0</v>
      </c>
      <c r="B560">
        <v>0</v>
      </c>
      <c r="C560">
        <v>0</v>
      </c>
      <c r="D560">
        <v>104.28128228438209</v>
      </c>
    </row>
    <row r="561" spans="1:4">
      <c r="A561">
        <v>0</v>
      </c>
      <c r="B561">
        <v>0</v>
      </c>
      <c r="C561">
        <v>0</v>
      </c>
      <c r="D561">
        <v>89.914970504441612</v>
      </c>
    </row>
    <row r="562" spans="1:4">
      <c r="A562">
        <v>0</v>
      </c>
      <c r="B562">
        <v>0</v>
      </c>
      <c r="C562">
        <v>0</v>
      </c>
      <c r="D562">
        <v>14.223936887962552</v>
      </c>
    </row>
    <row r="563" spans="1:4">
      <c r="A563">
        <v>0</v>
      </c>
      <c r="B563">
        <v>0</v>
      </c>
      <c r="C563">
        <v>0</v>
      </c>
      <c r="D563">
        <v>61.593687988434752</v>
      </c>
    </row>
    <row r="564" spans="1:4">
      <c r="A564">
        <v>0</v>
      </c>
      <c r="B564">
        <v>0</v>
      </c>
      <c r="C564">
        <v>0</v>
      </c>
      <c r="D564">
        <v>89.237833756631247</v>
      </c>
    </row>
    <row r="565" spans="1:4">
      <c r="A565">
        <v>0</v>
      </c>
      <c r="B565">
        <v>0</v>
      </c>
      <c r="C565">
        <v>0</v>
      </c>
      <c r="D565">
        <v>40.382706938392232</v>
      </c>
    </row>
    <row r="566" spans="1:4">
      <c r="A566">
        <v>0</v>
      </c>
      <c r="B566">
        <v>0</v>
      </c>
      <c r="C566">
        <v>0</v>
      </c>
      <c r="D566">
        <v>43.690022668974677</v>
      </c>
    </row>
    <row r="567" spans="1:4">
      <c r="A567">
        <v>0</v>
      </c>
      <c r="B567">
        <v>0</v>
      </c>
      <c r="C567">
        <v>0</v>
      </c>
      <c r="D567">
        <v>42.36105857872856</v>
      </c>
    </row>
    <row r="568" spans="1:4">
      <c r="A568">
        <v>0</v>
      </c>
      <c r="B568">
        <v>0</v>
      </c>
      <c r="C568">
        <v>0</v>
      </c>
      <c r="D568">
        <v>37.608732307404381</v>
      </c>
    </row>
    <row r="569" spans="1:4">
      <c r="A569">
        <v>0</v>
      </c>
      <c r="B569">
        <v>0</v>
      </c>
      <c r="C569">
        <v>0</v>
      </c>
      <c r="D569">
        <v>88.053441642847957</v>
      </c>
    </row>
    <row r="570" spans="1:4">
      <c r="A570">
        <v>0</v>
      </c>
      <c r="B570">
        <v>0</v>
      </c>
      <c r="C570">
        <v>0</v>
      </c>
      <c r="D570">
        <v>71.073935094187462</v>
      </c>
    </row>
    <row r="571" spans="1:4">
      <c r="A571">
        <v>0</v>
      </c>
      <c r="B571">
        <v>0</v>
      </c>
      <c r="C571">
        <v>0</v>
      </c>
      <c r="D571">
        <v>90.737134332737739</v>
      </c>
    </row>
    <row r="572" spans="1:4">
      <c r="A572">
        <v>0</v>
      </c>
      <c r="B572">
        <v>0</v>
      </c>
      <c r="C572">
        <v>0</v>
      </c>
      <c r="D572">
        <v>73.572150281887104</v>
      </c>
    </row>
    <row r="573" spans="1:4">
      <c r="A573">
        <v>0</v>
      </c>
      <c r="B573">
        <v>0</v>
      </c>
      <c r="C573">
        <v>0</v>
      </c>
      <c r="D573">
        <v>74.896416409634611</v>
      </c>
    </row>
    <row r="574" spans="1:4">
      <c r="A574">
        <v>0</v>
      </c>
      <c r="B574">
        <v>0</v>
      </c>
      <c r="C574">
        <v>0</v>
      </c>
      <c r="D574">
        <v>74.979685156024487</v>
      </c>
    </row>
    <row r="575" spans="1:4">
      <c r="A575">
        <v>0</v>
      </c>
      <c r="B575">
        <v>0</v>
      </c>
      <c r="C575">
        <v>0</v>
      </c>
      <c r="D575">
        <v>14.131774843036347</v>
      </c>
    </row>
    <row r="576" spans="1:4">
      <c r="A576">
        <v>0</v>
      </c>
      <c r="B576">
        <v>0</v>
      </c>
      <c r="C576">
        <v>0</v>
      </c>
      <c r="D576">
        <v>9.915972862961091</v>
      </c>
    </row>
    <row r="577" spans="1:4">
      <c r="A577">
        <v>0</v>
      </c>
      <c r="B577">
        <v>0</v>
      </c>
      <c r="C577">
        <v>0</v>
      </c>
      <c r="D577">
        <v>89.946431862983829</v>
      </c>
    </row>
    <row r="578" spans="1:4">
      <c r="A578">
        <v>0</v>
      </c>
      <c r="B578">
        <v>0</v>
      </c>
      <c r="C578">
        <v>0</v>
      </c>
      <c r="D578">
        <v>91.261204710605597</v>
      </c>
    </row>
    <row r="579" spans="1:4">
      <c r="A579">
        <v>0</v>
      </c>
      <c r="B579">
        <v>0</v>
      </c>
      <c r="C579">
        <v>0</v>
      </c>
      <c r="D579">
        <v>89.348612608347551</v>
      </c>
    </row>
    <row r="580" spans="1:4">
      <c r="A580">
        <v>0</v>
      </c>
      <c r="B580">
        <v>0</v>
      </c>
      <c r="C580">
        <v>0</v>
      </c>
      <c r="D580">
        <v>93.967252538922082</v>
      </c>
    </row>
    <row r="581" spans="1:4">
      <c r="A581">
        <v>0</v>
      </c>
      <c r="B581">
        <v>0</v>
      </c>
      <c r="C581">
        <v>0</v>
      </c>
      <c r="D581">
        <v>92.847736747640354</v>
      </c>
    </row>
    <row r="582" spans="1:4">
      <c r="A582">
        <v>0</v>
      </c>
      <c r="B582">
        <v>0</v>
      </c>
      <c r="C582">
        <v>0</v>
      </c>
      <c r="D582">
        <v>94.080334540625074</v>
      </c>
    </row>
    <row r="583" spans="1:4">
      <c r="A583">
        <v>0</v>
      </c>
      <c r="B583">
        <v>0</v>
      </c>
      <c r="C583">
        <v>0</v>
      </c>
      <c r="D583">
        <v>94.573317326187279</v>
      </c>
    </row>
    <row r="584" spans="1:4">
      <c r="A584">
        <v>0</v>
      </c>
      <c r="B584">
        <v>0</v>
      </c>
      <c r="C584">
        <v>0</v>
      </c>
      <c r="D584">
        <v>9.6714130881495279</v>
      </c>
    </row>
    <row r="585" spans="1:4">
      <c r="A585">
        <v>0</v>
      </c>
      <c r="B585">
        <v>0</v>
      </c>
      <c r="C585">
        <v>0</v>
      </c>
      <c r="D585">
        <v>34.224795881146079</v>
      </c>
    </row>
    <row r="586" spans="1:4">
      <c r="A586">
        <v>0</v>
      </c>
      <c r="B586">
        <v>0</v>
      </c>
      <c r="C586">
        <v>0</v>
      </c>
      <c r="D586">
        <v>9.4895896086800349</v>
      </c>
    </row>
    <row r="587" spans="1:4">
      <c r="A587">
        <v>0</v>
      </c>
      <c r="B587">
        <v>0</v>
      </c>
      <c r="C587">
        <v>0</v>
      </c>
      <c r="D587">
        <v>9.8708993957152131</v>
      </c>
    </row>
    <row r="588" spans="1:4">
      <c r="A588">
        <v>0</v>
      </c>
      <c r="B588">
        <v>0</v>
      </c>
      <c r="C588">
        <v>0</v>
      </c>
      <c r="D588">
        <v>9.489261777739685</v>
      </c>
    </row>
    <row r="589" spans="1:4">
      <c r="A589">
        <v>0</v>
      </c>
      <c r="B589">
        <v>0</v>
      </c>
      <c r="C589">
        <v>0</v>
      </c>
      <c r="D589">
        <v>9.4890806510370851</v>
      </c>
    </row>
    <row r="590" spans="1:4">
      <c r="A590">
        <v>0</v>
      </c>
      <c r="B590">
        <v>0</v>
      </c>
      <c r="C590">
        <v>0</v>
      </c>
      <c r="D590">
        <v>9.4890664723312454</v>
      </c>
    </row>
    <row r="591" spans="1:4">
      <c r="A591">
        <v>0</v>
      </c>
      <c r="B591">
        <v>0</v>
      </c>
      <c r="C591">
        <v>0</v>
      </c>
      <c r="D591">
        <v>62.946524068726205</v>
      </c>
    </row>
    <row r="592" spans="1:4">
      <c r="A592">
        <v>0</v>
      </c>
      <c r="B592">
        <v>0</v>
      </c>
      <c r="C592">
        <v>0</v>
      </c>
      <c r="D592">
        <v>64.782046646209636</v>
      </c>
    </row>
    <row r="593" spans="1:4">
      <c r="A593">
        <v>0</v>
      </c>
      <c r="B593">
        <v>0</v>
      </c>
      <c r="C593">
        <v>0</v>
      </c>
      <c r="D593">
        <v>64.782053957924632</v>
      </c>
    </row>
    <row r="594" spans="1:4">
      <c r="A594">
        <v>0</v>
      </c>
      <c r="B594">
        <v>0</v>
      </c>
      <c r="C594">
        <v>0</v>
      </c>
      <c r="D594">
        <v>64.783858917711427</v>
      </c>
    </row>
    <row r="595" spans="1:4">
      <c r="A595">
        <v>0</v>
      </c>
      <c r="B595">
        <v>0</v>
      </c>
      <c r="C595">
        <v>0</v>
      </c>
      <c r="D595">
        <v>64.781972987121549</v>
      </c>
    </row>
    <row r="596" spans="1:4">
      <c r="A596">
        <v>0</v>
      </c>
      <c r="B596">
        <v>0</v>
      </c>
      <c r="C596">
        <v>0</v>
      </c>
      <c r="D596">
        <v>17.234543888793183</v>
      </c>
    </row>
    <row r="597" spans="1:4">
      <c r="A597">
        <v>0</v>
      </c>
      <c r="B597">
        <v>0</v>
      </c>
      <c r="C597">
        <v>0</v>
      </c>
      <c r="D597">
        <v>101.85746606715107</v>
      </c>
    </row>
    <row r="598" spans="1:4">
      <c r="A598">
        <v>0</v>
      </c>
      <c r="B598">
        <v>0</v>
      </c>
      <c r="C598">
        <v>0</v>
      </c>
      <c r="D598">
        <v>85.205795449845525</v>
      </c>
    </row>
    <row r="599" spans="1:4">
      <c r="A599">
        <v>0</v>
      </c>
      <c r="B599">
        <v>0</v>
      </c>
      <c r="C599">
        <v>0</v>
      </c>
      <c r="D599">
        <v>43.812273478430569</v>
      </c>
    </row>
    <row r="600" spans="1:4">
      <c r="A600">
        <v>0</v>
      </c>
      <c r="B600">
        <v>0</v>
      </c>
      <c r="C600">
        <v>0</v>
      </c>
      <c r="D600">
        <v>86.262741475631458</v>
      </c>
    </row>
    <row r="601" spans="1:4">
      <c r="A601">
        <v>0</v>
      </c>
      <c r="B601">
        <v>0</v>
      </c>
      <c r="C601">
        <v>0</v>
      </c>
      <c r="D601">
        <v>44.85831352866856</v>
      </c>
    </row>
    <row r="602" spans="1:4">
      <c r="A602">
        <v>0</v>
      </c>
      <c r="B602">
        <v>0</v>
      </c>
      <c r="C602">
        <v>0</v>
      </c>
      <c r="D602">
        <v>61.963842462678969</v>
      </c>
    </row>
    <row r="603" spans="1:4">
      <c r="A603">
        <v>0</v>
      </c>
      <c r="B603">
        <v>0</v>
      </c>
      <c r="C603">
        <v>0</v>
      </c>
      <c r="D603">
        <v>62.024736349718879</v>
      </c>
    </row>
    <row r="604" spans="1:4">
      <c r="A604">
        <v>0</v>
      </c>
      <c r="B604">
        <v>0</v>
      </c>
      <c r="C604">
        <v>0</v>
      </c>
      <c r="D604">
        <v>99.37662391083893</v>
      </c>
    </row>
    <row r="605" spans="1:4">
      <c r="A605">
        <v>0</v>
      </c>
      <c r="B605">
        <v>0</v>
      </c>
      <c r="C605">
        <v>0</v>
      </c>
      <c r="D605">
        <v>73.416968914109177</v>
      </c>
    </row>
    <row r="606" spans="1:4">
      <c r="A606">
        <v>0</v>
      </c>
      <c r="B606">
        <v>0</v>
      </c>
      <c r="C606">
        <v>0</v>
      </c>
      <c r="D606">
        <v>9.48567466113591</v>
      </c>
    </row>
    <row r="607" spans="1:4">
      <c r="A607">
        <v>0</v>
      </c>
      <c r="B607">
        <v>0</v>
      </c>
      <c r="C607">
        <v>0</v>
      </c>
      <c r="D607">
        <v>9.4883510998595568</v>
      </c>
    </row>
    <row r="608" spans="1:4">
      <c r="A608">
        <v>0</v>
      </c>
      <c r="B608">
        <v>0</v>
      </c>
      <c r="C608">
        <v>0</v>
      </c>
      <c r="D608">
        <v>9.4877779811677243</v>
      </c>
    </row>
    <row r="609" spans="1:4">
      <c r="A609">
        <v>0</v>
      </c>
      <c r="B609">
        <v>0</v>
      </c>
      <c r="C609">
        <v>0</v>
      </c>
      <c r="D609">
        <v>9.4883843730665802</v>
      </c>
    </row>
    <row r="610" spans="1:4">
      <c r="A610">
        <v>0</v>
      </c>
      <c r="B610">
        <v>0</v>
      </c>
      <c r="C610">
        <v>0</v>
      </c>
      <c r="D610">
        <v>9.4875792888472432</v>
      </c>
    </row>
    <row r="611" spans="1:4">
      <c r="A611">
        <v>0</v>
      </c>
      <c r="B611">
        <v>0</v>
      </c>
      <c r="C611">
        <v>0</v>
      </c>
      <c r="D611">
        <v>69.868767607745454</v>
      </c>
    </row>
    <row r="612" spans="1:4">
      <c r="A612">
        <v>0</v>
      </c>
      <c r="B612">
        <v>0</v>
      </c>
      <c r="C612">
        <v>0</v>
      </c>
      <c r="D612">
        <v>71.092175077760317</v>
      </c>
    </row>
    <row r="613" spans="1:4">
      <c r="A613">
        <v>0</v>
      </c>
      <c r="B613">
        <v>0</v>
      </c>
      <c r="C613">
        <v>0</v>
      </c>
      <c r="D613">
        <v>71.808598585085861</v>
      </c>
    </row>
    <row r="614" spans="1:4">
      <c r="A614">
        <v>0</v>
      </c>
      <c r="B614">
        <v>0</v>
      </c>
      <c r="C614">
        <v>0</v>
      </c>
      <c r="D614">
        <v>40.544030981768671</v>
      </c>
    </row>
    <row r="615" spans="1:4">
      <c r="A615">
        <v>0</v>
      </c>
      <c r="B615">
        <v>0</v>
      </c>
      <c r="C615">
        <v>0</v>
      </c>
      <c r="D615">
        <v>40.543273929441781</v>
      </c>
    </row>
    <row r="616" spans="1:4">
      <c r="A616">
        <v>0</v>
      </c>
      <c r="B616">
        <v>0</v>
      </c>
      <c r="C616">
        <v>0</v>
      </c>
      <c r="D616">
        <v>50.099783861802223</v>
      </c>
    </row>
    <row r="617" spans="1:4">
      <c r="A617">
        <v>0</v>
      </c>
      <c r="B617">
        <v>0</v>
      </c>
      <c r="C617">
        <v>0</v>
      </c>
      <c r="D617">
        <v>71.083432492401428</v>
      </c>
    </row>
    <row r="618" spans="1:4">
      <c r="A618">
        <v>0</v>
      </c>
      <c r="B618">
        <v>0</v>
      </c>
      <c r="C618">
        <v>0</v>
      </c>
      <c r="D618">
        <v>86.943260177230442</v>
      </c>
    </row>
    <row r="619" spans="1:4">
      <c r="A619">
        <v>0</v>
      </c>
      <c r="B619">
        <v>0</v>
      </c>
      <c r="C619">
        <v>0</v>
      </c>
      <c r="D619">
        <v>86.934602499678718</v>
      </c>
    </row>
    <row r="620" spans="1:4">
      <c r="A620">
        <v>0</v>
      </c>
      <c r="B620">
        <v>0</v>
      </c>
      <c r="C620">
        <v>0</v>
      </c>
      <c r="D620">
        <v>86.910094651606158</v>
      </c>
    </row>
    <row r="621" spans="1:4">
      <c r="A621">
        <v>0</v>
      </c>
      <c r="B621">
        <v>0</v>
      </c>
      <c r="C621">
        <v>0</v>
      </c>
      <c r="D621">
        <v>40.686364419994632</v>
      </c>
    </row>
    <row r="622" spans="1:4">
      <c r="A622">
        <v>0</v>
      </c>
      <c r="B622">
        <v>0</v>
      </c>
      <c r="C622">
        <v>0</v>
      </c>
      <c r="D622">
        <v>40.295894160832333</v>
      </c>
    </row>
    <row r="623" spans="1:4">
      <c r="A623">
        <v>0</v>
      </c>
      <c r="B623">
        <v>0</v>
      </c>
      <c r="C623">
        <v>0</v>
      </c>
      <c r="D623">
        <v>40.265576310861221</v>
      </c>
    </row>
    <row r="624" spans="1:4">
      <c r="A624">
        <v>0</v>
      </c>
      <c r="B624">
        <v>0</v>
      </c>
      <c r="C624">
        <v>0</v>
      </c>
      <c r="D624">
        <v>41.867251276900333</v>
      </c>
    </row>
    <row r="625" spans="1:4">
      <c r="A625">
        <v>0</v>
      </c>
      <c r="B625">
        <v>0</v>
      </c>
      <c r="C625">
        <v>0</v>
      </c>
      <c r="D625">
        <v>9.5069132460917629</v>
      </c>
    </row>
    <row r="626" spans="1:4">
      <c r="A626">
        <v>0</v>
      </c>
      <c r="B626">
        <v>0</v>
      </c>
      <c r="C626">
        <v>0</v>
      </c>
      <c r="D626">
        <v>9.8066940073161319</v>
      </c>
    </row>
    <row r="627" spans="1:4">
      <c r="A627">
        <v>0</v>
      </c>
      <c r="B627">
        <v>0</v>
      </c>
      <c r="C627">
        <v>0</v>
      </c>
      <c r="D627">
        <v>9.4891045376333452</v>
      </c>
    </row>
    <row r="628" spans="1:4">
      <c r="A628">
        <v>0</v>
      </c>
      <c r="B628">
        <v>0</v>
      </c>
      <c r="C628">
        <v>0</v>
      </c>
      <c r="D628">
        <v>9.4892106278073101</v>
      </c>
    </row>
    <row r="629" spans="1:4">
      <c r="A629">
        <v>0</v>
      </c>
      <c r="B629">
        <v>0</v>
      </c>
      <c r="C629">
        <v>0</v>
      </c>
      <c r="D629">
        <v>9.4894996271571301</v>
      </c>
    </row>
    <row r="630" spans="1:4">
      <c r="A630">
        <v>0</v>
      </c>
      <c r="B630">
        <v>0</v>
      </c>
      <c r="C630">
        <v>0</v>
      </c>
      <c r="D630">
        <v>9.48909004915933</v>
      </c>
    </row>
    <row r="631" spans="1:4">
      <c r="A631">
        <v>0</v>
      </c>
      <c r="B631">
        <v>0</v>
      </c>
      <c r="C631">
        <v>0</v>
      </c>
      <c r="D631">
        <v>91.732023352355839</v>
      </c>
    </row>
    <row r="632" spans="1:4">
      <c r="A632">
        <v>0</v>
      </c>
      <c r="B632">
        <v>0</v>
      </c>
      <c r="C632">
        <v>0</v>
      </c>
      <c r="D632">
        <v>91.122424428817283</v>
      </c>
    </row>
    <row r="633" spans="1:4">
      <c r="A633">
        <v>0</v>
      </c>
      <c r="B633">
        <v>0</v>
      </c>
      <c r="C633">
        <v>0</v>
      </c>
      <c r="D633">
        <v>92.308346210097625</v>
      </c>
    </row>
    <row r="634" spans="1:4">
      <c r="A634">
        <v>0</v>
      </c>
      <c r="B634">
        <v>0</v>
      </c>
      <c r="C634">
        <v>0</v>
      </c>
      <c r="D634">
        <v>40.554001780942826</v>
      </c>
    </row>
    <row r="635" spans="1:4">
      <c r="A635">
        <v>0</v>
      </c>
      <c r="B635">
        <v>0</v>
      </c>
      <c r="C635">
        <v>0</v>
      </c>
      <c r="D635">
        <v>75.232592612789048</v>
      </c>
    </row>
    <row r="636" spans="1:4">
      <c r="A636">
        <v>0</v>
      </c>
      <c r="B636">
        <v>0</v>
      </c>
      <c r="C636">
        <v>0</v>
      </c>
      <c r="D636">
        <v>14.145884494687046</v>
      </c>
    </row>
    <row r="637" spans="1:4">
      <c r="A637">
        <v>0</v>
      </c>
      <c r="B637">
        <v>0</v>
      </c>
      <c r="C637">
        <v>0</v>
      </c>
      <c r="D637">
        <v>14.144988379415942</v>
      </c>
    </row>
    <row r="638" spans="1:4">
      <c r="A638">
        <v>0</v>
      </c>
      <c r="B638">
        <v>0</v>
      </c>
      <c r="C638">
        <v>0</v>
      </c>
      <c r="D638">
        <v>88.47066011953828</v>
      </c>
    </row>
    <row r="639" spans="1:4">
      <c r="A639">
        <v>0</v>
      </c>
      <c r="B639">
        <v>0</v>
      </c>
      <c r="C639">
        <v>0</v>
      </c>
      <c r="D639">
        <v>88.395984949437917</v>
      </c>
    </row>
    <row r="640" spans="1:4">
      <c r="A640">
        <v>0</v>
      </c>
      <c r="B640">
        <v>0</v>
      </c>
      <c r="C640">
        <v>0</v>
      </c>
      <c r="D640">
        <v>86.998103755232279</v>
      </c>
    </row>
    <row r="641" spans="1:4">
      <c r="A641">
        <v>0</v>
      </c>
      <c r="B641">
        <v>0</v>
      </c>
      <c r="C641">
        <v>0</v>
      </c>
      <c r="D641">
        <v>90.038016753331874</v>
      </c>
    </row>
    <row r="642" spans="1:4">
      <c r="A642">
        <v>0</v>
      </c>
      <c r="B642">
        <v>0</v>
      </c>
      <c r="C642">
        <v>0</v>
      </c>
      <c r="D642">
        <v>71.074156568380715</v>
      </c>
    </row>
    <row r="643" spans="1:4">
      <c r="A643">
        <v>0</v>
      </c>
      <c r="B643">
        <v>0</v>
      </c>
      <c r="C643">
        <v>0</v>
      </c>
      <c r="D643">
        <v>91.452932677133504</v>
      </c>
    </row>
    <row r="644" spans="1:4">
      <c r="A644">
        <v>0</v>
      </c>
      <c r="B644">
        <v>0</v>
      </c>
      <c r="C644">
        <v>0</v>
      </c>
      <c r="D644">
        <v>93.269391365172723</v>
      </c>
    </row>
    <row r="645" spans="1:4">
      <c r="A645">
        <v>0</v>
      </c>
      <c r="B645">
        <v>0</v>
      </c>
      <c r="C645">
        <v>0</v>
      </c>
      <c r="D645">
        <v>30.474362116131473</v>
      </c>
    </row>
    <row r="646" spans="1:4">
      <c r="A646">
        <v>0</v>
      </c>
      <c r="B646">
        <v>0</v>
      </c>
      <c r="C646">
        <v>0</v>
      </c>
      <c r="D646">
        <v>27.807900185366108</v>
      </c>
    </row>
    <row r="647" spans="1:4">
      <c r="A647">
        <v>0</v>
      </c>
      <c r="B647">
        <v>0</v>
      </c>
      <c r="C647">
        <v>0</v>
      </c>
      <c r="D647">
        <v>27.630899853190073</v>
      </c>
    </row>
    <row r="648" spans="1:4">
      <c r="A648">
        <v>0</v>
      </c>
      <c r="B648">
        <v>0</v>
      </c>
      <c r="C648">
        <v>0</v>
      </c>
      <c r="D648">
        <v>44.87035053753609</v>
      </c>
    </row>
    <row r="649" spans="1:4">
      <c r="A649">
        <v>0</v>
      </c>
      <c r="B649">
        <v>0</v>
      </c>
      <c r="C649">
        <v>0</v>
      </c>
      <c r="D649">
        <v>76.805492931267949</v>
      </c>
    </row>
    <row r="650" spans="1:4">
      <c r="A650">
        <v>0</v>
      </c>
      <c r="B650">
        <v>0</v>
      </c>
      <c r="C650">
        <v>0</v>
      </c>
      <c r="D650">
        <v>27.843924227667259</v>
      </c>
    </row>
    <row r="651" spans="1:4">
      <c r="A651">
        <v>0</v>
      </c>
      <c r="B651">
        <v>0</v>
      </c>
      <c r="C651">
        <v>0</v>
      </c>
      <c r="D651">
        <v>14.134033318983093</v>
      </c>
    </row>
    <row r="652" spans="1:4">
      <c r="A652">
        <v>0</v>
      </c>
      <c r="B652">
        <v>0</v>
      </c>
      <c r="C652">
        <v>0</v>
      </c>
      <c r="D652">
        <v>87.584797794518948</v>
      </c>
    </row>
    <row r="653" spans="1:4">
      <c r="A653">
        <v>0</v>
      </c>
      <c r="B653">
        <v>0</v>
      </c>
      <c r="C653">
        <v>0</v>
      </c>
      <c r="D653">
        <v>87.56758414192312</v>
      </c>
    </row>
    <row r="654" spans="1:4">
      <c r="A654">
        <v>0</v>
      </c>
      <c r="B654">
        <v>0</v>
      </c>
      <c r="C654">
        <v>0</v>
      </c>
      <c r="D654">
        <v>71.134311298879084</v>
      </c>
    </row>
    <row r="655" spans="1:4">
      <c r="A655">
        <v>0</v>
      </c>
      <c r="B655">
        <v>0</v>
      </c>
      <c r="C655">
        <v>0</v>
      </c>
      <c r="D655">
        <v>44.707801151732085</v>
      </c>
    </row>
    <row r="656" spans="1:4">
      <c r="A656">
        <v>0</v>
      </c>
      <c r="B656">
        <v>0</v>
      </c>
      <c r="C656">
        <v>0</v>
      </c>
      <c r="D656">
        <v>33.597881480207818</v>
      </c>
    </row>
    <row r="657" spans="1:4">
      <c r="A657">
        <v>0</v>
      </c>
      <c r="B657">
        <v>0</v>
      </c>
      <c r="C657">
        <v>0</v>
      </c>
      <c r="D657">
        <v>33.642822121633188</v>
      </c>
    </row>
    <row r="658" spans="1:4">
      <c r="A658">
        <v>0</v>
      </c>
      <c r="B658">
        <v>0</v>
      </c>
      <c r="C658">
        <v>0</v>
      </c>
      <c r="D658">
        <v>101.4880688707606</v>
      </c>
    </row>
    <row r="659" spans="1:4">
      <c r="A659">
        <v>0</v>
      </c>
      <c r="B659">
        <v>0</v>
      </c>
      <c r="C659">
        <v>0</v>
      </c>
      <c r="D659">
        <v>92.15139407482107</v>
      </c>
    </row>
    <row r="660" spans="1:4">
      <c r="A660">
        <v>0</v>
      </c>
      <c r="B660">
        <v>0</v>
      </c>
      <c r="C660">
        <v>0</v>
      </c>
      <c r="D660">
        <v>79.606902163754583</v>
      </c>
    </row>
    <row r="661" spans="1:4">
      <c r="A661">
        <v>0</v>
      </c>
      <c r="B661">
        <v>0</v>
      </c>
      <c r="C661">
        <v>0</v>
      </c>
      <c r="D661">
        <v>77.890068984384641</v>
      </c>
    </row>
    <row r="662" spans="1:4">
      <c r="A662">
        <v>0</v>
      </c>
      <c r="B662">
        <v>0</v>
      </c>
      <c r="C662">
        <v>0</v>
      </c>
      <c r="D662">
        <v>68.222244892278127</v>
      </c>
    </row>
    <row r="663" spans="1:4">
      <c r="A663">
        <v>0</v>
      </c>
      <c r="B663">
        <v>0</v>
      </c>
      <c r="C663">
        <v>0</v>
      </c>
      <c r="D663">
        <v>7.9872622083287732</v>
      </c>
    </row>
    <row r="664" spans="1:4">
      <c r="A664">
        <v>0</v>
      </c>
      <c r="B664">
        <v>0</v>
      </c>
      <c r="C664">
        <v>0</v>
      </c>
      <c r="D664">
        <v>64.685502203637853</v>
      </c>
    </row>
    <row r="665" spans="1:4">
      <c r="A665">
        <v>0</v>
      </c>
      <c r="B665">
        <v>0</v>
      </c>
      <c r="C665">
        <v>0</v>
      </c>
      <c r="D665">
        <v>104.30206881711811</v>
      </c>
    </row>
    <row r="666" spans="1:4">
      <c r="A666">
        <v>0</v>
      </c>
      <c r="B666">
        <v>0</v>
      </c>
      <c r="C666">
        <v>0</v>
      </c>
      <c r="D666">
        <v>104.30039570054933</v>
      </c>
    </row>
    <row r="667" spans="1:4">
      <c r="A667">
        <v>0</v>
      </c>
      <c r="B667">
        <v>0</v>
      </c>
      <c r="C667">
        <v>0</v>
      </c>
      <c r="D667">
        <v>88.433246982277183</v>
      </c>
    </row>
    <row r="668" spans="1:4">
      <c r="A668">
        <v>0</v>
      </c>
      <c r="B668">
        <v>0</v>
      </c>
      <c r="C668">
        <v>0</v>
      </c>
      <c r="D668">
        <v>88.473423033243265</v>
      </c>
    </row>
    <row r="669" spans="1:4">
      <c r="A669">
        <v>0</v>
      </c>
      <c r="B669">
        <v>0</v>
      </c>
      <c r="C669">
        <v>0</v>
      </c>
      <c r="D669">
        <v>88.432409559470756</v>
      </c>
    </row>
    <row r="670" spans="1:4">
      <c r="A670">
        <v>0</v>
      </c>
      <c r="B670">
        <v>0</v>
      </c>
      <c r="C670">
        <v>0</v>
      </c>
      <c r="D670">
        <v>17.666162136816695</v>
      </c>
    </row>
    <row r="671" spans="1:4">
      <c r="A671">
        <v>0</v>
      </c>
      <c r="B671">
        <v>0</v>
      </c>
      <c r="C671">
        <v>0</v>
      </c>
      <c r="D671">
        <v>14.302911676068163</v>
      </c>
    </row>
    <row r="672" spans="1:4">
      <c r="A672">
        <v>0</v>
      </c>
      <c r="B672">
        <v>0</v>
      </c>
      <c r="C672">
        <v>0</v>
      </c>
      <c r="D672">
        <v>58.654907328782571</v>
      </c>
    </row>
    <row r="673" spans="1:4">
      <c r="A673">
        <v>0</v>
      </c>
      <c r="B673">
        <v>0</v>
      </c>
      <c r="C673">
        <v>0</v>
      </c>
      <c r="D673">
        <v>57.958787533004354</v>
      </c>
    </row>
    <row r="674" spans="1:4">
      <c r="A674">
        <v>0</v>
      </c>
      <c r="B674">
        <v>0</v>
      </c>
      <c r="C674">
        <v>0</v>
      </c>
      <c r="D674">
        <v>41.977925162102508</v>
      </c>
    </row>
    <row r="675" spans="1:4">
      <c r="A675">
        <v>0</v>
      </c>
      <c r="B675">
        <v>0</v>
      </c>
      <c r="C675">
        <v>0</v>
      </c>
      <c r="D675">
        <v>12.262025335766644</v>
      </c>
    </row>
    <row r="676" spans="1:4">
      <c r="A676">
        <v>0</v>
      </c>
      <c r="B676">
        <v>0</v>
      </c>
      <c r="C676">
        <v>0</v>
      </c>
      <c r="D676">
        <v>31.404715175774385</v>
      </c>
    </row>
    <row r="677" spans="1:4">
      <c r="A677">
        <v>0</v>
      </c>
      <c r="B677">
        <v>0</v>
      </c>
      <c r="C677">
        <v>0</v>
      </c>
      <c r="D677">
        <v>11.700388198385859</v>
      </c>
    </row>
    <row r="678" spans="1:4">
      <c r="A678">
        <v>0</v>
      </c>
      <c r="B678">
        <v>0</v>
      </c>
      <c r="C678">
        <v>0</v>
      </c>
      <c r="D678">
        <v>86.944878102697771</v>
      </c>
    </row>
    <row r="679" spans="1:4">
      <c r="A679">
        <v>0</v>
      </c>
      <c r="B679">
        <v>0</v>
      </c>
      <c r="C679">
        <v>0</v>
      </c>
      <c r="D679">
        <v>86.943500463880497</v>
      </c>
    </row>
    <row r="680" spans="1:4">
      <c r="A680">
        <v>0</v>
      </c>
      <c r="B680">
        <v>0</v>
      </c>
      <c r="C680">
        <v>0</v>
      </c>
      <c r="D680">
        <v>86.946065038146571</v>
      </c>
    </row>
    <row r="681" spans="1:4">
      <c r="A681">
        <v>0</v>
      </c>
      <c r="B681">
        <v>0</v>
      </c>
      <c r="C681">
        <v>0</v>
      </c>
      <c r="D681">
        <v>86.946355614088418</v>
      </c>
    </row>
    <row r="682" spans="1:4">
      <c r="A682">
        <v>0</v>
      </c>
      <c r="B682">
        <v>0</v>
      </c>
      <c r="C682">
        <v>0</v>
      </c>
      <c r="D682">
        <v>86.947903493525828</v>
      </c>
    </row>
    <row r="683" spans="1:4">
      <c r="A683">
        <v>0</v>
      </c>
      <c r="B683">
        <v>0</v>
      </c>
      <c r="C683">
        <v>0</v>
      </c>
      <c r="D683">
        <v>86.942690649502907</v>
      </c>
    </row>
    <row r="684" spans="1:4">
      <c r="A684">
        <v>0</v>
      </c>
      <c r="B684">
        <v>0</v>
      </c>
      <c r="C684">
        <v>0</v>
      </c>
      <c r="D684">
        <v>71.068253870652114</v>
      </c>
    </row>
    <row r="685" spans="1:4">
      <c r="A685">
        <v>0</v>
      </c>
      <c r="B685">
        <v>0</v>
      </c>
      <c r="C685">
        <v>0</v>
      </c>
      <c r="D685">
        <v>8.476628751088235</v>
      </c>
    </row>
    <row r="686" spans="1:4">
      <c r="A686">
        <v>0</v>
      </c>
      <c r="B686">
        <v>0</v>
      </c>
      <c r="C686">
        <v>0</v>
      </c>
      <c r="D686">
        <v>12.233942263145863</v>
      </c>
    </row>
    <row r="687" spans="1:4">
      <c r="A687">
        <v>0</v>
      </c>
      <c r="B687">
        <v>0</v>
      </c>
      <c r="C687">
        <v>0</v>
      </c>
      <c r="D687">
        <v>12.16903182074045</v>
      </c>
    </row>
    <row r="688" spans="1:4">
      <c r="A688">
        <v>0</v>
      </c>
      <c r="B688">
        <v>0</v>
      </c>
      <c r="C688">
        <v>0</v>
      </c>
      <c r="D688">
        <v>9.3405139321050754</v>
      </c>
    </row>
    <row r="689" spans="1:4">
      <c r="A689">
        <v>0</v>
      </c>
      <c r="B689">
        <v>0</v>
      </c>
      <c r="C689">
        <v>0</v>
      </c>
      <c r="D689">
        <v>6.7406848096632999</v>
      </c>
    </row>
    <row r="690" spans="1:4">
      <c r="A690">
        <v>0</v>
      </c>
      <c r="B690">
        <v>0</v>
      </c>
      <c r="C690">
        <v>0</v>
      </c>
      <c r="D690">
        <v>4.4309178264035012</v>
      </c>
    </row>
    <row r="691" spans="1:4">
      <c r="A691">
        <v>0</v>
      </c>
      <c r="B691">
        <v>0</v>
      </c>
      <c r="C691">
        <v>0</v>
      </c>
      <c r="D691">
        <v>44.957213955486523</v>
      </c>
    </row>
    <row r="692" spans="1:4">
      <c r="A692">
        <v>0</v>
      </c>
      <c r="B692">
        <v>0</v>
      </c>
      <c r="C692">
        <v>0</v>
      </c>
      <c r="D692">
        <v>90.947501324105815</v>
      </c>
    </row>
    <row r="693" spans="1:4">
      <c r="A693">
        <v>0</v>
      </c>
      <c r="B693">
        <v>0</v>
      </c>
      <c r="C693">
        <v>0</v>
      </c>
      <c r="D693">
        <v>77.915781782587246</v>
      </c>
    </row>
    <row r="694" spans="1:4">
      <c r="A694">
        <v>0</v>
      </c>
      <c r="B694">
        <v>0</v>
      </c>
      <c r="C694">
        <v>0</v>
      </c>
      <c r="D694">
        <v>66.210907952089812</v>
      </c>
    </row>
    <row r="695" spans="1:4">
      <c r="A695">
        <v>0</v>
      </c>
      <c r="B695">
        <v>0</v>
      </c>
      <c r="C695">
        <v>0</v>
      </c>
      <c r="D695">
        <v>42.774187917413983</v>
      </c>
    </row>
    <row r="696" spans="1:4">
      <c r="A696">
        <v>0</v>
      </c>
      <c r="B696">
        <v>0</v>
      </c>
      <c r="C696">
        <v>0</v>
      </c>
      <c r="D696">
        <v>12.278311454611377</v>
      </c>
    </row>
    <row r="697" spans="1:4">
      <c r="A697">
        <v>0</v>
      </c>
      <c r="B697">
        <v>0</v>
      </c>
      <c r="C697">
        <v>0</v>
      </c>
      <c r="D697">
        <v>71.046372133191767</v>
      </c>
    </row>
    <row r="698" spans="1:4">
      <c r="A698">
        <v>0</v>
      </c>
      <c r="B698">
        <v>0</v>
      </c>
      <c r="C698">
        <v>0</v>
      </c>
      <c r="D698">
        <v>86.942895916705325</v>
      </c>
    </row>
    <row r="699" spans="1:4">
      <c r="A699">
        <v>0</v>
      </c>
      <c r="B699">
        <v>0</v>
      </c>
      <c r="C699">
        <v>0</v>
      </c>
      <c r="D699">
        <v>82.218417006450721</v>
      </c>
    </row>
    <row r="700" spans="1:4">
      <c r="A700">
        <v>0</v>
      </c>
      <c r="B700">
        <v>0</v>
      </c>
      <c r="C700">
        <v>0</v>
      </c>
      <c r="D700">
        <v>70.994281524512033</v>
      </c>
    </row>
    <row r="701" spans="1:4">
      <c r="A701">
        <v>0</v>
      </c>
      <c r="B701">
        <v>0</v>
      </c>
      <c r="C701">
        <v>0</v>
      </c>
      <c r="D701">
        <v>57.393166819807242</v>
      </c>
    </row>
    <row r="702" spans="1:4">
      <c r="A702">
        <v>0</v>
      </c>
      <c r="B702">
        <v>0</v>
      </c>
      <c r="C702">
        <v>0</v>
      </c>
      <c r="D702">
        <v>70.709532956746017</v>
      </c>
    </row>
    <row r="703" spans="1:4">
      <c r="A703">
        <v>0</v>
      </c>
      <c r="B703">
        <v>0</v>
      </c>
      <c r="C703">
        <v>0</v>
      </c>
      <c r="D703">
        <v>12.238391207247567</v>
      </c>
    </row>
    <row r="704" spans="1:4">
      <c r="A704">
        <v>0</v>
      </c>
      <c r="B704">
        <v>0</v>
      </c>
      <c r="C704">
        <v>0</v>
      </c>
      <c r="D704">
        <v>12.233832973757764</v>
      </c>
    </row>
    <row r="705" spans="1:4">
      <c r="A705">
        <v>0</v>
      </c>
      <c r="B705">
        <v>0</v>
      </c>
      <c r="C705">
        <v>0</v>
      </c>
      <c r="D705">
        <v>12.242337095096813</v>
      </c>
    </row>
    <row r="706" spans="1:4">
      <c r="A706">
        <v>0</v>
      </c>
      <c r="B706">
        <v>0</v>
      </c>
      <c r="C706">
        <v>0</v>
      </c>
      <c r="D706">
        <v>12.251003858865461</v>
      </c>
    </row>
    <row r="707" spans="1:4">
      <c r="A707">
        <v>0</v>
      </c>
      <c r="B707">
        <v>0</v>
      </c>
      <c r="C707">
        <v>0</v>
      </c>
      <c r="D707">
        <v>12.247985345301132</v>
      </c>
    </row>
    <row r="708" spans="1:4">
      <c r="A708">
        <v>0</v>
      </c>
      <c r="B708">
        <v>0</v>
      </c>
      <c r="C708">
        <v>0</v>
      </c>
      <c r="D708">
        <v>11.998293552384894</v>
      </c>
    </row>
    <row r="709" spans="1:4">
      <c r="A709">
        <v>0</v>
      </c>
      <c r="B709">
        <v>0</v>
      </c>
      <c r="C709">
        <v>0</v>
      </c>
      <c r="D709">
        <v>11.659980825211782</v>
      </c>
    </row>
    <row r="710" spans="1:4">
      <c r="A710">
        <v>0</v>
      </c>
      <c r="B710">
        <v>0</v>
      </c>
      <c r="C710">
        <v>0</v>
      </c>
      <c r="D710">
        <v>87.054874909250842</v>
      </c>
    </row>
    <row r="711" spans="1:4">
      <c r="A711">
        <v>0</v>
      </c>
      <c r="B711">
        <v>0</v>
      </c>
      <c r="C711">
        <v>0</v>
      </c>
      <c r="D711">
        <v>93.437768987530447</v>
      </c>
    </row>
    <row r="712" spans="1:4">
      <c r="A712">
        <v>0</v>
      </c>
      <c r="B712">
        <v>0</v>
      </c>
      <c r="C712">
        <v>0</v>
      </c>
      <c r="D712">
        <v>95.361912127580865</v>
      </c>
    </row>
    <row r="713" spans="1:4">
      <c r="A713">
        <v>0</v>
      </c>
      <c r="B713">
        <v>0</v>
      </c>
      <c r="C713">
        <v>0</v>
      </c>
      <c r="D713">
        <v>95.705607638297209</v>
      </c>
    </row>
    <row r="714" spans="1:4">
      <c r="A714">
        <v>0</v>
      </c>
      <c r="B714">
        <v>0</v>
      </c>
      <c r="C714">
        <v>0</v>
      </c>
      <c r="D714">
        <v>94.334256797226814</v>
      </c>
    </row>
    <row r="715" spans="1:4">
      <c r="A715">
        <v>0</v>
      </c>
      <c r="B715">
        <v>0</v>
      </c>
      <c r="C715">
        <v>0</v>
      </c>
      <c r="D715">
        <v>81.855164669550589</v>
      </c>
    </row>
    <row r="716" spans="1:4">
      <c r="A716">
        <v>0</v>
      </c>
      <c r="B716">
        <v>0</v>
      </c>
      <c r="C716">
        <v>0</v>
      </c>
      <c r="D716">
        <v>83.721216580974868</v>
      </c>
    </row>
    <row r="717" spans="1:4">
      <c r="A717">
        <v>0</v>
      </c>
      <c r="B717">
        <v>0</v>
      </c>
      <c r="C717">
        <v>0</v>
      </c>
      <c r="D717">
        <v>71.070539800448529</v>
      </c>
    </row>
    <row r="718" spans="1:4">
      <c r="A718">
        <v>0</v>
      </c>
      <c r="B718">
        <v>0</v>
      </c>
      <c r="C718">
        <v>0</v>
      </c>
      <c r="D718">
        <v>42.778932988280033</v>
      </c>
    </row>
    <row r="719" spans="1:4">
      <c r="A719">
        <v>0</v>
      </c>
      <c r="B719">
        <v>0</v>
      </c>
      <c r="C719">
        <v>0</v>
      </c>
      <c r="D719">
        <v>32.405041955385208</v>
      </c>
    </row>
    <row r="720" spans="1:4">
      <c r="A720">
        <v>0</v>
      </c>
      <c r="B720">
        <v>0</v>
      </c>
      <c r="C720">
        <v>0</v>
      </c>
      <c r="D720">
        <v>12.25099484827188</v>
      </c>
    </row>
    <row r="721" spans="1:4">
      <c r="A721">
        <v>0</v>
      </c>
      <c r="B721">
        <v>0</v>
      </c>
      <c r="C721">
        <v>0</v>
      </c>
      <c r="D721">
        <v>12.249977152149597</v>
      </c>
    </row>
    <row r="722" spans="1:4">
      <c r="A722">
        <v>0</v>
      </c>
      <c r="B722">
        <v>0</v>
      </c>
      <c r="C722">
        <v>0</v>
      </c>
      <c r="D722">
        <v>12.248883793410862</v>
      </c>
    </row>
    <row r="723" spans="1:4">
      <c r="A723">
        <v>0</v>
      </c>
      <c r="B723">
        <v>0</v>
      </c>
      <c r="C723">
        <v>0</v>
      </c>
      <c r="D723">
        <v>12.231393733587474</v>
      </c>
    </row>
    <row r="724" spans="1:4">
      <c r="A724">
        <v>0</v>
      </c>
      <c r="B724">
        <v>0</v>
      </c>
      <c r="C724">
        <v>0</v>
      </c>
      <c r="D724">
        <v>12.217406992754832</v>
      </c>
    </row>
    <row r="725" spans="1:4">
      <c r="A725">
        <v>0</v>
      </c>
      <c r="B725">
        <v>0</v>
      </c>
      <c r="C725">
        <v>0</v>
      </c>
      <c r="D725">
        <v>4.5587743713024125</v>
      </c>
    </row>
    <row r="726" spans="1:4">
      <c r="A726">
        <v>0</v>
      </c>
      <c r="B726">
        <v>0</v>
      </c>
      <c r="C726">
        <v>0</v>
      </c>
      <c r="D726">
        <v>11.99868072766715</v>
      </c>
    </row>
    <row r="727" spans="1:4">
      <c r="A727">
        <v>0</v>
      </c>
      <c r="B727">
        <v>0</v>
      </c>
      <c r="C727">
        <v>0</v>
      </c>
      <c r="D727">
        <v>29.097602658279758</v>
      </c>
    </row>
    <row r="728" spans="1:4">
      <c r="A728">
        <v>0</v>
      </c>
      <c r="B728">
        <v>0</v>
      </c>
      <c r="C728">
        <v>0</v>
      </c>
      <c r="D728">
        <v>73.259093325337318</v>
      </c>
    </row>
    <row r="729" spans="1:4">
      <c r="A729">
        <v>0</v>
      </c>
      <c r="B729">
        <v>0</v>
      </c>
      <c r="C729">
        <v>0</v>
      </c>
      <c r="D729">
        <v>14.143756880524078</v>
      </c>
    </row>
    <row r="730" spans="1:4">
      <c r="A730">
        <v>0</v>
      </c>
      <c r="B730">
        <v>0</v>
      </c>
      <c r="C730">
        <v>0</v>
      </c>
      <c r="D730">
        <v>74.514153491975279</v>
      </c>
    </row>
    <row r="731" spans="1:4">
      <c r="A731">
        <v>0</v>
      </c>
      <c r="B731">
        <v>0</v>
      </c>
      <c r="C731">
        <v>0</v>
      </c>
      <c r="D731">
        <v>57.17750012151275</v>
      </c>
    </row>
    <row r="732" spans="1:4">
      <c r="A732">
        <v>0</v>
      </c>
      <c r="B732">
        <v>0</v>
      </c>
      <c r="C732">
        <v>0</v>
      </c>
      <c r="D732">
        <v>14.131726443992333</v>
      </c>
    </row>
    <row r="733" spans="1:4">
      <c r="A733">
        <v>0</v>
      </c>
      <c r="B733">
        <v>0</v>
      </c>
      <c r="C733">
        <v>0</v>
      </c>
      <c r="D733">
        <v>14.131726342124409</v>
      </c>
    </row>
    <row r="734" spans="1:4">
      <c r="A734">
        <v>0</v>
      </c>
      <c r="B734">
        <v>0</v>
      </c>
      <c r="C734">
        <v>0</v>
      </c>
      <c r="D734">
        <v>86.943265400975562</v>
      </c>
    </row>
    <row r="735" spans="1:4">
      <c r="A735">
        <v>0</v>
      </c>
      <c r="B735">
        <v>0</v>
      </c>
      <c r="C735">
        <v>0</v>
      </c>
      <c r="D735">
        <v>86.943277177933993</v>
      </c>
    </row>
    <row r="736" spans="1:4">
      <c r="A736">
        <v>0</v>
      </c>
      <c r="B736">
        <v>0</v>
      </c>
      <c r="C736">
        <v>0</v>
      </c>
      <c r="D736">
        <v>86.943272497247165</v>
      </c>
    </row>
    <row r="737" spans="1:4">
      <c r="A737">
        <v>0</v>
      </c>
      <c r="B737">
        <v>0</v>
      </c>
      <c r="C737">
        <v>0</v>
      </c>
      <c r="D737">
        <v>86.943222690521196</v>
      </c>
    </row>
    <row r="738" spans="1:4">
      <c r="A738">
        <v>0</v>
      </c>
      <c r="B738">
        <v>0</v>
      </c>
      <c r="C738">
        <v>0</v>
      </c>
      <c r="D738">
        <v>85.274495056569734</v>
      </c>
    </row>
    <row r="739" spans="1:4">
      <c r="A739">
        <v>0</v>
      </c>
      <c r="B739">
        <v>0</v>
      </c>
      <c r="C739">
        <v>0</v>
      </c>
      <c r="D739">
        <v>71.337043865466171</v>
      </c>
    </row>
    <row r="740" spans="1:4">
      <c r="A740">
        <v>0</v>
      </c>
      <c r="B740">
        <v>0</v>
      </c>
      <c r="C740">
        <v>0</v>
      </c>
      <c r="D740">
        <v>57.397068041192568</v>
      </c>
    </row>
    <row r="741" spans="1:4">
      <c r="A741">
        <v>0</v>
      </c>
      <c r="B741">
        <v>0</v>
      </c>
      <c r="C741">
        <v>0</v>
      </c>
      <c r="D741">
        <v>14.558035603888683</v>
      </c>
    </row>
    <row r="742" spans="1:4">
      <c r="A742">
        <v>0</v>
      </c>
      <c r="B742">
        <v>0</v>
      </c>
      <c r="C742">
        <v>0</v>
      </c>
      <c r="D742">
        <v>14.227554718614542</v>
      </c>
    </row>
    <row r="743" spans="1:4">
      <c r="A743">
        <v>0</v>
      </c>
      <c r="B743">
        <v>0</v>
      </c>
      <c r="C743">
        <v>0</v>
      </c>
      <c r="D743">
        <v>14.134009564739891</v>
      </c>
    </row>
    <row r="744" spans="1:4">
      <c r="A744">
        <v>0</v>
      </c>
      <c r="B744">
        <v>0</v>
      </c>
      <c r="C744">
        <v>0</v>
      </c>
      <c r="D744">
        <v>14.131868872726912</v>
      </c>
    </row>
    <row r="745" spans="1:4">
      <c r="A745">
        <v>0</v>
      </c>
      <c r="B745">
        <v>0</v>
      </c>
      <c r="C745">
        <v>0</v>
      </c>
      <c r="D745">
        <v>14.135262398065244</v>
      </c>
    </row>
    <row r="746" spans="1:4">
      <c r="A746">
        <v>0</v>
      </c>
      <c r="B746">
        <v>0</v>
      </c>
      <c r="C746">
        <v>0</v>
      </c>
      <c r="D746">
        <v>14.131733087215734</v>
      </c>
    </row>
    <row r="747" spans="1:4">
      <c r="A747">
        <v>0</v>
      </c>
      <c r="B747">
        <v>0</v>
      </c>
      <c r="C747">
        <v>0</v>
      </c>
      <c r="D747">
        <v>33.717349246624721</v>
      </c>
    </row>
    <row r="748" spans="1:4">
      <c r="A748">
        <v>0</v>
      </c>
      <c r="B748">
        <v>0</v>
      </c>
      <c r="C748">
        <v>0</v>
      </c>
      <c r="D748">
        <v>12.244184017121199</v>
      </c>
    </row>
    <row r="749" spans="1:4">
      <c r="A749">
        <v>0</v>
      </c>
      <c r="B749">
        <v>0</v>
      </c>
      <c r="C749">
        <v>0</v>
      </c>
      <c r="D749">
        <v>12.222793383711782</v>
      </c>
    </row>
    <row r="750" spans="1:4">
      <c r="A750">
        <v>0</v>
      </c>
      <c r="B750">
        <v>0</v>
      </c>
      <c r="C750">
        <v>0</v>
      </c>
      <c r="D750">
        <v>66.405183728367703</v>
      </c>
    </row>
    <row r="751" spans="1:4">
      <c r="A751">
        <v>0</v>
      </c>
      <c r="B751">
        <v>0</v>
      </c>
      <c r="C751">
        <v>0</v>
      </c>
      <c r="D751">
        <v>85.289345438378689</v>
      </c>
    </row>
    <row r="752" spans="1:4">
      <c r="A752">
        <v>0</v>
      </c>
      <c r="B752">
        <v>0</v>
      </c>
      <c r="C752">
        <v>0</v>
      </c>
      <c r="D752">
        <v>12.252161845570981</v>
      </c>
    </row>
    <row r="753" spans="1:4">
      <c r="A753">
        <v>0</v>
      </c>
      <c r="B753">
        <v>0</v>
      </c>
      <c r="C753">
        <v>0</v>
      </c>
      <c r="D753">
        <v>12.218823589697294</v>
      </c>
    </row>
    <row r="754" spans="1:4">
      <c r="A754">
        <v>0</v>
      </c>
      <c r="B754">
        <v>0</v>
      </c>
      <c r="C754">
        <v>0</v>
      </c>
      <c r="D754">
        <v>88.966106700665307</v>
      </c>
    </row>
    <row r="755" spans="1:4">
      <c r="A755">
        <v>0</v>
      </c>
      <c r="B755">
        <v>0</v>
      </c>
      <c r="C755">
        <v>0</v>
      </c>
      <c r="D755">
        <v>101.44025938352698</v>
      </c>
    </row>
    <row r="756" spans="1:4">
      <c r="A756">
        <v>0</v>
      </c>
      <c r="B756">
        <v>0</v>
      </c>
      <c r="C756">
        <v>0</v>
      </c>
      <c r="D756">
        <v>95.054335245368009</v>
      </c>
    </row>
    <row r="757" spans="1:4">
      <c r="A757">
        <v>0</v>
      </c>
      <c r="B757">
        <v>0</v>
      </c>
      <c r="C757">
        <v>0</v>
      </c>
      <c r="D757">
        <v>77.331509752199977</v>
      </c>
    </row>
    <row r="758" spans="1:4">
      <c r="A758">
        <v>0</v>
      </c>
      <c r="B758">
        <v>0</v>
      </c>
      <c r="C758">
        <v>0</v>
      </c>
      <c r="D758">
        <v>14.134236403375859</v>
      </c>
    </row>
    <row r="759" spans="1:4">
      <c r="A759">
        <v>0</v>
      </c>
      <c r="B759">
        <v>0</v>
      </c>
      <c r="C759">
        <v>0</v>
      </c>
      <c r="D759">
        <v>14.131972848388578</v>
      </c>
    </row>
    <row r="760" spans="1:4">
      <c r="A760">
        <v>0</v>
      </c>
      <c r="B760">
        <v>0</v>
      </c>
      <c r="C760">
        <v>0</v>
      </c>
      <c r="D760">
        <v>14.131780799931796</v>
      </c>
    </row>
    <row r="761" spans="1:4">
      <c r="A761">
        <v>0</v>
      </c>
      <c r="B761">
        <v>0</v>
      </c>
      <c r="C761">
        <v>0</v>
      </c>
      <c r="D761">
        <v>12.19147052478236</v>
      </c>
    </row>
    <row r="762" spans="1:4">
      <c r="A762">
        <v>0</v>
      </c>
      <c r="B762">
        <v>0</v>
      </c>
      <c r="C762">
        <v>0</v>
      </c>
      <c r="D762">
        <v>1.3087981417394658</v>
      </c>
    </row>
    <row r="763" spans="1:4">
      <c r="A763">
        <v>0</v>
      </c>
      <c r="B763">
        <v>0</v>
      </c>
      <c r="C763">
        <v>0</v>
      </c>
      <c r="D763">
        <v>13.115692595204765</v>
      </c>
    </row>
    <row r="764" spans="1:4">
      <c r="A764">
        <v>0</v>
      </c>
      <c r="B764">
        <v>0</v>
      </c>
      <c r="C764">
        <v>0</v>
      </c>
      <c r="D764">
        <v>86.945053171920165</v>
      </c>
    </row>
    <row r="765" spans="1:4">
      <c r="A765">
        <v>0</v>
      </c>
      <c r="B765">
        <v>0</v>
      </c>
      <c r="C765">
        <v>0</v>
      </c>
      <c r="D765">
        <v>86.945883672148085</v>
      </c>
    </row>
    <row r="766" spans="1:4">
      <c r="A766">
        <v>0</v>
      </c>
      <c r="B766">
        <v>0</v>
      </c>
      <c r="C766">
        <v>0</v>
      </c>
      <c r="D766">
        <v>86.946435340368936</v>
      </c>
    </row>
    <row r="767" spans="1:4">
      <c r="A767">
        <v>0</v>
      </c>
      <c r="B767">
        <v>0</v>
      </c>
      <c r="C767">
        <v>0</v>
      </c>
      <c r="D767">
        <v>86.947682411853009</v>
      </c>
    </row>
    <row r="768" spans="1:4">
      <c r="A768">
        <v>0</v>
      </c>
      <c r="B768">
        <v>0</v>
      </c>
      <c r="C768">
        <v>0</v>
      </c>
      <c r="D768">
        <v>86.947972193598957</v>
      </c>
    </row>
    <row r="769" spans="1:4">
      <c r="A769">
        <v>0</v>
      </c>
      <c r="B769">
        <v>0</v>
      </c>
      <c r="C769">
        <v>0</v>
      </c>
      <c r="D769">
        <v>63.502687399553992</v>
      </c>
    </row>
    <row r="770" spans="1:4">
      <c r="A770">
        <v>0</v>
      </c>
      <c r="B770">
        <v>0</v>
      </c>
      <c r="C770">
        <v>0</v>
      </c>
      <c r="D770">
        <v>86.895650189542479</v>
      </c>
    </row>
    <row r="771" spans="1:4">
      <c r="A771">
        <v>0</v>
      </c>
      <c r="B771">
        <v>0</v>
      </c>
      <c r="C771">
        <v>0</v>
      </c>
      <c r="D771">
        <v>37.419615898740631</v>
      </c>
    </row>
    <row r="772" spans="1:4">
      <c r="A772">
        <v>0</v>
      </c>
      <c r="B772">
        <v>0</v>
      </c>
      <c r="C772">
        <v>0</v>
      </c>
      <c r="D772">
        <v>67.319600961317605</v>
      </c>
    </row>
    <row r="773" spans="1:4">
      <c r="A773">
        <v>0</v>
      </c>
      <c r="B773">
        <v>0</v>
      </c>
      <c r="C773">
        <v>0</v>
      </c>
      <c r="D773">
        <v>14.136154254847895</v>
      </c>
    </row>
    <row r="774" spans="1:4">
      <c r="A774">
        <v>0</v>
      </c>
      <c r="B774">
        <v>0</v>
      </c>
      <c r="C774">
        <v>0</v>
      </c>
      <c r="D774">
        <v>44.944445346369719</v>
      </c>
    </row>
    <row r="775" spans="1:4">
      <c r="A775">
        <v>0</v>
      </c>
      <c r="B775">
        <v>0</v>
      </c>
      <c r="C775">
        <v>0</v>
      </c>
      <c r="D775">
        <v>14.131744391226718</v>
      </c>
    </row>
    <row r="776" spans="1:4">
      <c r="A776">
        <v>0</v>
      </c>
      <c r="B776">
        <v>0</v>
      </c>
      <c r="C776">
        <v>0</v>
      </c>
      <c r="D776">
        <v>34.626335947915663</v>
      </c>
    </row>
    <row r="777" spans="1:4">
      <c r="A777">
        <v>0</v>
      </c>
      <c r="B777">
        <v>0</v>
      </c>
      <c r="C777">
        <v>0</v>
      </c>
      <c r="D777">
        <v>14.473017103624237</v>
      </c>
    </row>
    <row r="778" spans="1:4">
      <c r="A778">
        <v>0</v>
      </c>
      <c r="B778">
        <v>0</v>
      </c>
      <c r="C778">
        <v>0</v>
      </c>
      <c r="D778">
        <v>90.269550713922712</v>
      </c>
    </row>
    <row r="779" spans="1:4">
      <c r="A779">
        <v>0</v>
      </c>
      <c r="B779">
        <v>0</v>
      </c>
      <c r="C779">
        <v>0</v>
      </c>
      <c r="D779">
        <v>96.159115909523493</v>
      </c>
    </row>
    <row r="780" spans="1:4">
      <c r="A780">
        <v>0</v>
      </c>
      <c r="B780">
        <v>0</v>
      </c>
      <c r="C780">
        <v>0</v>
      </c>
      <c r="D780">
        <v>68.781199719965798</v>
      </c>
    </row>
    <row r="781" spans="1:4">
      <c r="A781">
        <v>0</v>
      </c>
      <c r="B781">
        <v>0</v>
      </c>
      <c r="C781">
        <v>0</v>
      </c>
      <c r="D781">
        <v>85.481637919317876</v>
      </c>
    </row>
    <row r="782" spans="1:4">
      <c r="A782">
        <v>0</v>
      </c>
      <c r="B782">
        <v>0</v>
      </c>
      <c r="C782">
        <v>0</v>
      </c>
      <c r="D782">
        <v>99.325064082026728</v>
      </c>
    </row>
    <row r="783" spans="1:4">
      <c r="A783">
        <v>0</v>
      </c>
      <c r="B783">
        <v>0</v>
      </c>
      <c r="C783">
        <v>0</v>
      </c>
      <c r="D783">
        <v>55.715260734173626</v>
      </c>
    </row>
    <row r="784" spans="1:4">
      <c r="A784">
        <v>0</v>
      </c>
      <c r="B784">
        <v>0</v>
      </c>
      <c r="C784">
        <v>0</v>
      </c>
      <c r="D784">
        <v>63.444515991317857</v>
      </c>
    </row>
    <row r="785" spans="1:4">
      <c r="A785">
        <v>0</v>
      </c>
      <c r="B785">
        <v>0</v>
      </c>
      <c r="C785">
        <v>0</v>
      </c>
      <c r="D785">
        <v>86.727957926900757</v>
      </c>
    </row>
    <row r="786" spans="1:4">
      <c r="A786">
        <v>0</v>
      </c>
      <c r="B786">
        <v>0</v>
      </c>
      <c r="C786">
        <v>0</v>
      </c>
      <c r="D786">
        <v>93.005221367042907</v>
      </c>
    </row>
    <row r="787" spans="1:4">
      <c r="A787">
        <v>0</v>
      </c>
      <c r="B787">
        <v>0</v>
      </c>
      <c r="C787">
        <v>0</v>
      </c>
      <c r="D787">
        <v>85.893226189547491</v>
      </c>
    </row>
    <row r="788" spans="1:4">
      <c r="A788">
        <v>0</v>
      </c>
      <c r="B788">
        <v>0</v>
      </c>
      <c r="C788">
        <v>0</v>
      </c>
      <c r="D788">
        <v>80.64463558800621</v>
      </c>
    </row>
    <row r="789" spans="1:4">
      <c r="A789">
        <v>0</v>
      </c>
      <c r="B789">
        <v>0</v>
      </c>
      <c r="C789">
        <v>0</v>
      </c>
      <c r="D789">
        <v>78.550339686406346</v>
      </c>
    </row>
    <row r="790" spans="1:4">
      <c r="A790">
        <v>0</v>
      </c>
      <c r="B790">
        <v>0</v>
      </c>
      <c r="C790">
        <v>0</v>
      </c>
      <c r="D790">
        <v>63.705324759036472</v>
      </c>
    </row>
    <row r="791" spans="1:4">
      <c r="A791">
        <v>0</v>
      </c>
      <c r="B791">
        <v>0</v>
      </c>
      <c r="C791">
        <v>0</v>
      </c>
      <c r="D791">
        <v>53.423537925274189</v>
      </c>
    </row>
    <row r="792" spans="1:4">
      <c r="A792">
        <v>0</v>
      </c>
      <c r="B792">
        <v>0</v>
      </c>
      <c r="C792">
        <v>0</v>
      </c>
      <c r="D792">
        <v>46.52247534400987</v>
      </c>
    </row>
    <row r="793" spans="1:4">
      <c r="A793">
        <v>0</v>
      </c>
      <c r="B793">
        <v>0</v>
      </c>
      <c r="C793">
        <v>0</v>
      </c>
      <c r="D793">
        <v>87.338044571654706</v>
      </c>
    </row>
    <row r="794" spans="1:4">
      <c r="A794">
        <v>0</v>
      </c>
      <c r="B794">
        <v>0</v>
      </c>
      <c r="C794">
        <v>0</v>
      </c>
      <c r="D794">
        <v>57.389110575256311</v>
      </c>
    </row>
    <row r="795" spans="1:4">
      <c r="A795">
        <v>0</v>
      </c>
      <c r="B795">
        <v>0</v>
      </c>
      <c r="C795">
        <v>0</v>
      </c>
      <c r="D795">
        <v>57.393163075705864</v>
      </c>
    </row>
    <row r="796" spans="1:4">
      <c r="A796">
        <v>0</v>
      </c>
      <c r="B796">
        <v>0</v>
      </c>
      <c r="C796">
        <v>0</v>
      </c>
      <c r="D796">
        <v>25.752852771294165</v>
      </c>
    </row>
    <row r="797" spans="1:4">
      <c r="A797">
        <v>0</v>
      </c>
      <c r="B797">
        <v>0</v>
      </c>
      <c r="C797">
        <v>0</v>
      </c>
      <c r="D797">
        <v>14.132023527703225</v>
      </c>
    </row>
    <row r="798" spans="1:4">
      <c r="A798">
        <v>0</v>
      </c>
      <c r="B798">
        <v>0</v>
      </c>
      <c r="C798">
        <v>0</v>
      </c>
      <c r="D798">
        <v>57.928314375998958</v>
      </c>
    </row>
    <row r="799" spans="1:4">
      <c r="A799">
        <v>0</v>
      </c>
      <c r="B799">
        <v>0</v>
      </c>
      <c r="C799">
        <v>0</v>
      </c>
      <c r="D799">
        <v>82.815889693278592</v>
      </c>
    </row>
    <row r="800" spans="1:4">
      <c r="A800">
        <v>0</v>
      </c>
      <c r="B800">
        <v>0</v>
      </c>
      <c r="C800">
        <v>0</v>
      </c>
      <c r="D800">
        <v>36.052006172294284</v>
      </c>
    </row>
    <row r="801" spans="1:4">
      <c r="A801">
        <v>0</v>
      </c>
      <c r="B801">
        <v>0</v>
      </c>
      <c r="C801">
        <v>0</v>
      </c>
      <c r="D801">
        <v>9.4895257055371189</v>
      </c>
    </row>
    <row r="802" spans="1:4">
      <c r="A802">
        <v>0</v>
      </c>
      <c r="B802">
        <v>0</v>
      </c>
      <c r="C802">
        <v>0</v>
      </c>
      <c r="D802">
        <v>9.4892357726617576</v>
      </c>
    </row>
    <row r="803" spans="1:4">
      <c r="A803">
        <v>0</v>
      </c>
      <c r="B803">
        <v>0</v>
      </c>
      <c r="C803">
        <v>0</v>
      </c>
      <c r="D803">
        <v>71.072566129177886</v>
      </c>
    </row>
    <row r="804" spans="1:4">
      <c r="A804">
        <v>0</v>
      </c>
      <c r="B804">
        <v>0</v>
      </c>
      <c r="C804">
        <v>0</v>
      </c>
      <c r="D804">
        <v>53.791944997873344</v>
      </c>
    </row>
    <row r="805" spans="1:4">
      <c r="A805">
        <v>0</v>
      </c>
      <c r="B805">
        <v>0</v>
      </c>
      <c r="C805">
        <v>0</v>
      </c>
      <c r="D805">
        <v>71.073570225884282</v>
      </c>
    </row>
    <row r="806" spans="1:4">
      <c r="A806">
        <v>0</v>
      </c>
      <c r="B806">
        <v>0</v>
      </c>
      <c r="C806">
        <v>0</v>
      </c>
      <c r="D806">
        <v>40.482262834756682</v>
      </c>
    </row>
    <row r="807" spans="1:4">
      <c r="A807">
        <v>0</v>
      </c>
      <c r="B807">
        <v>0</v>
      </c>
      <c r="C807">
        <v>0</v>
      </c>
      <c r="D807">
        <v>48.802044568573919</v>
      </c>
    </row>
    <row r="808" spans="1:4">
      <c r="A808">
        <v>0</v>
      </c>
      <c r="B808">
        <v>0</v>
      </c>
      <c r="C808">
        <v>0</v>
      </c>
      <c r="D808">
        <v>37.284563100466016</v>
      </c>
    </row>
    <row r="809" spans="1:4">
      <c r="A809">
        <v>0</v>
      </c>
      <c r="B809">
        <v>0</v>
      </c>
      <c r="C809">
        <v>0</v>
      </c>
      <c r="D809">
        <v>65.526670188064514</v>
      </c>
    </row>
    <row r="810" spans="1:4">
      <c r="A810">
        <v>0</v>
      </c>
      <c r="B810">
        <v>0</v>
      </c>
      <c r="C810">
        <v>0</v>
      </c>
      <c r="D810">
        <v>40.557815406323101</v>
      </c>
    </row>
    <row r="811" spans="1:4">
      <c r="A811">
        <v>0</v>
      </c>
      <c r="B811">
        <v>0</v>
      </c>
      <c r="C811">
        <v>0</v>
      </c>
      <c r="D811">
        <v>71.028396531611421</v>
      </c>
    </row>
    <row r="812" spans="1:4">
      <c r="A812">
        <v>0</v>
      </c>
      <c r="B812">
        <v>0</v>
      </c>
      <c r="C812">
        <v>0</v>
      </c>
      <c r="D812">
        <v>31.043923450470814</v>
      </c>
    </row>
    <row r="813" spans="1:4">
      <c r="A813">
        <v>0</v>
      </c>
      <c r="B813">
        <v>0</v>
      </c>
      <c r="C813">
        <v>0</v>
      </c>
      <c r="D813">
        <v>31.871477619094147</v>
      </c>
    </row>
    <row r="814" spans="1:4">
      <c r="A814">
        <v>0</v>
      </c>
      <c r="B814">
        <v>0</v>
      </c>
      <c r="C814">
        <v>0</v>
      </c>
      <c r="D814">
        <v>94.01299582115773</v>
      </c>
    </row>
    <row r="815" spans="1:4">
      <c r="A815">
        <v>0</v>
      </c>
      <c r="B815">
        <v>0</v>
      </c>
      <c r="C815">
        <v>0</v>
      </c>
      <c r="D815">
        <v>71.074772332770166</v>
      </c>
    </row>
    <row r="816" spans="1:4">
      <c r="A816">
        <v>0</v>
      </c>
      <c r="B816">
        <v>0</v>
      </c>
      <c r="C816">
        <v>0</v>
      </c>
      <c r="D816">
        <v>14.140845342846298</v>
      </c>
    </row>
    <row r="817" spans="1:4">
      <c r="A817">
        <v>0</v>
      </c>
      <c r="B817">
        <v>0</v>
      </c>
      <c r="C817">
        <v>0</v>
      </c>
      <c r="D817">
        <v>14.409164044188756</v>
      </c>
    </row>
    <row r="818" spans="1:4">
      <c r="A818">
        <v>0</v>
      </c>
      <c r="B818">
        <v>0</v>
      </c>
      <c r="C818">
        <v>0</v>
      </c>
      <c r="D818">
        <v>55.523714953431387</v>
      </c>
    </row>
    <row r="819" spans="1:4">
      <c r="A819">
        <v>0</v>
      </c>
      <c r="B819">
        <v>0</v>
      </c>
      <c r="C819">
        <v>0</v>
      </c>
      <c r="D819">
        <v>88.919704407713965</v>
      </c>
    </row>
    <row r="820" spans="1:4">
      <c r="A820">
        <v>0</v>
      </c>
      <c r="B820">
        <v>0</v>
      </c>
      <c r="C820">
        <v>0</v>
      </c>
      <c r="D820">
        <v>30.13995407201168</v>
      </c>
    </row>
    <row r="821" spans="1:4">
      <c r="A821">
        <v>0</v>
      </c>
      <c r="B821">
        <v>0</v>
      </c>
      <c r="C821">
        <v>0</v>
      </c>
      <c r="D821">
        <v>40.546020714411654</v>
      </c>
    </row>
    <row r="822" spans="1:4">
      <c r="A822">
        <v>0</v>
      </c>
      <c r="B822">
        <v>0</v>
      </c>
      <c r="C822">
        <v>0</v>
      </c>
      <c r="D822">
        <v>30.01697665393074</v>
      </c>
    </row>
    <row r="823" spans="1:4">
      <c r="A823">
        <v>0</v>
      </c>
      <c r="B823">
        <v>0</v>
      </c>
      <c r="C823">
        <v>0</v>
      </c>
      <c r="D823">
        <v>86.891774600985883</v>
      </c>
    </row>
    <row r="824" spans="1:4">
      <c r="A824">
        <v>0</v>
      </c>
      <c r="B824">
        <v>0</v>
      </c>
      <c r="C824">
        <v>0</v>
      </c>
      <c r="D824">
        <v>90.676947089089069</v>
      </c>
    </row>
    <row r="825" spans="1:4">
      <c r="A825">
        <v>0</v>
      </c>
      <c r="B825">
        <v>0</v>
      </c>
      <c r="C825">
        <v>0</v>
      </c>
      <c r="D825">
        <v>47.919875380930883</v>
      </c>
    </row>
    <row r="826" spans="1:4">
      <c r="A826">
        <v>0</v>
      </c>
      <c r="B826">
        <v>0</v>
      </c>
      <c r="C826">
        <v>0</v>
      </c>
      <c r="D826">
        <v>71.710274997701134</v>
      </c>
    </row>
    <row r="827" spans="1:4">
      <c r="A827">
        <v>0</v>
      </c>
      <c r="B827">
        <v>0</v>
      </c>
      <c r="C827">
        <v>0</v>
      </c>
      <c r="D827">
        <v>71.074540050077502</v>
      </c>
    </row>
    <row r="828" spans="1:4">
      <c r="A828">
        <v>0</v>
      </c>
      <c r="B828">
        <v>0</v>
      </c>
      <c r="C828">
        <v>0</v>
      </c>
      <c r="D828">
        <v>74.21779607553529</v>
      </c>
    </row>
    <row r="829" spans="1:4">
      <c r="A829">
        <v>0</v>
      </c>
      <c r="B829">
        <v>0</v>
      </c>
      <c r="C829">
        <v>0</v>
      </c>
      <c r="D829">
        <v>86.942989910378856</v>
      </c>
    </row>
    <row r="830" spans="1:4">
      <c r="A830">
        <v>0</v>
      </c>
      <c r="B830">
        <v>0</v>
      </c>
      <c r="C830">
        <v>0</v>
      </c>
      <c r="D830">
        <v>85.395444687813381</v>
      </c>
    </row>
    <row r="831" spans="1:4">
      <c r="A831">
        <v>0</v>
      </c>
      <c r="B831">
        <v>0</v>
      </c>
      <c r="C831">
        <v>0</v>
      </c>
      <c r="D831">
        <v>46.168536222085805</v>
      </c>
    </row>
    <row r="832" spans="1:4">
      <c r="A832">
        <v>0</v>
      </c>
      <c r="B832">
        <v>0</v>
      </c>
      <c r="C832">
        <v>0</v>
      </c>
      <c r="D832">
        <v>14.131844764623033</v>
      </c>
    </row>
    <row r="833" spans="1:4">
      <c r="A833">
        <v>0</v>
      </c>
      <c r="B833">
        <v>0</v>
      </c>
      <c r="C833">
        <v>0</v>
      </c>
      <c r="D833">
        <v>40.531041059546041</v>
      </c>
    </row>
    <row r="834" spans="1:4">
      <c r="A834">
        <v>0</v>
      </c>
      <c r="B834">
        <v>0</v>
      </c>
      <c r="C834">
        <v>0</v>
      </c>
      <c r="D834">
        <v>27.838868653899425</v>
      </c>
    </row>
    <row r="835" spans="1:4">
      <c r="A835">
        <v>0</v>
      </c>
      <c r="B835">
        <v>0</v>
      </c>
      <c r="C835">
        <v>0</v>
      </c>
      <c r="D835">
        <v>30.110273306124569</v>
      </c>
    </row>
    <row r="836" spans="1:4">
      <c r="A836">
        <v>0</v>
      </c>
      <c r="B836">
        <v>0</v>
      </c>
      <c r="C836">
        <v>0</v>
      </c>
      <c r="D836">
        <v>16.886352206513891</v>
      </c>
    </row>
    <row r="837" spans="1:4">
      <c r="A837">
        <v>0</v>
      </c>
      <c r="B837">
        <v>0</v>
      </c>
      <c r="C837">
        <v>0</v>
      </c>
      <c r="D837">
        <v>27.830448838231611</v>
      </c>
    </row>
    <row r="838" spans="1:4">
      <c r="A838">
        <v>0</v>
      </c>
      <c r="B838">
        <v>0</v>
      </c>
      <c r="C838">
        <v>0</v>
      </c>
      <c r="D838">
        <v>45.327604446654789</v>
      </c>
    </row>
    <row r="839" spans="1:4">
      <c r="A839">
        <v>0</v>
      </c>
      <c r="B839">
        <v>0</v>
      </c>
      <c r="C839">
        <v>0</v>
      </c>
      <c r="D839">
        <v>27.828087353347357</v>
      </c>
    </row>
    <row r="840" spans="1:4">
      <c r="A840">
        <v>0</v>
      </c>
      <c r="B840">
        <v>0</v>
      </c>
      <c r="C840">
        <v>0</v>
      </c>
      <c r="D840">
        <v>15.326591262853469</v>
      </c>
    </row>
    <row r="841" spans="1:4">
      <c r="A841">
        <v>0</v>
      </c>
      <c r="B841">
        <v>0</v>
      </c>
      <c r="C841">
        <v>0</v>
      </c>
      <c r="D841">
        <v>27.43200483371244</v>
      </c>
    </row>
    <row r="842" spans="1:4">
      <c r="A842">
        <v>0</v>
      </c>
      <c r="B842">
        <v>0</v>
      </c>
      <c r="C842">
        <v>0</v>
      </c>
      <c r="D842">
        <v>86.943597923015986</v>
      </c>
    </row>
    <row r="843" spans="1:4">
      <c r="A843">
        <v>0</v>
      </c>
      <c r="B843">
        <v>0</v>
      </c>
      <c r="C843">
        <v>0</v>
      </c>
      <c r="D843">
        <v>57.979049886083345</v>
      </c>
    </row>
    <row r="844" spans="1:4">
      <c r="A844">
        <v>0</v>
      </c>
      <c r="B844">
        <v>0</v>
      </c>
      <c r="C844">
        <v>0</v>
      </c>
      <c r="D844">
        <v>71.077421937153758</v>
      </c>
    </row>
    <row r="845" spans="1:4">
      <c r="A845">
        <v>0</v>
      </c>
      <c r="B845">
        <v>0</v>
      </c>
      <c r="C845">
        <v>0</v>
      </c>
      <c r="D845">
        <v>71.074719323961517</v>
      </c>
    </row>
    <row r="846" spans="1:4">
      <c r="A846">
        <v>0</v>
      </c>
      <c r="B846">
        <v>0</v>
      </c>
      <c r="C846">
        <v>0</v>
      </c>
      <c r="D846">
        <v>28.307640509518013</v>
      </c>
    </row>
    <row r="847" spans="1:4">
      <c r="A847">
        <v>0</v>
      </c>
      <c r="B847">
        <v>0</v>
      </c>
      <c r="C847">
        <v>0</v>
      </c>
      <c r="D847">
        <v>57.385540489905431</v>
      </c>
    </row>
    <row r="848" spans="1:4">
      <c r="A848">
        <v>0</v>
      </c>
      <c r="B848">
        <v>0</v>
      </c>
      <c r="C848">
        <v>0</v>
      </c>
      <c r="D848">
        <v>57.428938190038991</v>
      </c>
    </row>
    <row r="849" spans="1:4">
      <c r="A849">
        <v>0</v>
      </c>
      <c r="B849">
        <v>0</v>
      </c>
      <c r="C849">
        <v>0</v>
      </c>
      <c r="D849">
        <v>45.562280798069423</v>
      </c>
    </row>
    <row r="850" spans="1:4">
      <c r="A850">
        <v>0</v>
      </c>
      <c r="B850">
        <v>0</v>
      </c>
      <c r="C850">
        <v>0</v>
      </c>
      <c r="D850">
        <v>57.370174829146784</v>
      </c>
    </row>
    <row r="851" spans="1:4">
      <c r="A851">
        <v>0</v>
      </c>
      <c r="B851">
        <v>0</v>
      </c>
      <c r="C851">
        <v>0</v>
      </c>
      <c r="D851">
        <v>14.131729466988672</v>
      </c>
    </row>
    <row r="852" spans="1:4">
      <c r="A852">
        <v>0</v>
      </c>
      <c r="B852">
        <v>0</v>
      </c>
      <c r="C852">
        <v>0</v>
      </c>
      <c r="D852">
        <v>71.074965096366398</v>
      </c>
    </row>
    <row r="853" spans="1:4">
      <c r="A853">
        <v>0</v>
      </c>
      <c r="B853">
        <v>0</v>
      </c>
      <c r="C853">
        <v>0</v>
      </c>
      <c r="D853">
        <v>98.716245051437397</v>
      </c>
    </row>
    <row r="854" spans="1:4">
      <c r="A854">
        <v>0</v>
      </c>
      <c r="B854">
        <v>0</v>
      </c>
      <c r="C854">
        <v>0</v>
      </c>
      <c r="D854">
        <v>58.372762128793212</v>
      </c>
    </row>
    <row r="855" spans="1:4">
      <c r="A855">
        <v>0</v>
      </c>
      <c r="B855">
        <v>0</v>
      </c>
      <c r="C855">
        <v>0</v>
      </c>
      <c r="D855">
        <v>78.350371373052496</v>
      </c>
    </row>
    <row r="856" spans="1:4">
      <c r="A856">
        <v>0</v>
      </c>
      <c r="B856">
        <v>0</v>
      </c>
      <c r="C856">
        <v>0</v>
      </c>
      <c r="D856">
        <v>14.603513273722946</v>
      </c>
    </row>
    <row r="857" spans="1:4">
      <c r="A857">
        <v>0</v>
      </c>
      <c r="B857">
        <v>0</v>
      </c>
      <c r="C857">
        <v>0</v>
      </c>
      <c r="D857">
        <v>27.228479850253365</v>
      </c>
    </row>
    <row r="858" spans="1:4">
      <c r="A858">
        <v>0</v>
      </c>
      <c r="B858">
        <v>0</v>
      </c>
      <c r="C858">
        <v>0</v>
      </c>
      <c r="D858">
        <v>47.206773783735244</v>
      </c>
    </row>
    <row r="859" spans="1:4">
      <c r="A859">
        <v>0</v>
      </c>
      <c r="B859">
        <v>0</v>
      </c>
      <c r="C859">
        <v>0</v>
      </c>
      <c r="D859">
        <v>78.125869697146697</v>
      </c>
    </row>
    <row r="860" spans="1:4">
      <c r="A860">
        <v>0</v>
      </c>
      <c r="B860">
        <v>0</v>
      </c>
      <c r="C860">
        <v>0</v>
      </c>
      <c r="D860">
        <v>59.550073143569165</v>
      </c>
    </row>
    <row r="861" spans="1:4">
      <c r="A861">
        <v>0</v>
      </c>
      <c r="B861">
        <v>0</v>
      </c>
      <c r="C861">
        <v>0</v>
      </c>
      <c r="D861">
        <v>46.904172365739612</v>
      </c>
    </row>
    <row r="862" spans="1:4">
      <c r="A862">
        <v>0</v>
      </c>
      <c r="B862">
        <v>0</v>
      </c>
      <c r="C862">
        <v>0</v>
      </c>
      <c r="D862">
        <v>57.382750015112485</v>
      </c>
    </row>
    <row r="863" spans="1:4">
      <c r="A863">
        <v>0</v>
      </c>
      <c r="B863">
        <v>0</v>
      </c>
      <c r="C863">
        <v>0</v>
      </c>
      <c r="D863">
        <v>53.201537282818229</v>
      </c>
    </row>
    <row r="864" spans="1:4">
      <c r="A864">
        <v>0</v>
      </c>
      <c r="B864">
        <v>0</v>
      </c>
      <c r="C864">
        <v>0</v>
      </c>
      <c r="D864">
        <v>71.075986058447469</v>
      </c>
    </row>
    <row r="865" spans="1:4">
      <c r="A865">
        <v>0</v>
      </c>
      <c r="B865">
        <v>0</v>
      </c>
      <c r="C865">
        <v>0</v>
      </c>
      <c r="D865">
        <v>30.277567747150343</v>
      </c>
    </row>
    <row r="866" spans="1:4">
      <c r="A866">
        <v>0</v>
      </c>
      <c r="B866">
        <v>0</v>
      </c>
      <c r="C866">
        <v>0</v>
      </c>
      <c r="D866">
        <v>68.404877863249865</v>
      </c>
    </row>
    <row r="867" spans="1:4">
      <c r="A867">
        <v>0</v>
      </c>
      <c r="B867">
        <v>0</v>
      </c>
      <c r="C867">
        <v>0</v>
      </c>
      <c r="D867">
        <v>54.233513237289955</v>
      </c>
    </row>
    <row r="868" spans="1:4">
      <c r="A868">
        <v>0</v>
      </c>
      <c r="B868">
        <v>0</v>
      </c>
      <c r="C868">
        <v>0</v>
      </c>
      <c r="D868">
        <v>54.214281171004558</v>
      </c>
    </row>
    <row r="869" spans="1:4">
      <c r="A869">
        <v>0</v>
      </c>
      <c r="B869">
        <v>0</v>
      </c>
      <c r="C869">
        <v>0</v>
      </c>
      <c r="D869">
        <v>14.141938276990174</v>
      </c>
    </row>
    <row r="870" spans="1:4">
      <c r="A870">
        <v>0</v>
      </c>
      <c r="B870">
        <v>0</v>
      </c>
      <c r="C870">
        <v>0</v>
      </c>
      <c r="D870">
        <v>71.076419276099955</v>
      </c>
    </row>
    <row r="871" spans="1:4">
      <c r="A871">
        <v>0</v>
      </c>
      <c r="B871">
        <v>0</v>
      </c>
      <c r="C871">
        <v>0</v>
      </c>
      <c r="D871">
        <v>56.822636035965139</v>
      </c>
    </row>
    <row r="872" spans="1:4">
      <c r="A872">
        <v>0</v>
      </c>
      <c r="B872">
        <v>0</v>
      </c>
      <c r="C872">
        <v>0</v>
      </c>
      <c r="D872">
        <v>50.892755873593941</v>
      </c>
    </row>
    <row r="873" spans="1:4">
      <c r="A873">
        <v>0</v>
      </c>
      <c r="B873">
        <v>0</v>
      </c>
      <c r="C873">
        <v>0</v>
      </c>
      <c r="D873">
        <v>86.943469686046853</v>
      </c>
    </row>
    <row r="874" spans="1:4">
      <c r="A874">
        <v>0</v>
      </c>
      <c r="B874">
        <v>0</v>
      </c>
      <c r="C874">
        <v>0</v>
      </c>
      <c r="D874">
        <v>57.584196585139296</v>
      </c>
    </row>
    <row r="875" spans="1:4">
      <c r="A875">
        <v>0</v>
      </c>
      <c r="B875">
        <v>0</v>
      </c>
      <c r="C875">
        <v>0</v>
      </c>
      <c r="D875">
        <v>40.626439007598819</v>
      </c>
    </row>
    <row r="876" spans="1:4">
      <c r="A876">
        <v>0</v>
      </c>
      <c r="B876">
        <v>0</v>
      </c>
      <c r="C876">
        <v>0</v>
      </c>
      <c r="D876">
        <v>57.390855344606095</v>
      </c>
    </row>
    <row r="877" spans="1:4">
      <c r="A877">
        <v>0</v>
      </c>
      <c r="B877">
        <v>0</v>
      </c>
      <c r="C877">
        <v>0</v>
      </c>
      <c r="D877">
        <v>40.550283321671031</v>
      </c>
    </row>
    <row r="878" spans="1:4">
      <c r="A878">
        <v>0</v>
      </c>
      <c r="B878">
        <v>0</v>
      </c>
      <c r="C878">
        <v>0</v>
      </c>
      <c r="D878">
        <v>27.849981256654878</v>
      </c>
    </row>
    <row r="879" spans="1:4">
      <c r="A879">
        <v>0</v>
      </c>
      <c r="B879">
        <v>0</v>
      </c>
      <c r="C879">
        <v>0</v>
      </c>
      <c r="D879">
        <v>46.104861906971593</v>
      </c>
    </row>
    <row r="880" spans="1:4">
      <c r="A880">
        <v>0</v>
      </c>
      <c r="B880">
        <v>0</v>
      </c>
      <c r="C880">
        <v>0</v>
      </c>
      <c r="D880">
        <v>58.929073452063506</v>
      </c>
    </row>
    <row r="881" spans="1:4">
      <c r="A881">
        <v>0</v>
      </c>
      <c r="B881">
        <v>0</v>
      </c>
      <c r="C881">
        <v>0</v>
      </c>
      <c r="D881">
        <v>14.171716040904791</v>
      </c>
    </row>
    <row r="882" spans="1:4">
      <c r="A882">
        <v>0</v>
      </c>
      <c r="B882">
        <v>0</v>
      </c>
      <c r="C882">
        <v>0</v>
      </c>
      <c r="D882">
        <v>77.942273318380074</v>
      </c>
    </row>
    <row r="883" spans="1:4">
      <c r="A883">
        <v>0</v>
      </c>
      <c r="B883">
        <v>0</v>
      </c>
      <c r="C883">
        <v>0</v>
      </c>
      <c r="D883">
        <v>93.440563628740435</v>
      </c>
    </row>
    <row r="884" spans="1:4">
      <c r="A884">
        <v>0</v>
      </c>
      <c r="B884">
        <v>0</v>
      </c>
      <c r="C884">
        <v>0</v>
      </c>
      <c r="D884">
        <v>37.390266325359192</v>
      </c>
    </row>
    <row r="885" spans="1:4">
      <c r="A885">
        <v>0</v>
      </c>
      <c r="B885">
        <v>0</v>
      </c>
      <c r="C885">
        <v>0</v>
      </c>
      <c r="D885">
        <v>29.992249911152683</v>
      </c>
    </row>
    <row r="886" spans="1:4">
      <c r="A886">
        <v>0</v>
      </c>
      <c r="B886">
        <v>0</v>
      </c>
      <c r="C886">
        <v>0</v>
      </c>
      <c r="D886">
        <v>17.855063991877707</v>
      </c>
    </row>
    <row r="887" spans="1:4">
      <c r="A887">
        <v>0</v>
      </c>
      <c r="B887">
        <v>0</v>
      </c>
      <c r="C887">
        <v>0</v>
      </c>
      <c r="D887">
        <v>14.167442796307071</v>
      </c>
    </row>
    <row r="888" spans="1:4">
      <c r="A888">
        <v>0</v>
      </c>
      <c r="B888">
        <v>0</v>
      </c>
      <c r="C888">
        <v>0</v>
      </c>
      <c r="D888">
        <v>14.138816234362103</v>
      </c>
    </row>
    <row r="889" spans="1:4">
      <c r="A889">
        <v>0</v>
      </c>
      <c r="B889">
        <v>0</v>
      </c>
      <c r="C889">
        <v>0</v>
      </c>
      <c r="D889">
        <v>58.48980563144076</v>
      </c>
    </row>
    <row r="890" spans="1:4">
      <c r="A890">
        <v>0</v>
      </c>
      <c r="B890">
        <v>0</v>
      </c>
      <c r="C890">
        <v>0</v>
      </c>
      <c r="D890">
        <v>12.248184293425858</v>
      </c>
    </row>
    <row r="891" spans="1:4">
      <c r="A891">
        <v>0</v>
      </c>
      <c r="B891">
        <v>0</v>
      </c>
      <c r="C891">
        <v>0</v>
      </c>
      <c r="D891">
        <v>11.419491699542064</v>
      </c>
    </row>
    <row r="892" spans="1:4">
      <c r="A892">
        <v>0</v>
      </c>
      <c r="B892">
        <v>0</v>
      </c>
      <c r="C892">
        <v>0</v>
      </c>
      <c r="D892">
        <v>8.6128332617213985</v>
      </c>
    </row>
    <row r="893" spans="1:4">
      <c r="A893">
        <v>0</v>
      </c>
      <c r="B893">
        <v>0</v>
      </c>
      <c r="C893">
        <v>0</v>
      </c>
      <c r="D893">
        <v>1.2460165369604255</v>
      </c>
    </row>
    <row r="894" spans="1:4">
      <c r="A894">
        <v>0</v>
      </c>
      <c r="B894">
        <v>0</v>
      </c>
      <c r="C894">
        <v>0</v>
      </c>
      <c r="D894">
        <v>-13.328173660652897</v>
      </c>
    </row>
    <row r="895" spans="1:4">
      <c r="A895">
        <v>0</v>
      </c>
      <c r="B895">
        <v>0</v>
      </c>
      <c r="C895">
        <v>0</v>
      </c>
      <c r="D895">
        <v>83.414163221396151</v>
      </c>
    </row>
    <row r="896" spans="1:4">
      <c r="A896">
        <v>0</v>
      </c>
      <c r="B896">
        <v>0</v>
      </c>
      <c r="C896">
        <v>0</v>
      </c>
      <c r="D896">
        <v>71.290622131914006</v>
      </c>
    </row>
    <row r="897" spans="1:4">
      <c r="A897">
        <v>0</v>
      </c>
      <c r="B897">
        <v>0</v>
      </c>
      <c r="C897">
        <v>0</v>
      </c>
      <c r="D897">
        <v>63.110730697908195</v>
      </c>
    </row>
    <row r="898" spans="1:4">
      <c r="A898">
        <v>0</v>
      </c>
      <c r="B898">
        <v>0</v>
      </c>
      <c r="C898">
        <v>0</v>
      </c>
      <c r="D898">
        <v>49.90026508652258</v>
      </c>
    </row>
    <row r="899" spans="1:4">
      <c r="A899">
        <v>0</v>
      </c>
      <c r="B899">
        <v>0</v>
      </c>
      <c r="C899">
        <v>0</v>
      </c>
      <c r="D899">
        <v>104.30205349559799</v>
      </c>
    </row>
    <row r="900" spans="1:4">
      <c r="A900">
        <v>0</v>
      </c>
      <c r="B900">
        <v>0</v>
      </c>
      <c r="C900">
        <v>0</v>
      </c>
      <c r="D900">
        <v>31.490797395337268</v>
      </c>
    </row>
    <row r="901" spans="1:4">
      <c r="A901">
        <v>0</v>
      </c>
      <c r="B901">
        <v>0</v>
      </c>
      <c r="C901">
        <v>0</v>
      </c>
      <c r="D901">
        <v>88.432265439406038</v>
      </c>
    </row>
    <row r="902" spans="1:4">
      <c r="A902">
        <v>0</v>
      </c>
      <c r="B902">
        <v>0</v>
      </c>
      <c r="C902">
        <v>0</v>
      </c>
      <c r="D902">
        <v>78.51943434109468</v>
      </c>
    </row>
    <row r="903" spans="1:4">
      <c r="A903">
        <v>0</v>
      </c>
      <c r="B903">
        <v>0</v>
      </c>
      <c r="C903">
        <v>0</v>
      </c>
      <c r="D903">
        <v>88.432319680147174</v>
      </c>
    </row>
    <row r="904" spans="1:4">
      <c r="A904">
        <v>0</v>
      </c>
      <c r="B904">
        <v>0</v>
      </c>
      <c r="C904">
        <v>0</v>
      </c>
      <c r="D904">
        <v>44.304542709854644</v>
      </c>
    </row>
    <row r="905" spans="1:4">
      <c r="A905">
        <v>0</v>
      </c>
      <c r="B905">
        <v>0</v>
      </c>
      <c r="C905">
        <v>0</v>
      </c>
      <c r="D905">
        <v>45.838548020700621</v>
      </c>
    </row>
    <row r="906" spans="1:4">
      <c r="A906">
        <v>0</v>
      </c>
      <c r="B906">
        <v>0</v>
      </c>
      <c r="C906">
        <v>0</v>
      </c>
      <c r="D906">
        <v>71.189133765709812</v>
      </c>
    </row>
    <row r="907" spans="1:4">
      <c r="A907">
        <v>0</v>
      </c>
      <c r="B907">
        <v>0</v>
      </c>
      <c r="C907">
        <v>0</v>
      </c>
      <c r="D907">
        <v>56.648541682421538</v>
      </c>
    </row>
    <row r="908" spans="1:4">
      <c r="A908">
        <v>0</v>
      </c>
      <c r="B908">
        <v>0</v>
      </c>
      <c r="C908">
        <v>0</v>
      </c>
      <c r="D908">
        <v>79.762148342724998</v>
      </c>
    </row>
    <row r="909" spans="1:4">
      <c r="A909">
        <v>0</v>
      </c>
      <c r="B909">
        <v>0</v>
      </c>
      <c r="C909">
        <v>0</v>
      </c>
      <c r="D909">
        <v>37.010761018037698</v>
      </c>
    </row>
    <row r="910" spans="1:4">
      <c r="A910">
        <v>0</v>
      </c>
      <c r="B910">
        <v>0</v>
      </c>
      <c r="C910">
        <v>0</v>
      </c>
      <c r="D910">
        <v>104.30206420853659</v>
      </c>
    </row>
    <row r="911" spans="1:4">
      <c r="A911">
        <v>0</v>
      </c>
      <c r="B911">
        <v>0</v>
      </c>
      <c r="C911">
        <v>0</v>
      </c>
      <c r="D911">
        <v>29.645976790020498</v>
      </c>
    </row>
    <row r="912" spans="1:4">
      <c r="A912">
        <v>0</v>
      </c>
      <c r="B912">
        <v>0</v>
      </c>
      <c r="C912">
        <v>0</v>
      </c>
      <c r="D912">
        <v>62.019878315818914</v>
      </c>
    </row>
    <row r="913" spans="1:4">
      <c r="A913">
        <v>0</v>
      </c>
      <c r="B913">
        <v>0</v>
      </c>
      <c r="C913">
        <v>0</v>
      </c>
      <c r="D913">
        <v>52.405261232951588</v>
      </c>
    </row>
    <row r="914" spans="1:4">
      <c r="A914">
        <v>0</v>
      </c>
      <c r="B914">
        <v>0</v>
      </c>
      <c r="C914">
        <v>0</v>
      </c>
      <c r="D914">
        <v>54.629278142984624</v>
      </c>
    </row>
    <row r="915" spans="1:4">
      <c r="A915">
        <v>0</v>
      </c>
      <c r="B915">
        <v>0</v>
      </c>
      <c r="C915">
        <v>0</v>
      </c>
      <c r="D915">
        <v>14.176709351532587</v>
      </c>
    </row>
    <row r="916" spans="1:4">
      <c r="A916">
        <v>0</v>
      </c>
      <c r="B916">
        <v>0</v>
      </c>
      <c r="C916">
        <v>0</v>
      </c>
      <c r="D916">
        <v>44.921133021861166</v>
      </c>
    </row>
    <row r="917" spans="1:4">
      <c r="A917">
        <v>0</v>
      </c>
      <c r="B917">
        <v>0</v>
      </c>
      <c r="C917">
        <v>0</v>
      </c>
      <c r="D917">
        <v>45.007885314599022</v>
      </c>
    </row>
    <row r="918" spans="1:4">
      <c r="A918">
        <v>0</v>
      </c>
      <c r="B918">
        <v>0</v>
      </c>
      <c r="C918">
        <v>0</v>
      </c>
      <c r="D918">
        <v>81.240486868259012</v>
      </c>
    </row>
    <row r="919" spans="1:4">
      <c r="A919">
        <v>0</v>
      </c>
      <c r="B919">
        <v>0</v>
      </c>
      <c r="C919">
        <v>0</v>
      </c>
      <c r="D919">
        <v>9.8004133851922006</v>
      </c>
    </row>
    <row r="920" spans="1:4">
      <c r="A920">
        <v>0</v>
      </c>
      <c r="B920">
        <v>0</v>
      </c>
      <c r="C920">
        <v>0</v>
      </c>
      <c r="D920">
        <v>65.170107765615484</v>
      </c>
    </row>
    <row r="921" spans="1:4">
      <c r="A921">
        <v>0</v>
      </c>
      <c r="B921">
        <v>0</v>
      </c>
      <c r="C921">
        <v>0</v>
      </c>
      <c r="D921">
        <v>52.869709468232969</v>
      </c>
    </row>
    <row r="922" spans="1:4">
      <c r="A922">
        <v>0</v>
      </c>
      <c r="B922">
        <v>0</v>
      </c>
      <c r="C922">
        <v>0</v>
      </c>
      <c r="D922">
        <v>9.7219369524708839</v>
      </c>
    </row>
    <row r="923" spans="1:4">
      <c r="A923">
        <v>0</v>
      </c>
      <c r="B923">
        <v>0</v>
      </c>
      <c r="C923">
        <v>0</v>
      </c>
      <c r="D923">
        <v>59.821421317202649</v>
      </c>
    </row>
    <row r="924" spans="1:4">
      <c r="A924">
        <v>0</v>
      </c>
      <c r="B924">
        <v>0</v>
      </c>
      <c r="C924">
        <v>0</v>
      </c>
      <c r="D924">
        <v>104.11444116810748</v>
      </c>
    </row>
    <row r="925" spans="1:4">
      <c r="A925">
        <v>0</v>
      </c>
      <c r="B925">
        <v>0</v>
      </c>
      <c r="C925">
        <v>0</v>
      </c>
      <c r="D925">
        <v>58.974964205581017</v>
      </c>
    </row>
    <row r="926" spans="1:4">
      <c r="A926">
        <v>0</v>
      </c>
      <c r="B926">
        <v>0</v>
      </c>
      <c r="C926">
        <v>0</v>
      </c>
      <c r="D926">
        <v>60.379154746924193</v>
      </c>
    </row>
    <row r="927" spans="1:4">
      <c r="A927">
        <v>0</v>
      </c>
      <c r="B927">
        <v>0</v>
      </c>
      <c r="C927">
        <v>0</v>
      </c>
      <c r="D927">
        <v>49.828280478298751</v>
      </c>
    </row>
    <row r="928" spans="1:4">
      <c r="A928">
        <v>0</v>
      </c>
      <c r="B928">
        <v>0</v>
      </c>
      <c r="C928">
        <v>0</v>
      </c>
      <c r="D928">
        <v>99.737634655927451</v>
      </c>
    </row>
    <row r="929" spans="1:4">
      <c r="A929">
        <v>0</v>
      </c>
      <c r="B929">
        <v>0</v>
      </c>
      <c r="C929">
        <v>0</v>
      </c>
      <c r="D929">
        <v>45.132247058020511</v>
      </c>
    </row>
    <row r="930" spans="1:4">
      <c r="A930">
        <v>0</v>
      </c>
      <c r="B930">
        <v>0</v>
      </c>
      <c r="C930">
        <v>0</v>
      </c>
      <c r="D930">
        <v>31.490559793104275</v>
      </c>
    </row>
    <row r="931" spans="1:4">
      <c r="A931">
        <v>0</v>
      </c>
      <c r="B931">
        <v>0</v>
      </c>
      <c r="C931">
        <v>0</v>
      </c>
      <c r="D931">
        <v>77.893101246248193</v>
      </c>
    </row>
    <row r="932" spans="1:4">
      <c r="A932">
        <v>0</v>
      </c>
      <c r="B932">
        <v>0</v>
      </c>
      <c r="C932">
        <v>0</v>
      </c>
      <c r="D932">
        <v>58.603841324592565</v>
      </c>
    </row>
    <row r="933" spans="1:4">
      <c r="A933">
        <v>0</v>
      </c>
      <c r="B933">
        <v>0</v>
      </c>
      <c r="C933">
        <v>0</v>
      </c>
      <c r="D933">
        <v>97.573872874842152</v>
      </c>
    </row>
    <row r="934" spans="1:4">
      <c r="A934">
        <v>0</v>
      </c>
      <c r="B934">
        <v>0</v>
      </c>
      <c r="C934">
        <v>0</v>
      </c>
      <c r="D934">
        <v>88.066454893173784</v>
      </c>
    </row>
    <row r="935" spans="1:4">
      <c r="A935">
        <v>0</v>
      </c>
      <c r="B935">
        <v>0</v>
      </c>
      <c r="C935">
        <v>0</v>
      </c>
      <c r="D935">
        <v>88.432351033571649</v>
      </c>
    </row>
    <row r="936" spans="1:4">
      <c r="A936">
        <v>0</v>
      </c>
      <c r="B936">
        <v>0</v>
      </c>
      <c r="C936">
        <v>0</v>
      </c>
      <c r="D936">
        <v>90.590415627968085</v>
      </c>
    </row>
    <row r="937" spans="1:4">
      <c r="A937">
        <v>0</v>
      </c>
      <c r="B937">
        <v>0</v>
      </c>
      <c r="C937">
        <v>0</v>
      </c>
      <c r="D937">
        <v>31.490570388172486</v>
      </c>
    </row>
    <row r="938" spans="1:4">
      <c r="A938">
        <v>0</v>
      </c>
      <c r="B938">
        <v>0</v>
      </c>
      <c r="C938">
        <v>0</v>
      </c>
      <c r="D938">
        <v>71.2921923520571</v>
      </c>
    </row>
    <row r="939" spans="1:4">
      <c r="A939">
        <v>0</v>
      </c>
      <c r="B939">
        <v>0</v>
      </c>
      <c r="C939">
        <v>0</v>
      </c>
      <c r="D939">
        <v>45.177646005843329</v>
      </c>
    </row>
    <row r="940" spans="1:4">
      <c r="A940">
        <v>0</v>
      </c>
      <c r="B940">
        <v>0</v>
      </c>
      <c r="C940">
        <v>0</v>
      </c>
      <c r="D940">
        <v>28.480979267104019</v>
      </c>
    </row>
    <row r="941" spans="1:4">
      <c r="A941">
        <v>0</v>
      </c>
      <c r="B941">
        <v>0</v>
      </c>
      <c r="C941">
        <v>0</v>
      </c>
      <c r="D941">
        <v>59.427296737882244</v>
      </c>
    </row>
    <row r="942" spans="1:4">
      <c r="A942">
        <v>0</v>
      </c>
      <c r="B942">
        <v>0</v>
      </c>
      <c r="C942">
        <v>0</v>
      </c>
      <c r="D942">
        <v>77.520376106863111</v>
      </c>
    </row>
    <row r="943" spans="1:4">
      <c r="A943">
        <v>0</v>
      </c>
      <c r="B943">
        <v>0</v>
      </c>
      <c r="C943">
        <v>0</v>
      </c>
      <c r="D943">
        <v>63.397978231249837</v>
      </c>
    </row>
    <row r="944" spans="1:4">
      <c r="A944">
        <v>0</v>
      </c>
      <c r="B944">
        <v>0</v>
      </c>
      <c r="C944">
        <v>0</v>
      </c>
      <c r="D944">
        <v>77.891944203301165</v>
      </c>
    </row>
    <row r="945" spans="1:4">
      <c r="A945">
        <v>0</v>
      </c>
      <c r="B945">
        <v>0</v>
      </c>
      <c r="C945">
        <v>0</v>
      </c>
      <c r="D945">
        <v>48.700920734765248</v>
      </c>
    </row>
    <row r="946" spans="1:4">
      <c r="A946">
        <v>0</v>
      </c>
      <c r="B946">
        <v>0</v>
      </c>
      <c r="C946">
        <v>0</v>
      </c>
      <c r="D946">
        <v>44.435753653362497</v>
      </c>
    </row>
    <row r="947" spans="1:4">
      <c r="A947">
        <v>0</v>
      </c>
      <c r="B947">
        <v>0</v>
      </c>
      <c r="C947">
        <v>0</v>
      </c>
      <c r="D947">
        <v>71.071531725778271</v>
      </c>
    </row>
    <row r="948" spans="1:4">
      <c r="A948">
        <v>0</v>
      </c>
      <c r="B948">
        <v>0</v>
      </c>
      <c r="C948">
        <v>0</v>
      </c>
      <c r="D948">
        <v>42.207352138645234</v>
      </c>
    </row>
    <row r="949" spans="1:4">
      <c r="A949">
        <v>0</v>
      </c>
      <c r="B949">
        <v>0</v>
      </c>
      <c r="C949">
        <v>0</v>
      </c>
      <c r="D949">
        <v>40.541331946005272</v>
      </c>
    </row>
    <row r="950" spans="1:4">
      <c r="A950">
        <v>0</v>
      </c>
      <c r="B950">
        <v>0</v>
      </c>
      <c r="C950">
        <v>0</v>
      </c>
      <c r="D950">
        <v>71.057310279396546</v>
      </c>
    </row>
    <row r="951" spans="1:4">
      <c r="A951">
        <v>0</v>
      </c>
      <c r="B951">
        <v>0</v>
      </c>
      <c r="C951">
        <v>0</v>
      </c>
      <c r="D951">
        <v>57.396399937123917</v>
      </c>
    </row>
    <row r="952" spans="1:4">
      <c r="A952">
        <v>0</v>
      </c>
      <c r="B952">
        <v>0</v>
      </c>
      <c r="C952">
        <v>0</v>
      </c>
      <c r="D952">
        <v>57.39007448752465</v>
      </c>
    </row>
    <row r="953" spans="1:4">
      <c r="A953">
        <v>0</v>
      </c>
      <c r="B953">
        <v>0</v>
      </c>
      <c r="C953">
        <v>0</v>
      </c>
      <c r="D953">
        <v>58.970537697424419</v>
      </c>
    </row>
    <row r="954" spans="1:4">
      <c r="A954">
        <v>0</v>
      </c>
      <c r="B954">
        <v>0</v>
      </c>
      <c r="C954">
        <v>0</v>
      </c>
      <c r="D954">
        <v>27.828610495073058</v>
      </c>
    </row>
    <row r="955" spans="1:4">
      <c r="A955">
        <v>0</v>
      </c>
      <c r="B955">
        <v>0</v>
      </c>
      <c r="C955">
        <v>0</v>
      </c>
      <c r="D955">
        <v>14.638804713559326</v>
      </c>
    </row>
    <row r="956" spans="1:4">
      <c r="A956">
        <v>0</v>
      </c>
      <c r="B956">
        <v>0</v>
      </c>
      <c r="C956">
        <v>0</v>
      </c>
      <c r="D956">
        <v>77.838545861309044</v>
      </c>
    </row>
    <row r="957" spans="1:4">
      <c r="A957">
        <v>0</v>
      </c>
      <c r="B957">
        <v>0</v>
      </c>
      <c r="C957">
        <v>0</v>
      </c>
      <c r="D957">
        <v>72.462675354985336</v>
      </c>
    </row>
    <row r="958" spans="1:4">
      <c r="A958">
        <v>0</v>
      </c>
      <c r="B958">
        <v>0</v>
      </c>
      <c r="C958">
        <v>0</v>
      </c>
      <c r="D958">
        <v>14.284178746478894</v>
      </c>
    </row>
    <row r="959" spans="1:4">
      <c r="A959">
        <v>0</v>
      </c>
      <c r="B959">
        <v>0</v>
      </c>
      <c r="C959">
        <v>0</v>
      </c>
      <c r="D959">
        <v>58.744571501821667</v>
      </c>
    </row>
    <row r="960" spans="1:4">
      <c r="A960">
        <v>0</v>
      </c>
      <c r="B960">
        <v>0</v>
      </c>
      <c r="C960">
        <v>0</v>
      </c>
      <c r="D960">
        <v>72.728301288918544</v>
      </c>
    </row>
    <row r="961" spans="1:4">
      <c r="A961">
        <v>0</v>
      </c>
      <c r="B961">
        <v>0</v>
      </c>
      <c r="C961">
        <v>0</v>
      </c>
      <c r="D961">
        <v>40.544038605124655</v>
      </c>
    </row>
    <row r="962" spans="1:4">
      <c r="A962">
        <v>0</v>
      </c>
      <c r="B962">
        <v>0</v>
      </c>
      <c r="C962">
        <v>0</v>
      </c>
      <c r="D962">
        <v>57.414021121402499</v>
      </c>
    </row>
    <row r="963" spans="1:4">
      <c r="A963">
        <v>0</v>
      </c>
      <c r="B963">
        <v>0</v>
      </c>
      <c r="C963">
        <v>0</v>
      </c>
      <c r="D963">
        <v>49.913816698252397</v>
      </c>
    </row>
    <row r="964" spans="1:4">
      <c r="A964">
        <v>0</v>
      </c>
      <c r="B964">
        <v>0</v>
      </c>
      <c r="C964">
        <v>0</v>
      </c>
      <c r="D964">
        <v>57.387927999388594</v>
      </c>
    </row>
    <row r="965" spans="1:4">
      <c r="A965">
        <v>0</v>
      </c>
      <c r="B965">
        <v>0</v>
      </c>
      <c r="C965">
        <v>0</v>
      </c>
      <c r="D965">
        <v>73.253601868512789</v>
      </c>
    </row>
    <row r="966" spans="1:4">
      <c r="A966">
        <v>0</v>
      </c>
      <c r="B966">
        <v>0</v>
      </c>
      <c r="C966">
        <v>0</v>
      </c>
      <c r="D966">
        <v>86.94337001848362</v>
      </c>
    </row>
    <row r="967" spans="1:4">
      <c r="A967">
        <v>0</v>
      </c>
      <c r="B967">
        <v>0</v>
      </c>
      <c r="C967">
        <v>0</v>
      </c>
      <c r="D967">
        <v>86.9434027336833</v>
      </c>
    </row>
    <row r="968" spans="1:4">
      <c r="A968">
        <v>0</v>
      </c>
      <c r="B968">
        <v>0</v>
      </c>
      <c r="C968">
        <v>0</v>
      </c>
      <c r="D968">
        <v>40.650792354989633</v>
      </c>
    </row>
    <row r="969" spans="1:4">
      <c r="A969">
        <v>0</v>
      </c>
      <c r="B969">
        <v>0</v>
      </c>
      <c r="C969">
        <v>0</v>
      </c>
      <c r="D969">
        <v>71.073570010632253</v>
      </c>
    </row>
    <row r="970" spans="1:4">
      <c r="A970">
        <v>0</v>
      </c>
      <c r="B970">
        <v>0</v>
      </c>
      <c r="C970">
        <v>0</v>
      </c>
      <c r="D970">
        <v>57.389402265423485</v>
      </c>
    </row>
    <row r="971" spans="1:4">
      <c r="A971">
        <v>0</v>
      </c>
      <c r="B971">
        <v>0</v>
      </c>
      <c r="C971">
        <v>0</v>
      </c>
      <c r="D971">
        <v>71.06883858318534</v>
      </c>
    </row>
    <row r="972" spans="1:4">
      <c r="A972">
        <v>0</v>
      </c>
      <c r="B972">
        <v>0</v>
      </c>
      <c r="C972">
        <v>0</v>
      </c>
      <c r="D972">
        <v>71.074711038018364</v>
      </c>
    </row>
    <row r="973" spans="1:4">
      <c r="A973">
        <v>0</v>
      </c>
      <c r="B973">
        <v>0</v>
      </c>
      <c r="C973">
        <v>0</v>
      </c>
      <c r="D973">
        <v>57.396618765791573</v>
      </c>
    </row>
    <row r="974" spans="1:4">
      <c r="A974">
        <v>0</v>
      </c>
      <c r="B974">
        <v>0</v>
      </c>
      <c r="C974">
        <v>0</v>
      </c>
      <c r="D974">
        <v>84.733246442972927</v>
      </c>
    </row>
    <row r="975" spans="1:4">
      <c r="A975">
        <v>0</v>
      </c>
      <c r="B975">
        <v>0</v>
      </c>
      <c r="C975">
        <v>0</v>
      </c>
      <c r="D975">
        <v>15.292488724905546</v>
      </c>
    </row>
    <row r="976" spans="1:4">
      <c r="A976">
        <v>0</v>
      </c>
      <c r="B976">
        <v>0</v>
      </c>
      <c r="C976">
        <v>0</v>
      </c>
      <c r="D976">
        <v>77.433058918478025</v>
      </c>
    </row>
    <row r="977" spans="1:4">
      <c r="A977">
        <v>0</v>
      </c>
      <c r="B977">
        <v>0</v>
      </c>
      <c r="C977">
        <v>0</v>
      </c>
      <c r="D977">
        <v>60.460949652754508</v>
      </c>
    </row>
    <row r="978" spans="1:4">
      <c r="A978">
        <v>0</v>
      </c>
      <c r="B978">
        <v>0</v>
      </c>
      <c r="C978">
        <v>0</v>
      </c>
      <c r="D978">
        <v>57.389370555088107</v>
      </c>
    </row>
    <row r="979" spans="1:4">
      <c r="A979">
        <v>0</v>
      </c>
      <c r="B979">
        <v>0</v>
      </c>
      <c r="C979">
        <v>0</v>
      </c>
      <c r="D979">
        <v>71.074982275407237</v>
      </c>
    </row>
    <row r="980" spans="1:4">
      <c r="A980">
        <v>0</v>
      </c>
      <c r="B980">
        <v>0</v>
      </c>
      <c r="C980">
        <v>0</v>
      </c>
      <c r="D980">
        <v>68.693170424606961</v>
      </c>
    </row>
    <row r="981" spans="1:4">
      <c r="A981">
        <v>0</v>
      </c>
      <c r="B981">
        <v>0</v>
      </c>
      <c r="C981">
        <v>0</v>
      </c>
      <c r="D981">
        <v>94.824412329544714</v>
      </c>
    </row>
    <row r="982" spans="1:4">
      <c r="A982">
        <v>0</v>
      </c>
      <c r="B982">
        <v>0</v>
      </c>
      <c r="C982">
        <v>0</v>
      </c>
      <c r="D982">
        <v>14.13173398448599</v>
      </c>
    </row>
    <row r="983" spans="1:4">
      <c r="A983">
        <v>0</v>
      </c>
      <c r="B983">
        <v>0</v>
      </c>
      <c r="C983">
        <v>0</v>
      </c>
      <c r="D983">
        <v>86.954110895442511</v>
      </c>
    </row>
    <row r="984" spans="1:4">
      <c r="A984">
        <v>0</v>
      </c>
      <c r="B984">
        <v>0</v>
      </c>
      <c r="C984">
        <v>0</v>
      </c>
      <c r="D984">
        <v>38.534586953936781</v>
      </c>
    </row>
    <row r="985" spans="1:4">
      <c r="A985">
        <v>0</v>
      </c>
      <c r="B985">
        <v>0</v>
      </c>
      <c r="C985">
        <v>0</v>
      </c>
      <c r="D985">
        <v>13.491426559935435</v>
      </c>
    </row>
    <row r="986" spans="1:4">
      <c r="A986">
        <v>0</v>
      </c>
      <c r="B986">
        <v>0</v>
      </c>
      <c r="C986">
        <v>0</v>
      </c>
      <c r="D986">
        <v>20.99386084491324</v>
      </c>
    </row>
    <row r="987" spans="1:4">
      <c r="A987">
        <v>0</v>
      </c>
      <c r="B987">
        <v>0</v>
      </c>
      <c r="C987">
        <v>0</v>
      </c>
      <c r="D987">
        <v>10.29208444800449</v>
      </c>
    </row>
    <row r="988" spans="1:4">
      <c r="A988">
        <v>0</v>
      </c>
      <c r="B988">
        <v>0</v>
      </c>
      <c r="C988">
        <v>0</v>
      </c>
      <c r="D988">
        <v>23.169843190942753</v>
      </c>
    </row>
    <row r="989" spans="1:4">
      <c r="A989">
        <v>0</v>
      </c>
      <c r="B989">
        <v>0</v>
      </c>
      <c r="C989">
        <v>0</v>
      </c>
      <c r="D989">
        <v>11.855103264470117</v>
      </c>
    </row>
    <row r="990" spans="1:4">
      <c r="A990">
        <v>0</v>
      </c>
      <c r="B990">
        <v>0</v>
      </c>
      <c r="C990">
        <v>0</v>
      </c>
      <c r="D990">
        <v>9.918646023123955</v>
      </c>
    </row>
    <row r="991" spans="1:4">
      <c r="A991">
        <v>0</v>
      </c>
      <c r="B991">
        <v>0</v>
      </c>
      <c r="C991">
        <v>0</v>
      </c>
      <c r="D991">
        <v>33.093747406731751</v>
      </c>
    </row>
    <row r="992" spans="1:4">
      <c r="A992">
        <v>0</v>
      </c>
      <c r="B992">
        <v>0</v>
      </c>
      <c r="C992">
        <v>0</v>
      </c>
      <c r="D992">
        <v>85.910765191158276</v>
      </c>
    </row>
    <row r="993" spans="1:4">
      <c r="A993">
        <v>0</v>
      </c>
      <c r="B993">
        <v>0</v>
      </c>
      <c r="C993">
        <v>0</v>
      </c>
      <c r="D993">
        <v>75.10683443238247</v>
      </c>
    </row>
    <row r="994" spans="1:4">
      <c r="A994">
        <v>0</v>
      </c>
      <c r="B994">
        <v>0</v>
      </c>
      <c r="C994">
        <v>0</v>
      </c>
      <c r="D994">
        <v>57.378673585399341</v>
      </c>
    </row>
    <row r="995" spans="1:4">
      <c r="A995">
        <v>0</v>
      </c>
      <c r="B995">
        <v>0</v>
      </c>
      <c r="C995">
        <v>0</v>
      </c>
      <c r="D995">
        <v>71.075768288379777</v>
      </c>
    </row>
    <row r="996" spans="1:4">
      <c r="A996">
        <v>0</v>
      </c>
      <c r="B996">
        <v>0</v>
      </c>
      <c r="C996">
        <v>0</v>
      </c>
      <c r="D996">
        <v>15.441868729383309</v>
      </c>
    </row>
    <row r="997" spans="1:4">
      <c r="A997">
        <v>0</v>
      </c>
      <c r="B997">
        <v>0</v>
      </c>
      <c r="C997">
        <v>0</v>
      </c>
      <c r="D997">
        <v>14.131736425891631</v>
      </c>
    </row>
    <row r="998" spans="1:4">
      <c r="A998">
        <v>0</v>
      </c>
      <c r="B998">
        <v>0</v>
      </c>
      <c r="C998">
        <v>0</v>
      </c>
      <c r="D998">
        <v>86.950900323502424</v>
      </c>
    </row>
    <row r="999" spans="1:4">
      <c r="A999">
        <v>0</v>
      </c>
      <c r="B999">
        <v>0</v>
      </c>
      <c r="C999">
        <v>0</v>
      </c>
      <c r="D999">
        <v>14.698274310358038</v>
      </c>
    </row>
    <row r="1000" spans="1:4">
      <c r="A1000">
        <v>0</v>
      </c>
      <c r="B1000">
        <v>0</v>
      </c>
      <c r="C1000">
        <v>0</v>
      </c>
      <c r="D1000">
        <v>51.179830676410631</v>
      </c>
    </row>
    <row r="1001" spans="1:4">
      <c r="A1001">
        <v>0</v>
      </c>
      <c r="B1001">
        <v>0</v>
      </c>
      <c r="C1001">
        <v>0</v>
      </c>
      <c r="D1001">
        <v>71.073570929305333</v>
      </c>
    </row>
    <row r="1002" spans="1:4">
      <c r="A1002">
        <v>0</v>
      </c>
      <c r="B1002">
        <v>0</v>
      </c>
      <c r="C1002">
        <v>0</v>
      </c>
      <c r="D1002">
        <v>44.486917495109864</v>
      </c>
    </row>
    <row r="1003" spans="1:4">
      <c r="A1003">
        <v>0</v>
      </c>
      <c r="B1003">
        <v>0</v>
      </c>
      <c r="C1003">
        <v>0</v>
      </c>
      <c r="D1003">
        <v>14.261349766800933</v>
      </c>
    </row>
    <row r="1004" spans="1:4">
      <c r="A1004">
        <v>0</v>
      </c>
      <c r="B1004">
        <v>0</v>
      </c>
      <c r="C1004">
        <v>0</v>
      </c>
      <c r="D1004">
        <v>71.073570585611904</v>
      </c>
    </row>
    <row r="1005" spans="1:4">
      <c r="A1005">
        <v>0</v>
      </c>
      <c r="B1005">
        <v>0</v>
      </c>
      <c r="C1005">
        <v>0</v>
      </c>
      <c r="D1005">
        <v>80.624400355304545</v>
      </c>
    </row>
    <row r="1006" spans="1:4">
      <c r="A1006">
        <v>0</v>
      </c>
      <c r="B1006">
        <v>0</v>
      </c>
      <c r="C1006">
        <v>0</v>
      </c>
      <c r="D1006">
        <v>64.800596917179263</v>
      </c>
    </row>
    <row r="1007" spans="1:4">
      <c r="A1007">
        <v>0</v>
      </c>
      <c r="B1007">
        <v>0</v>
      </c>
      <c r="C1007">
        <v>0</v>
      </c>
      <c r="D1007">
        <v>12.217383120002843</v>
      </c>
    </row>
    <row r="1008" spans="1:4">
      <c r="A1008">
        <v>0</v>
      </c>
      <c r="B1008">
        <v>0</v>
      </c>
      <c r="C1008">
        <v>0</v>
      </c>
      <c r="D1008">
        <v>23.020750508681061</v>
      </c>
    </row>
    <row r="1009" spans="1:4">
      <c r="A1009">
        <v>0</v>
      </c>
      <c r="B1009">
        <v>0</v>
      </c>
      <c r="C1009">
        <v>0</v>
      </c>
      <c r="D1009">
        <v>49.660839265062243</v>
      </c>
    </row>
    <row r="1010" spans="1:4">
      <c r="A1010">
        <v>0</v>
      </c>
      <c r="B1010">
        <v>0</v>
      </c>
      <c r="C1010">
        <v>0</v>
      </c>
      <c r="D1010">
        <v>55.779382139728597</v>
      </c>
    </row>
    <row r="1011" spans="1:4">
      <c r="A1011">
        <v>0</v>
      </c>
      <c r="B1011">
        <v>0</v>
      </c>
      <c r="C1011">
        <v>0</v>
      </c>
      <c r="D1011">
        <v>39.366976816362296</v>
      </c>
    </row>
    <row r="1012" spans="1:4">
      <c r="A1012">
        <v>0</v>
      </c>
      <c r="B1012">
        <v>0</v>
      </c>
      <c r="C1012">
        <v>0</v>
      </c>
      <c r="D1012">
        <v>40.399154633868449</v>
      </c>
    </row>
    <row r="1013" spans="1:4">
      <c r="A1013">
        <v>0</v>
      </c>
      <c r="B1013">
        <v>0</v>
      </c>
      <c r="C1013">
        <v>0</v>
      </c>
      <c r="D1013">
        <v>86.943413946334346</v>
      </c>
    </row>
    <row r="1014" spans="1:4">
      <c r="A1014">
        <v>0</v>
      </c>
      <c r="B1014">
        <v>0</v>
      </c>
      <c r="C1014">
        <v>0</v>
      </c>
      <c r="D1014">
        <v>51.32000569254609</v>
      </c>
    </row>
    <row r="1015" spans="1:4">
      <c r="A1015">
        <v>0</v>
      </c>
      <c r="B1015">
        <v>0</v>
      </c>
      <c r="C1015">
        <v>0</v>
      </c>
      <c r="D1015">
        <v>71.073550032928935</v>
      </c>
    </row>
    <row r="1016" spans="1:4">
      <c r="A1016">
        <v>0</v>
      </c>
      <c r="B1016">
        <v>0</v>
      </c>
      <c r="C1016">
        <v>0</v>
      </c>
      <c r="D1016">
        <v>45.36561409183409</v>
      </c>
    </row>
    <row r="1017" spans="1:4">
      <c r="A1017">
        <v>0</v>
      </c>
      <c r="B1017">
        <v>0</v>
      </c>
      <c r="C1017">
        <v>0</v>
      </c>
      <c r="D1017">
        <v>71.793326892325709</v>
      </c>
    </row>
    <row r="1018" spans="1:4">
      <c r="A1018">
        <v>0</v>
      </c>
      <c r="B1018">
        <v>0</v>
      </c>
      <c r="C1018">
        <v>0</v>
      </c>
      <c r="D1018">
        <v>89.486874519349712</v>
      </c>
    </row>
    <row r="1019" spans="1:4">
      <c r="A1019">
        <v>0</v>
      </c>
      <c r="B1019">
        <v>0</v>
      </c>
      <c r="C1019">
        <v>0</v>
      </c>
      <c r="D1019">
        <v>68.936529201888533</v>
      </c>
    </row>
    <row r="1020" spans="1:4">
      <c r="A1020">
        <v>0</v>
      </c>
      <c r="B1020">
        <v>0</v>
      </c>
      <c r="C1020">
        <v>0</v>
      </c>
      <c r="D1020">
        <v>46.99666142488563</v>
      </c>
    </row>
    <row r="1021" spans="1:4">
      <c r="A1021">
        <v>0</v>
      </c>
      <c r="B1021">
        <v>0</v>
      </c>
      <c r="C1021">
        <v>0</v>
      </c>
      <c r="D1021">
        <v>47.354433924458235</v>
      </c>
    </row>
    <row r="1022" spans="1:4">
      <c r="A1022">
        <v>0</v>
      </c>
      <c r="B1022">
        <v>0</v>
      </c>
      <c r="C1022">
        <v>0</v>
      </c>
      <c r="D1022">
        <v>44.602903093005722</v>
      </c>
    </row>
    <row r="1023" spans="1:4">
      <c r="A1023">
        <v>0</v>
      </c>
      <c r="B1023">
        <v>0</v>
      </c>
      <c r="C1023">
        <v>0</v>
      </c>
      <c r="D1023">
        <v>14.14421470351729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3"/>
  <sheetViews>
    <sheetView topLeftCell="Z1" workbookViewId="0">
      <selection activeCell="AG3" sqref="AG3"/>
    </sheetView>
  </sheetViews>
  <sheetFormatPr defaultRowHeight="13.15"/>
  <sheetData>
    <row r="1" spans="1:40">
      <c r="A1" t="s">
        <v>344</v>
      </c>
      <c r="B1" t="s">
        <v>345</v>
      </c>
    </row>
    <row r="2" spans="1:40">
      <c r="A2">
        <v>1</v>
      </c>
      <c r="B2">
        <v>0.44918699186991873</v>
      </c>
      <c r="C2">
        <v>0.40981735159817351</v>
      </c>
      <c r="D2">
        <v>0.33086419753086421</v>
      </c>
      <c r="E2">
        <v>0.3174603174603175</v>
      </c>
      <c r="F2">
        <v>0.28102189781021897</v>
      </c>
      <c r="G2">
        <v>0.24884259259259264</v>
      </c>
      <c r="H2">
        <v>0.23937360178970915</v>
      </c>
    </row>
    <row r="3" spans="1:40">
      <c r="AF3">
        <v>146</v>
      </c>
      <c r="AG3">
        <v>0</v>
      </c>
      <c r="AI3">
        <v>7</v>
      </c>
      <c r="AJ3">
        <v>8</v>
      </c>
      <c r="AK3">
        <v>9</v>
      </c>
      <c r="AL3">
        <v>10</v>
      </c>
      <c r="AM3">
        <v>11</v>
      </c>
      <c r="AN3">
        <v>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J3:AN3"/>
  <sheetViews>
    <sheetView workbookViewId="0">
      <selection activeCell="J3" sqref="J3:P3"/>
    </sheetView>
  </sheetViews>
  <sheetFormatPr defaultRowHeight="13.15"/>
  <sheetData>
    <row r="3" spans="10:40">
      <c r="J3" s="130">
        <v>0.44918699186991873</v>
      </c>
      <c r="K3" s="130">
        <v>0.40981735159817351</v>
      </c>
      <c r="L3" s="130">
        <v>0.33086419753086421</v>
      </c>
      <c r="M3" s="130">
        <v>0.3174603174603175</v>
      </c>
      <c r="N3" s="130">
        <v>0.28102189781021897</v>
      </c>
      <c r="O3" s="130">
        <v>0.24884259259259264</v>
      </c>
      <c r="P3" s="130">
        <v>0.23937360178970915</v>
      </c>
      <c r="X3">
        <v>65.010505033931636</v>
      </c>
      <c r="Y3">
        <v>57.98103764856468</v>
      </c>
      <c r="Z3">
        <v>46.384618145858184</v>
      </c>
      <c r="AA3">
        <v>46.992638711509223</v>
      </c>
      <c r="AB3">
        <v>38.100850464340731</v>
      </c>
      <c r="AC3">
        <v>37.52899952946872</v>
      </c>
      <c r="AD3">
        <v>33.468437383108807</v>
      </c>
      <c r="AF3">
        <v>146</v>
      </c>
      <c r="AG3">
        <v>0</v>
      </c>
      <c r="AI3">
        <v>7</v>
      </c>
      <c r="AJ3">
        <v>8</v>
      </c>
      <c r="AK3">
        <v>9</v>
      </c>
      <c r="AL3">
        <v>10</v>
      </c>
      <c r="AM3">
        <v>11</v>
      </c>
      <c r="AN3">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b117279-7767-4811-8be8-7c665d88f8e7" xsi:nil="true"/>
    <lcf76f155ced4ddcb4097134ff3c332f xmlns="dfc78a5b-3d13-464c-b815-89df4637faf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017B5A1D44B76246B3EF3FBB840B70AA" ma:contentTypeVersion="14" ma:contentTypeDescription="Ein neues Dokument erstellen." ma:contentTypeScope="" ma:versionID="c6c11a1a77249c80bcc4f54b5241e6fb">
  <xsd:schema xmlns:xsd="http://www.w3.org/2001/XMLSchema" xmlns:xs="http://www.w3.org/2001/XMLSchema" xmlns:p="http://schemas.microsoft.com/office/2006/metadata/properties" xmlns:ns2="fb117279-7767-4811-8be8-7c665d88f8e7" xmlns:ns3="dfc78a5b-3d13-464c-b815-89df4637faf3" targetNamespace="http://schemas.microsoft.com/office/2006/metadata/properties" ma:root="true" ma:fieldsID="a46c70707ce9725b4e32cc070c8812ea" ns2:_="" ns3:_="">
    <xsd:import namespace="fb117279-7767-4811-8be8-7c665d88f8e7"/>
    <xsd:import namespace="dfc78a5b-3d13-464c-b815-89df4637faf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117279-7767-4811-8be8-7c665d88f8e7"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20" nillable="true" ma:displayName="Taxonomy Catch All Column" ma:hidden="true" ma:list="{e47df0e8-d617-4dbe-bb24-ba4e07d0e9c6}" ma:internalName="TaxCatchAll" ma:showField="CatchAllData" ma:web="fb117279-7767-4811-8be8-7c665d88f8e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fc78a5b-3d13-464c-b815-89df4637faf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93f1ce4-d6a3-428f-ae0e-3f543a09b75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A15CA5-A154-4286-8F21-285D5429BB07}"/>
</file>

<file path=customXml/itemProps2.xml><?xml version="1.0" encoding="utf-8"?>
<ds:datastoreItem xmlns:ds="http://schemas.openxmlformats.org/officeDocument/2006/customXml" ds:itemID="{5046ED11-372E-4265-9305-D35F1EDAB950}"/>
</file>

<file path=customXml/itemProps3.xml><?xml version="1.0" encoding="utf-8"?>
<ds:datastoreItem xmlns:ds="http://schemas.openxmlformats.org/officeDocument/2006/customXml" ds:itemID="{6E3FD193-A433-4E5C-8A5C-AFE912E58B76}"/>
</file>

<file path=docProps/app.xml><?xml version="1.0" encoding="utf-8"?>
<Properties xmlns="http://schemas.openxmlformats.org/officeDocument/2006/extended-properties" xmlns:vt="http://schemas.openxmlformats.org/officeDocument/2006/docPropsVTypes">
  <Application>Microsoft Excel Online</Application>
  <Manager/>
  <Company>uni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dc:creator>
  <cp:keywords/>
  <dc:description/>
  <cp:lastModifiedBy>Eya Brahmi</cp:lastModifiedBy>
  <cp:revision/>
  <dcterms:created xsi:type="dcterms:W3CDTF">2010-03-03T13:36:10Z</dcterms:created>
  <dcterms:modified xsi:type="dcterms:W3CDTF">2025-08-20T08:54:30Z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0x010100017B5A1D44B76246B3EF3FBB840B70AA</vt:lpwstr>
  </property>
  <property fmtid="{D5CDD505-2E9C-101B-9397-08002B2CF9AE}" pid="3" name="MediaServiceImageTags">
    <vt:lpwstr/>
  </property>
</Properties>
</file>